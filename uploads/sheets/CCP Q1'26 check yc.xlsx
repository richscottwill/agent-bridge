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mazon-my.sharepoint.com/personal/prichwil_amazon_com/Documents/Downloads/"/>
    </mc:Choice>
  </mc:AlternateContent>
  <xr:revisionPtr revIDLastSave="5" documentId="13_ncr:1_{D7CF3EC1-04B9-4613-8F15-302ED3311959}" xr6:coauthVersionLast="47" xr6:coauthVersionMax="47" xr10:uidLastSave="{F0BA7866-33AD-438A-8E23-CD7488A7333B}"/>
  <bookViews>
    <workbookView xWindow="-105" yWindow="0" windowWidth="27330" windowHeight="20985" xr2:uid="{12C64DD2-BBEB-4557-90CB-11F54B249428}"/>
  </bookViews>
  <sheets>
    <sheet name="Summary" sheetId="3" r:id="rId1"/>
    <sheet name="Sheet1" sheetId="1" r:id="rId2"/>
    <sheet name="Sheet2" sheetId="2" r:id="rId3"/>
  </sheets>
  <definedNames>
    <definedName name="_xlnm._FilterDatabase" localSheetId="1" hidden="1">Sheet1!$B$1:$M$67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4" i="3" l="1"/>
  <c r="R35" i="3"/>
  <c r="Q35" i="3"/>
  <c r="S35" i="3"/>
  <c r="V34" i="3"/>
  <c r="V33" i="3"/>
  <c r="V31" i="3"/>
  <c r="V30" i="3"/>
  <c r="V28" i="3"/>
  <c r="V27" i="3"/>
  <c r="V25" i="3"/>
  <c r="V24" i="3"/>
  <c r="V22" i="3"/>
  <c r="V21" i="3"/>
  <c r="V19" i="3"/>
  <c r="V18" i="3"/>
  <c r="V16" i="3"/>
  <c r="V15" i="3"/>
  <c r="V13" i="3"/>
  <c r="V12" i="3"/>
  <c r="V7" i="3"/>
  <c r="V6" i="3"/>
  <c r="U15" i="3"/>
  <c r="U16" i="3"/>
  <c r="U33" i="3"/>
  <c r="U31" i="3"/>
  <c r="U30" i="3"/>
  <c r="U28" i="3"/>
  <c r="U27" i="3"/>
  <c r="U24" i="3"/>
  <c r="U22" i="3"/>
  <c r="U21" i="3"/>
  <c r="U19" i="3"/>
  <c r="U18" i="3"/>
  <c r="U13" i="3"/>
  <c r="U12" i="3"/>
  <c r="U7" i="3"/>
  <c r="U6" i="3"/>
  <c r="T34" i="3"/>
  <c r="T33" i="3"/>
  <c r="T31" i="3"/>
  <c r="T30" i="3"/>
  <c r="T28" i="3"/>
  <c r="T27" i="3"/>
  <c r="T25" i="3"/>
  <c r="T24" i="3"/>
  <c r="T22" i="3"/>
  <c r="T21" i="3"/>
  <c r="T19" i="3"/>
  <c r="T18" i="3"/>
  <c r="T16" i="3"/>
  <c r="T15" i="3"/>
  <c r="T13" i="3"/>
  <c r="T12" i="3"/>
  <c r="T7" i="3"/>
  <c r="T6" i="3"/>
  <c r="S34" i="3"/>
  <c r="S33" i="3"/>
  <c r="S31" i="3"/>
  <c r="S30" i="3"/>
  <c r="S28" i="3"/>
  <c r="S27" i="3"/>
  <c r="S25" i="3"/>
  <c r="S24" i="3"/>
  <c r="S22" i="3"/>
  <c r="S21" i="3"/>
  <c r="S19" i="3"/>
  <c r="S18" i="3"/>
  <c r="S16" i="3"/>
  <c r="S15" i="3"/>
  <c r="S13" i="3"/>
  <c r="S12" i="3"/>
  <c r="S7" i="3"/>
  <c r="S6" i="3"/>
  <c r="R34" i="3"/>
  <c r="R33" i="3"/>
  <c r="R31" i="3"/>
  <c r="R30" i="3"/>
  <c r="R28" i="3"/>
  <c r="R27" i="3"/>
  <c r="R25" i="3"/>
  <c r="R24" i="3"/>
  <c r="R22" i="3"/>
  <c r="R21" i="3"/>
  <c r="R19" i="3"/>
  <c r="R18" i="3"/>
  <c r="R16" i="3"/>
  <c r="R15" i="3"/>
  <c r="R13" i="3"/>
  <c r="R12" i="3"/>
  <c r="R7" i="3"/>
  <c r="R6" i="3"/>
  <c r="Q34" i="3"/>
  <c r="Q33" i="3"/>
  <c r="Q31" i="3"/>
  <c r="Q30" i="3"/>
  <c r="Q28" i="3"/>
  <c r="Q27" i="3"/>
  <c r="Q25" i="3"/>
  <c r="Q24" i="3"/>
  <c r="Q22" i="3"/>
  <c r="Q21" i="3"/>
  <c r="Q19" i="3"/>
  <c r="Q18" i="3"/>
  <c r="Q16" i="3"/>
  <c r="Q15" i="3"/>
  <c r="Q13" i="3"/>
  <c r="Q12" i="3"/>
  <c r="Q7" i="3"/>
  <c r="Q6" i="3"/>
  <c r="P34" i="3"/>
  <c r="P33" i="3"/>
  <c r="P31" i="3"/>
  <c r="P30" i="3"/>
  <c r="P28" i="3"/>
  <c r="P27" i="3"/>
  <c r="P22" i="3"/>
  <c r="P21" i="3"/>
  <c r="P19" i="3"/>
  <c r="P18" i="3"/>
  <c r="P16" i="3"/>
  <c r="P15" i="3"/>
  <c r="P13" i="3"/>
  <c r="P12" i="3"/>
  <c r="P7" i="3"/>
  <c r="P6" i="3"/>
</calcChain>
</file>

<file path=xl/sharedStrings.xml><?xml version="1.0" encoding="utf-8"?>
<sst xmlns="http://schemas.openxmlformats.org/spreadsheetml/2006/main" count="172" uniqueCount="68">
  <si>
    <t>WW</t>
  </si>
  <si>
    <t>WW SSR Total</t>
  </si>
  <si>
    <t>Paid Search</t>
  </si>
  <si>
    <t>Paid Search Unbranded</t>
  </si>
  <si>
    <t>Paid Search Branded</t>
  </si>
  <si>
    <t>Lead Development</t>
  </si>
  <si>
    <t>Feet on the Street</t>
  </si>
  <si>
    <t>Direct Mail</t>
  </si>
  <si>
    <t>US</t>
  </si>
  <si>
    <t>US SSR Total</t>
  </si>
  <si>
    <t>EU5</t>
  </si>
  <si>
    <t>EU5 SSR Total</t>
  </si>
  <si>
    <t>DE</t>
  </si>
  <si>
    <t>DE SSR Total</t>
  </si>
  <si>
    <t>UK</t>
  </si>
  <si>
    <t>UK SSR Total</t>
  </si>
  <si>
    <t>FR</t>
  </si>
  <si>
    <t>FR SSR Total</t>
  </si>
  <si>
    <t>IT</t>
  </si>
  <si>
    <t>IT SSR Total</t>
  </si>
  <si>
    <t>ES</t>
  </si>
  <si>
    <t>ES SSR Total</t>
  </si>
  <si>
    <t>JP</t>
  </si>
  <si>
    <t>JP SSR Total</t>
  </si>
  <si>
    <t>CA</t>
  </si>
  <si>
    <t>CA SSR Total</t>
  </si>
  <si>
    <t>MX</t>
  </si>
  <si>
    <t>MX SSR Total</t>
  </si>
  <si>
    <t>Q1-24</t>
  </si>
  <si>
    <t>YTD Q1-25</t>
  </si>
  <si>
    <t>Q2-24</t>
  </si>
  <si>
    <t>Q3-24</t>
  </si>
  <si>
    <t>Q4-24</t>
  </si>
  <si>
    <t>Q1-25</t>
  </si>
  <si>
    <t>Q2-25</t>
  </si>
  <si>
    <t>Q3-25</t>
  </si>
  <si>
    <t>Q4-25</t>
  </si>
  <si>
    <t>Q1-26</t>
  </si>
  <si>
    <t>YTD Q1-26</t>
  </si>
  <si>
    <t>CCP</t>
  </si>
  <si>
    <t>2026 W1</t>
  </si>
  <si>
    <t>US Brand</t>
  </si>
  <si>
    <t>US NB</t>
  </si>
  <si>
    <t>JP Brand</t>
  </si>
  <si>
    <t>JP NB</t>
  </si>
  <si>
    <t>UK Brand</t>
  </si>
  <si>
    <t>UK NB</t>
  </si>
  <si>
    <t>DE Brand</t>
  </si>
  <si>
    <t>DE NB</t>
  </si>
  <si>
    <t>FR Brand</t>
  </si>
  <si>
    <t>FR NB</t>
  </si>
  <si>
    <t>IT Brand</t>
  </si>
  <si>
    <t>IT NB</t>
  </si>
  <si>
    <t>ES Brand</t>
  </si>
  <si>
    <t>ES NB</t>
  </si>
  <si>
    <t>CA Brand</t>
  </si>
  <si>
    <t>CA NB</t>
  </si>
  <si>
    <t>MX Brand</t>
  </si>
  <si>
    <t>MX NB</t>
  </si>
  <si>
    <t>Q2 CCP Suggestion</t>
  </si>
  <si>
    <t>Q1 Static CCP</t>
  </si>
  <si>
    <t>Change</t>
  </si>
  <si>
    <t>Q1</t>
  </si>
  <si>
    <t>FY25</t>
  </si>
  <si>
    <t>Recd (York)</t>
  </si>
  <si>
    <t>York vs PS</t>
  </si>
  <si>
    <t>FINAL ALIGNED</t>
  </si>
  <si>
    <t>Final vs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</si>
</sst>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sz val="11"/>
      <color theme="0"/>
      <name val="Aptos Narrow"/>
      <scheme val="minor"/>
    </font>
    <font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medium">
        <color auto="1"/>
      </top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/>
      <right/>
      <top style="hair">
        <color theme="1"/>
      </top>
      <bottom/>
      <diagonal/>
    </border>
    <border>
      <left style="thin">
        <color theme="0"/>
      </left>
      <right style="thin">
        <color auto="1"/>
      </right>
      <top/>
      <bottom style="medium">
        <color theme="0"/>
      </bottom>
      <diagonal/>
    </border>
    <border>
      <left/>
      <right/>
      <top style="hair">
        <color theme="1"/>
      </top>
      <bottom style="medium">
        <color auto="1"/>
      </bottom>
      <diagonal/>
    </border>
    <border>
      <left style="thin">
        <color theme="0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 style="hair">
        <color theme="1"/>
      </bottom>
      <diagonal/>
    </border>
    <border>
      <left style="thin">
        <color auto="1"/>
      </left>
      <right/>
      <top style="hair">
        <color theme="1"/>
      </top>
      <bottom style="hair">
        <color auto="1"/>
      </bottom>
      <diagonal/>
    </border>
    <border>
      <left style="thin">
        <color auto="1"/>
      </left>
      <right/>
      <top style="hair">
        <color theme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1" applyNumberFormat="0" applyFont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4" fillId="4" borderId="3" xfId="0" applyFont="1" applyFill="1" applyBorder="1"/>
    <xf numFmtId="0" fontId="0" fillId="0" borderId="5" xfId="0" applyBorder="1"/>
    <xf numFmtId="37" fontId="0" fillId="0" borderId="0" xfId="0" applyNumberFormat="1" applyAlignment="1">
      <alignment horizontal="left" indent="1"/>
    </xf>
    <xf numFmtId="0" fontId="0" fillId="0" borderId="7" xfId="0" applyBorder="1"/>
    <xf numFmtId="0" fontId="0" fillId="0" borderId="9" xfId="0" applyBorder="1"/>
    <xf numFmtId="0" fontId="4" fillId="4" borderId="11" xfId="0" applyFont="1" applyFill="1" applyBorder="1"/>
    <xf numFmtId="0" fontId="0" fillId="0" borderId="12" xfId="0" applyBorder="1"/>
    <xf numFmtId="0" fontId="0" fillId="0" borderId="13" xfId="0" applyBorder="1"/>
    <xf numFmtId="164" fontId="0" fillId="0" borderId="0" xfId="1" applyNumberFormat="1" applyFont="1"/>
    <xf numFmtId="0" fontId="2" fillId="5" borderId="14" xfId="0" applyFont="1" applyFill="1" applyBorder="1"/>
    <xf numFmtId="164" fontId="0" fillId="0" borderId="14" xfId="1" applyNumberFormat="1" applyFont="1" applyBorder="1"/>
    <xf numFmtId="0" fontId="2" fillId="2" borderId="1" xfId="2" applyFont="1" applyAlignment="1">
      <alignment horizontal="left" vertical="center"/>
    </xf>
    <xf numFmtId="0" fontId="0" fillId="0" borderId="14" xfId="0" applyBorder="1" applyAlignment="1">
      <alignment horizontal="left" vertical="center"/>
    </xf>
    <xf numFmtId="164" fontId="0" fillId="0" borderId="14" xfId="1" applyNumberFormat="1" applyFont="1" applyFill="1" applyBorder="1"/>
    <xf numFmtId="0" fontId="0" fillId="6" borderId="0" xfId="0" applyFill="1"/>
    <xf numFmtId="164" fontId="0" fillId="6" borderId="0" xfId="1" applyNumberFormat="1" applyFont="1" applyFill="1"/>
    <xf numFmtId="0" fontId="0" fillId="7" borderId="0" xfId="0" applyFill="1"/>
    <xf numFmtId="164" fontId="0" fillId="7" borderId="0" xfId="1" applyNumberFormat="1" applyFont="1" applyFill="1"/>
    <xf numFmtId="164" fontId="0" fillId="8" borderId="0" xfId="1" applyNumberFormat="1" applyFont="1" applyFill="1"/>
    <xf numFmtId="164" fontId="0" fillId="9" borderId="0" xfId="1" applyNumberFormat="1" applyFont="1" applyFill="1"/>
    <xf numFmtId="0" fontId="0" fillId="9" borderId="0" xfId="0" applyFill="1"/>
    <xf numFmtId="164" fontId="0" fillId="0" borderId="15" xfId="1" applyNumberFormat="1" applyFont="1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164" fontId="0" fillId="0" borderId="18" xfId="1" applyNumberFormat="1" applyFont="1" applyBorder="1"/>
    <xf numFmtId="164" fontId="0" fillId="0" borderId="0" xfId="1" applyNumberFormat="1" applyFont="1" applyBorder="1"/>
    <xf numFmtId="164" fontId="0" fillId="0" borderId="19" xfId="1" applyNumberFormat="1" applyFont="1" applyBorder="1"/>
    <xf numFmtId="164" fontId="0" fillId="6" borderId="18" xfId="1" applyNumberFormat="1" applyFont="1" applyFill="1" applyBorder="1"/>
    <xf numFmtId="164" fontId="0" fillId="6" borderId="0" xfId="1" applyNumberFormat="1" applyFont="1" applyFill="1" applyBorder="1"/>
    <xf numFmtId="164" fontId="0" fillId="6" borderId="19" xfId="1" applyNumberFormat="1" applyFont="1" applyFill="1" applyBorder="1"/>
    <xf numFmtId="164" fontId="0" fillId="7" borderId="18" xfId="1" applyNumberFormat="1" applyFont="1" applyFill="1" applyBorder="1"/>
    <xf numFmtId="164" fontId="0" fillId="7" borderId="0" xfId="1" applyNumberFormat="1" applyFont="1" applyFill="1" applyBorder="1"/>
    <xf numFmtId="164" fontId="0" fillId="7" borderId="19" xfId="1" applyNumberFormat="1" applyFont="1" applyFill="1" applyBorder="1"/>
    <xf numFmtId="164" fontId="0" fillId="10" borderId="0" xfId="1" applyNumberFormat="1" applyFont="1" applyFill="1" applyBorder="1"/>
    <xf numFmtId="164" fontId="0" fillId="8" borderId="0" xfId="1" applyNumberFormat="1" applyFont="1" applyFill="1" applyBorder="1"/>
    <xf numFmtId="164" fontId="0" fillId="8" borderId="19" xfId="1" applyNumberFormat="1" applyFont="1" applyFill="1" applyBorder="1"/>
    <xf numFmtId="164" fontId="0" fillId="0" borderId="0" xfId="1" applyNumberFormat="1" applyFont="1" applyFill="1" applyBorder="1"/>
    <xf numFmtId="9" fontId="0" fillId="0" borderId="0" xfId="3" applyFont="1" applyFill="1" applyBorder="1"/>
    <xf numFmtId="9" fontId="0" fillId="0" borderId="0" xfId="3" applyFont="1"/>
    <xf numFmtId="164" fontId="5" fillId="7" borderId="19" xfId="1" applyNumberFormat="1" applyFont="1" applyFill="1" applyBorder="1"/>
    <xf numFmtId="164" fontId="5" fillId="7" borderId="0" xfId="1" applyNumberFormat="1" applyFont="1" applyFill="1"/>
    <xf numFmtId="164" fontId="0" fillId="5" borderId="0" xfId="1" applyNumberFormat="1" applyFont="1" applyFill="1"/>
    <xf numFmtId="164" fontId="0" fillId="0" borderId="0" xfId="0" applyNumberFormat="1"/>
    <xf numFmtId="165" fontId="0" fillId="0" borderId="0" xfId="0" applyNumberFormat="1"/>
    <xf numFmtId="9" fontId="0" fillId="12" borderId="0" xfId="3" applyFont="1" applyFill="1"/>
    <xf numFmtId="9" fontId="0" fillId="11" borderId="0" xfId="3" applyFont="1" applyFill="1"/>
    <xf numFmtId="9" fontId="0" fillId="0" borderId="0" xfId="3" applyFont="1" applyFill="1"/>
    <xf numFmtId="164" fontId="6" fillId="13" borderId="0" xfId="1" applyNumberFormat="1" applyFont="1" applyFill="1" applyBorder="1"/>
    <xf numFmtId="164" fontId="7" fillId="13" borderId="0" xfId="1" applyNumberFormat="1" applyFont="1" applyFill="1" applyBorder="1"/>
    <xf numFmtId="0" fontId="0" fillId="11" borderId="0" xfId="0" applyFill="1"/>
    <xf numFmtId="165" fontId="5" fillId="11" borderId="0" xfId="0" applyNumberFormat="1" applyFont="1" applyFill="1"/>
    <xf numFmtId="0" fontId="5" fillId="11" borderId="0" xfId="0" applyFont="1" applyFill="1"/>
    <xf numFmtId="164" fontId="5" fillId="11" borderId="0" xfId="0" applyNumberFormat="1" applyFont="1" applyFill="1"/>
    <xf numFmtId="164" fontId="8" fillId="0" borderId="0" xfId="1" applyNumberFormat="1" applyFont="1" applyFill="1" applyBorder="1"/>
    <xf numFmtId="164" fontId="5" fillId="11" borderId="0" xfId="1" applyNumberFormat="1" applyFont="1" applyFill="1"/>
    <xf numFmtId="0" fontId="3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4">
    <cellStyle name="Currency" xfId="1" builtinId="4"/>
    <cellStyle name="Normal" xfId="0" builtinId="0"/>
    <cellStyle name="Note" xfId="2" builtinId="1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F8F9-81A9-4DB4-B176-057D48CFEC17}">
  <dimension ref="A1:V35"/>
  <sheetViews>
    <sheetView tabSelected="1" workbookViewId="0">
      <selection activeCell="Q35" sqref="Q35"/>
    </sheetView>
  </sheetViews>
  <sheetFormatPr defaultRowHeight="15" x14ac:dyDescent="0.25"/>
  <cols>
    <col min="2" max="2" width="19.85546875" bestFit="1" customWidth="1"/>
    <col min="3" max="6" width="0" style="9" hidden="1" customWidth="1"/>
    <col min="7" max="7" width="8.7109375" style="9"/>
    <col min="8" max="8" width="8.7109375" style="25"/>
    <col min="9" max="10" width="8.7109375" style="26"/>
    <col min="11" max="11" width="8.7109375" style="27"/>
    <col min="12" max="12" width="8.7109375" style="9"/>
    <col min="13" max="13" width="11.85546875" style="9" customWidth="1"/>
    <col min="14" max="14" width="14.140625" customWidth="1"/>
    <col min="15" max="15" width="12.7109375" customWidth="1"/>
    <col min="16" max="16" width="8.7109375" style="39"/>
    <col min="21" max="21" width="15.7109375" bestFit="1" customWidth="1"/>
    <col min="22" max="22" width="11.85546875" customWidth="1"/>
  </cols>
  <sheetData>
    <row r="1" spans="1:22" x14ac:dyDescent="0.25"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  <c r="H1" s="22" t="s">
        <v>33</v>
      </c>
      <c r="I1" s="23" t="s">
        <v>34</v>
      </c>
      <c r="J1" s="23" t="s">
        <v>35</v>
      </c>
      <c r="K1" s="24" t="s">
        <v>36</v>
      </c>
      <c r="L1" s="9" t="s">
        <v>37</v>
      </c>
      <c r="M1" s="9" t="s">
        <v>38</v>
      </c>
      <c r="N1" s="9" t="s">
        <v>60</v>
      </c>
      <c r="O1" s="9" t="s">
        <v>59</v>
      </c>
      <c r="P1" s="38" t="s">
        <v>61</v>
      </c>
      <c r="Q1" s="37" t="s">
        <v>62</v>
      </c>
      <c r="R1" s="37" t="s">
        <v>63</v>
      </c>
      <c r="S1" s="37" t="s">
        <v>64</v>
      </c>
      <c r="T1" s="37" t="s">
        <v>65</v>
      </c>
      <c r="U1" s="48" t="s">
        <v>66</v>
      </c>
      <c r="V1" s="49" t="s">
        <v>67</v>
      </c>
    </row>
    <row r="2" spans="1:22" x14ac:dyDescent="0.25">
      <c r="A2" t="s">
        <v>0</v>
      </c>
      <c r="B2" t="s">
        <v>2</v>
      </c>
      <c r="C2" s="9">
        <v>150.74476636594707</v>
      </c>
      <c r="D2" s="9">
        <v>163.09455437042638</v>
      </c>
      <c r="E2" s="9">
        <v>160.28071413006683</v>
      </c>
      <c r="F2" s="9">
        <v>149.41178232659658</v>
      </c>
      <c r="G2" s="9">
        <v>173.39760924833766</v>
      </c>
      <c r="H2" s="25">
        <v>186.93788429952176</v>
      </c>
      <c r="I2" s="26">
        <v>179.62838133862391</v>
      </c>
      <c r="J2" s="26">
        <v>162.99826003810924</v>
      </c>
      <c r="K2" s="27">
        <v>158.83682370236284</v>
      </c>
      <c r="L2" s="9">
        <v>173.27541375719619</v>
      </c>
      <c r="M2" s="9">
        <v>173.27541375719619</v>
      </c>
      <c r="U2" s="50"/>
    </row>
    <row r="3" spans="1:22" x14ac:dyDescent="0.25">
      <c r="B3" t="s">
        <v>3</v>
      </c>
      <c r="C3" s="9">
        <v>70.18456940178838</v>
      </c>
      <c r="D3" s="9">
        <v>66.245932766701273</v>
      </c>
      <c r="E3" s="9">
        <v>61.267856374412617</v>
      </c>
      <c r="F3" s="9">
        <v>57.90261902141917</v>
      </c>
      <c r="G3" s="9">
        <v>68.453247995103823</v>
      </c>
      <c r="H3" s="25">
        <v>74.803495109313801</v>
      </c>
      <c r="I3" s="26">
        <v>68.576590074520368</v>
      </c>
      <c r="J3" s="26">
        <v>59.823180329525485</v>
      </c>
      <c r="K3" s="27">
        <v>60.473948644773095</v>
      </c>
      <c r="L3" s="9">
        <v>61.274587592848071</v>
      </c>
      <c r="M3" s="9">
        <v>61.274587592848071</v>
      </c>
      <c r="U3" s="50"/>
    </row>
    <row r="4" spans="1:22" x14ac:dyDescent="0.25">
      <c r="B4" t="s">
        <v>4</v>
      </c>
      <c r="C4" s="9">
        <v>265.80589289873444</v>
      </c>
      <c r="D4" s="9">
        <v>274.01354962035816</v>
      </c>
      <c r="E4" s="9">
        <v>276.94516923333742</v>
      </c>
      <c r="F4" s="9">
        <v>264.52337504914766</v>
      </c>
      <c r="G4" s="9">
        <v>272.51691904907449</v>
      </c>
      <c r="H4" s="25">
        <v>290.03464127033305</v>
      </c>
      <c r="I4" s="26">
        <v>278.65208349442196</v>
      </c>
      <c r="J4" s="26">
        <v>275.90103489110055</v>
      </c>
      <c r="K4" s="27">
        <v>273.38237992010829</v>
      </c>
      <c r="L4" s="9">
        <v>306.2114164700269</v>
      </c>
      <c r="M4" s="9">
        <v>306.2114164700269</v>
      </c>
      <c r="U4" s="50"/>
    </row>
    <row r="5" spans="1:22" x14ac:dyDescent="0.25">
      <c r="A5" s="15" t="s">
        <v>8</v>
      </c>
      <c r="B5" s="15" t="s">
        <v>2</v>
      </c>
      <c r="C5" s="16">
        <v>146.07507129367323</v>
      </c>
      <c r="D5" s="16">
        <v>178.90034411143947</v>
      </c>
      <c r="E5" s="16">
        <v>176.24845368055182</v>
      </c>
      <c r="F5" s="16">
        <v>163.99015997153393</v>
      </c>
      <c r="G5" s="16">
        <v>206.79246866944209</v>
      </c>
      <c r="H5" s="28">
        <v>226.78050986418867</v>
      </c>
      <c r="I5" s="29">
        <v>179.40457156232949</v>
      </c>
      <c r="J5" s="29">
        <v>169.81389620504871</v>
      </c>
      <c r="K5" s="30">
        <v>169.03893212991886</v>
      </c>
      <c r="L5" s="16">
        <v>172.28523737609385</v>
      </c>
      <c r="M5" s="16">
        <v>172.28523737609385</v>
      </c>
      <c r="N5" s="15"/>
      <c r="S5" s="44"/>
      <c r="U5" s="50"/>
    </row>
    <row r="6" spans="1:22" x14ac:dyDescent="0.25">
      <c r="A6" s="15"/>
      <c r="B6" s="15" t="s">
        <v>3</v>
      </c>
      <c r="C6" s="16">
        <v>55.33155425638229</v>
      </c>
      <c r="D6" s="16">
        <v>48.852693863227266</v>
      </c>
      <c r="E6" s="16">
        <v>51.785123879561809</v>
      </c>
      <c r="F6" s="16">
        <v>42.477371316843644</v>
      </c>
      <c r="G6" s="16">
        <v>39.56120267359946</v>
      </c>
      <c r="H6" s="28">
        <v>49.036219171046348</v>
      </c>
      <c r="I6" s="29">
        <v>45.509346887029082</v>
      </c>
      <c r="J6" s="29">
        <v>47.696986125533329</v>
      </c>
      <c r="K6" s="30">
        <v>50.936996363214114</v>
      </c>
      <c r="L6" s="16">
        <v>46.913432336516962</v>
      </c>
      <c r="M6" s="16">
        <v>46.913432336516962</v>
      </c>
      <c r="N6" s="16">
        <v>50</v>
      </c>
      <c r="O6" s="37">
        <v>50</v>
      </c>
      <c r="P6" s="39">
        <f>O6/N6-1</f>
        <v>0</v>
      </c>
      <c r="Q6" s="43">
        <f>H6</f>
        <v>49.036219171046348</v>
      </c>
      <c r="R6" s="43">
        <f>AVERAGE(H6:K6)</f>
        <v>48.294887136705718</v>
      </c>
      <c r="S6" s="44">
        <f>Q6*30%+R6*70%</f>
        <v>48.517286747007901</v>
      </c>
      <c r="T6" s="39">
        <f>S6/O6-1</f>
        <v>-2.9654265059841922E-2</v>
      </c>
      <c r="U6" s="51">
        <f>S6</f>
        <v>48.517286747007901</v>
      </c>
      <c r="V6" s="45">
        <f>U6/N6-1</f>
        <v>-2.9654265059841922E-2</v>
      </c>
    </row>
    <row r="7" spans="1:22" x14ac:dyDescent="0.25">
      <c r="A7" s="15"/>
      <c r="B7" s="15" t="s">
        <v>4</v>
      </c>
      <c r="C7" s="16">
        <v>350.83396674866742</v>
      </c>
      <c r="D7" s="16">
        <v>389.48596149952618</v>
      </c>
      <c r="E7" s="16">
        <v>405.21670114459397</v>
      </c>
      <c r="F7" s="16">
        <v>354.433120425857</v>
      </c>
      <c r="G7" s="16">
        <v>404.63999176092392</v>
      </c>
      <c r="H7" s="28">
        <v>438.84766130825125</v>
      </c>
      <c r="I7" s="29">
        <v>352.29961427655218</v>
      </c>
      <c r="J7" s="29">
        <v>402.29973020160503</v>
      </c>
      <c r="K7" s="30">
        <v>411.43499285986672</v>
      </c>
      <c r="L7" s="16">
        <v>435.00579788068148</v>
      </c>
      <c r="M7" s="16">
        <v>435.00579788068148</v>
      </c>
      <c r="N7" s="16">
        <v>424</v>
      </c>
      <c r="O7" s="37">
        <v>424</v>
      </c>
      <c r="P7" s="39">
        <f>O7/N7-1</f>
        <v>0</v>
      </c>
      <c r="Q7" s="43">
        <f>H7</f>
        <v>438.84766130825125</v>
      </c>
      <c r="R7" s="43">
        <f>AVERAGE(H7:K7)</f>
        <v>401.22049966156879</v>
      </c>
      <c r="S7" s="44">
        <f>Q7*30%+R7*70%</f>
        <v>412.5086481555735</v>
      </c>
      <c r="T7" s="39">
        <f>S7/O7-1</f>
        <v>-2.7102244916100249E-2</v>
      </c>
      <c r="U7" s="51">
        <f>S7</f>
        <v>412.5086481555735</v>
      </c>
      <c r="V7" s="45">
        <f>U7/N7-1</f>
        <v>-2.7102244916100249E-2</v>
      </c>
    </row>
    <row r="8" spans="1:22" x14ac:dyDescent="0.25">
      <c r="A8" t="s">
        <v>10</v>
      </c>
      <c r="B8" t="s">
        <v>2</v>
      </c>
      <c r="C8" s="9">
        <v>153.18908514517034</v>
      </c>
      <c r="D8" s="9">
        <v>148.6305813537189</v>
      </c>
      <c r="E8" s="9">
        <v>144.66937668950104</v>
      </c>
      <c r="F8" s="9">
        <v>134.26949668825492</v>
      </c>
      <c r="G8" s="9">
        <v>152.66407321733666</v>
      </c>
      <c r="H8" s="25">
        <v>157.76444686129136</v>
      </c>
      <c r="I8" s="26">
        <v>178.4321798979575</v>
      </c>
      <c r="J8" s="26">
        <v>159.9884134347806</v>
      </c>
      <c r="K8" s="27">
        <v>149.76902273999318</v>
      </c>
      <c r="L8" s="9">
        <v>174.87841154625255</v>
      </c>
      <c r="M8" s="9">
        <v>174.87841154625255</v>
      </c>
      <c r="S8" s="44"/>
      <c r="U8" s="52"/>
    </row>
    <row r="9" spans="1:22" x14ac:dyDescent="0.25">
      <c r="B9" t="s">
        <v>3</v>
      </c>
      <c r="C9" s="9">
        <v>99.261741879800468</v>
      </c>
      <c r="D9" s="9">
        <v>93.027406628286144</v>
      </c>
      <c r="E9" s="9">
        <v>82.706626699364477</v>
      </c>
      <c r="F9" s="9">
        <v>80.499408693796596</v>
      </c>
      <c r="G9" s="9">
        <v>97.468808501050518</v>
      </c>
      <c r="H9" s="25">
        <v>104.8879223053715</v>
      </c>
      <c r="I9" s="26">
        <v>109.24762295120797</v>
      </c>
      <c r="J9" s="26">
        <v>92.667483058268786</v>
      </c>
      <c r="K9" s="27">
        <v>81.127155494461292</v>
      </c>
      <c r="L9" s="9">
        <v>94.209212303106469</v>
      </c>
      <c r="M9" s="9">
        <v>94.209212303106469</v>
      </c>
      <c r="S9" s="44"/>
      <c r="U9" s="52"/>
    </row>
    <row r="10" spans="1:22" x14ac:dyDescent="0.25">
      <c r="B10" t="s">
        <v>4</v>
      </c>
      <c r="C10" s="9">
        <v>211.17697338650169</v>
      </c>
      <c r="D10" s="9">
        <v>204.81033542230284</v>
      </c>
      <c r="E10" s="9">
        <v>199.36784111351648</v>
      </c>
      <c r="F10" s="9">
        <v>200.63325435954633</v>
      </c>
      <c r="G10" s="9">
        <v>206.63728603444088</v>
      </c>
      <c r="H10" s="25">
        <v>205.38050157685853</v>
      </c>
      <c r="I10" s="26">
        <v>228.45596173255313</v>
      </c>
      <c r="J10" s="26">
        <v>207.64598193450962</v>
      </c>
      <c r="K10" s="27">
        <v>211.15778536989063</v>
      </c>
      <c r="L10" s="9">
        <v>239.38474035940456</v>
      </c>
      <c r="M10" s="9">
        <v>239.38474035940456</v>
      </c>
      <c r="S10" s="44"/>
      <c r="U10" s="52"/>
    </row>
    <row r="11" spans="1:22" x14ac:dyDescent="0.25">
      <c r="A11" s="17" t="s">
        <v>12</v>
      </c>
      <c r="B11" s="17" t="s">
        <v>2</v>
      </c>
      <c r="C11" s="18">
        <v>267.38189228543877</v>
      </c>
      <c r="D11" s="18">
        <v>241.88807600947553</v>
      </c>
      <c r="E11" s="18">
        <v>236.35205662002153</v>
      </c>
      <c r="F11" s="18">
        <v>218.51071483466839</v>
      </c>
      <c r="G11" s="18">
        <v>268.76748331288348</v>
      </c>
      <c r="H11" s="31">
        <v>221.85435817846715</v>
      </c>
      <c r="I11" s="32">
        <v>261.55979487509506</v>
      </c>
      <c r="J11" s="32">
        <v>215.06827530094355</v>
      </c>
      <c r="K11" s="33">
        <v>226.74923288443472</v>
      </c>
      <c r="L11" s="18">
        <v>296.04960239794008</v>
      </c>
      <c r="M11" s="18">
        <v>296.04960239794008</v>
      </c>
      <c r="N11" s="17"/>
      <c r="S11" s="44"/>
      <c r="U11" s="52"/>
    </row>
    <row r="12" spans="1:22" x14ac:dyDescent="0.25">
      <c r="A12" s="17"/>
      <c r="B12" s="17" t="s">
        <v>3</v>
      </c>
      <c r="C12" s="18">
        <v>177.83570938973463</v>
      </c>
      <c r="D12" s="18">
        <v>152.93686625987644</v>
      </c>
      <c r="E12" s="18">
        <v>139.57769768456373</v>
      </c>
      <c r="F12" s="18">
        <v>140.45134130326437</v>
      </c>
      <c r="G12" s="18">
        <v>160.98056754148971</v>
      </c>
      <c r="H12" s="31">
        <v>145.57149758917856</v>
      </c>
      <c r="I12" s="32">
        <v>135.64688509107611</v>
      </c>
      <c r="J12" s="32">
        <v>136.75539074044201</v>
      </c>
      <c r="K12" s="33">
        <v>139.6646360537321</v>
      </c>
      <c r="L12" s="18">
        <v>160.61871277993831</v>
      </c>
      <c r="M12" s="18">
        <v>160.61871277993831</v>
      </c>
      <c r="N12" s="17">
        <v>123</v>
      </c>
      <c r="O12" s="37">
        <v>135</v>
      </c>
      <c r="P12" s="39">
        <f>O12/N12-1</f>
        <v>9.7560975609756184E-2</v>
      </c>
      <c r="Q12" s="43">
        <f>H12</f>
        <v>145.57149758917856</v>
      </c>
      <c r="R12" s="43">
        <f>AVERAGE(H12:K12)</f>
        <v>139.40960236860718</v>
      </c>
      <c r="S12" s="44">
        <f t="shared" ref="S12:S13" si="0">Q12*30%+R12*70%</f>
        <v>141.2581709347786</v>
      </c>
      <c r="T12" s="39">
        <f>S12/O12-1</f>
        <v>4.6356821739100829E-2</v>
      </c>
      <c r="U12" s="51">
        <f>S12</f>
        <v>141.2581709347786</v>
      </c>
      <c r="V12" s="46">
        <f>U12/N12-1</f>
        <v>0.14844041410389108</v>
      </c>
    </row>
    <row r="13" spans="1:22" x14ac:dyDescent="0.25">
      <c r="A13" s="17"/>
      <c r="B13" s="17" t="s">
        <v>4</v>
      </c>
      <c r="C13" s="18">
        <v>349.12086371126418</v>
      </c>
      <c r="D13" s="18">
        <v>318.73052380834412</v>
      </c>
      <c r="E13" s="18">
        <v>308.67496310971791</v>
      </c>
      <c r="F13" s="18">
        <v>291.55543116474286</v>
      </c>
      <c r="G13" s="18">
        <v>358.45145850995522</v>
      </c>
      <c r="H13" s="31">
        <v>289.31383946556036</v>
      </c>
      <c r="I13" s="34">
        <v>339.45648423295455</v>
      </c>
      <c r="J13" s="32">
        <v>254.72044971820642</v>
      </c>
      <c r="K13" s="40">
        <v>287.74014027691487</v>
      </c>
      <c r="L13" s="41">
        <v>386.34897148605154</v>
      </c>
      <c r="M13" s="20">
        <v>386.34897148605154</v>
      </c>
      <c r="N13" s="21">
        <v>240</v>
      </c>
      <c r="O13" s="54">
        <v>293</v>
      </c>
      <c r="P13" s="39">
        <f>O13/N13-1</f>
        <v>0.22083333333333344</v>
      </c>
      <c r="Q13" s="43">
        <f>H13</f>
        <v>289.31383946556036</v>
      </c>
      <c r="R13" s="43">
        <f>AVERAGE(H13:K13)</f>
        <v>292.807728423409</v>
      </c>
      <c r="S13" s="44">
        <f t="shared" si="0"/>
        <v>291.75956173605437</v>
      </c>
      <c r="T13" s="39">
        <f>S13/O13-1</f>
        <v>-4.2335776926472057E-3</v>
      </c>
      <c r="U13" s="51">
        <f>S13</f>
        <v>291.75956173605437</v>
      </c>
      <c r="V13" s="46">
        <f>U13/N13-1</f>
        <v>0.21566484056689328</v>
      </c>
    </row>
    <row r="14" spans="1:22" x14ac:dyDescent="0.25">
      <c r="A14" s="15" t="s">
        <v>14</v>
      </c>
      <c r="B14" s="15" t="s">
        <v>2</v>
      </c>
      <c r="C14" s="16">
        <v>142.37840210431384</v>
      </c>
      <c r="D14" s="16">
        <v>139.86786244051561</v>
      </c>
      <c r="E14" s="16">
        <v>132.47236329276654</v>
      </c>
      <c r="F14" s="16">
        <v>115.0056843900758</v>
      </c>
      <c r="G14" s="16">
        <v>138.0667478593052</v>
      </c>
      <c r="H14" s="28">
        <v>190.22022356072557</v>
      </c>
      <c r="I14" s="29">
        <v>213.77131064280422</v>
      </c>
      <c r="J14" s="29">
        <v>164.42191335005376</v>
      </c>
      <c r="K14" s="30">
        <v>114.98033248875778</v>
      </c>
      <c r="L14" s="16">
        <v>149.97959455219473</v>
      </c>
      <c r="M14" s="16">
        <v>149.97959455219473</v>
      </c>
      <c r="N14" s="15"/>
      <c r="S14" s="44"/>
      <c r="U14" s="52"/>
    </row>
    <row r="15" spans="1:22" x14ac:dyDescent="0.25">
      <c r="A15" s="15"/>
      <c r="B15" s="15" t="s">
        <v>3</v>
      </c>
      <c r="C15" s="16">
        <v>79.805566137014821</v>
      </c>
      <c r="D15" s="16">
        <v>72.073345031289094</v>
      </c>
      <c r="E15" s="16">
        <v>63.442171882484423</v>
      </c>
      <c r="F15" s="16">
        <v>56.084329828080222</v>
      </c>
      <c r="G15" s="16">
        <v>69.017756988188978</v>
      </c>
      <c r="H15" s="28">
        <v>113.55018959837545</v>
      </c>
      <c r="I15" s="29">
        <v>131.98703644329896</v>
      </c>
      <c r="J15" s="35">
        <v>55.814730000000004</v>
      </c>
      <c r="K15" s="36">
        <v>47.779393552537542</v>
      </c>
      <c r="L15" s="19">
        <v>61.350916669601979</v>
      </c>
      <c r="M15" s="16">
        <v>61.350916669601979</v>
      </c>
      <c r="N15" s="15">
        <v>60</v>
      </c>
      <c r="O15" s="37">
        <v>60</v>
      </c>
      <c r="P15" s="39">
        <f>O15/N15-1</f>
        <v>0</v>
      </c>
      <c r="Q15" s="43">
        <f>H15</f>
        <v>113.55018959837545</v>
      </c>
      <c r="R15" s="43">
        <f>AVERAGE(H15:K15)</f>
        <v>87.282837398552999</v>
      </c>
      <c r="S15" s="44">
        <f t="shared" ref="S15:S16" si="1">Q15*30%+R15*70%</f>
        <v>95.163043058499724</v>
      </c>
      <c r="T15" s="47">
        <f>S15/O15-1</f>
        <v>0.58605071764166206</v>
      </c>
      <c r="U15" s="53">
        <f>O15</f>
        <v>60</v>
      </c>
      <c r="V15" s="46">
        <f>U15/N15-1</f>
        <v>0</v>
      </c>
    </row>
    <row r="16" spans="1:22" x14ac:dyDescent="0.25">
      <c r="A16" s="15"/>
      <c r="B16" s="15" t="s">
        <v>4</v>
      </c>
      <c r="C16" s="16">
        <v>227.7434046908316</v>
      </c>
      <c r="D16" s="16">
        <v>219.92145610364869</v>
      </c>
      <c r="E16" s="16">
        <v>212.4605388344126</v>
      </c>
      <c r="F16" s="16">
        <v>203.8715130077787</v>
      </c>
      <c r="G16" s="16">
        <v>210.68970306122455</v>
      </c>
      <c r="H16" s="28">
        <v>249.70929753151262</v>
      </c>
      <c r="I16" s="29">
        <v>270.81301186410212</v>
      </c>
      <c r="J16" s="29">
        <v>279.85216439024396</v>
      </c>
      <c r="K16" s="30">
        <v>255.48864749663718</v>
      </c>
      <c r="L16" s="16">
        <v>288.66875894997941</v>
      </c>
      <c r="M16" s="20">
        <v>288.66875894997941</v>
      </c>
      <c r="N16" s="21">
        <v>238</v>
      </c>
      <c r="O16" s="37">
        <v>250</v>
      </c>
      <c r="P16" s="39">
        <f>O16/N16-1</f>
        <v>5.0420168067226934E-2</v>
      </c>
      <c r="Q16" s="43">
        <f>H16</f>
        <v>249.70929753151262</v>
      </c>
      <c r="R16" s="43">
        <f>AVERAGE(H16:K16)</f>
        <v>263.96578032062394</v>
      </c>
      <c r="S16" s="44">
        <f t="shared" si="1"/>
        <v>259.68883548389056</v>
      </c>
      <c r="T16" s="39">
        <f>S16/O16-1</f>
        <v>3.8755341935562182E-2</v>
      </c>
      <c r="U16" s="53">
        <f>O16</f>
        <v>250</v>
      </c>
      <c r="V16" s="46">
        <f>U16/N16-1</f>
        <v>5.0420168067226934E-2</v>
      </c>
    </row>
    <row r="17" spans="1:22" x14ac:dyDescent="0.25">
      <c r="A17" s="17" t="s">
        <v>16</v>
      </c>
      <c r="B17" s="17" t="s">
        <v>2</v>
      </c>
      <c r="C17" s="18">
        <v>107.01421684155299</v>
      </c>
      <c r="D17" s="18">
        <v>100.05436733373216</v>
      </c>
      <c r="E17" s="18">
        <v>98.893915577332791</v>
      </c>
      <c r="F17" s="18">
        <v>90.369583158711663</v>
      </c>
      <c r="G17" s="18">
        <v>93.967219488597081</v>
      </c>
      <c r="H17" s="31">
        <v>110.19846245228381</v>
      </c>
      <c r="I17" s="32">
        <v>125.43555505480124</v>
      </c>
      <c r="J17" s="32">
        <v>119.84067688051321</v>
      </c>
      <c r="K17" s="33">
        <v>105.54609371809708</v>
      </c>
      <c r="L17" s="18">
        <v>120.78361871605625</v>
      </c>
      <c r="M17" s="18">
        <v>120.78361871605625</v>
      </c>
      <c r="N17" s="17"/>
      <c r="S17" s="44"/>
      <c r="U17" s="52"/>
    </row>
    <row r="18" spans="1:22" x14ac:dyDescent="0.25">
      <c r="A18" s="17"/>
      <c r="B18" s="17" t="s">
        <v>3</v>
      </c>
      <c r="C18" s="18">
        <v>74.534434699272978</v>
      </c>
      <c r="D18" s="18">
        <v>68.660785668183181</v>
      </c>
      <c r="E18" s="18">
        <v>55.971098740157501</v>
      </c>
      <c r="F18" s="18">
        <v>56.22726361666502</v>
      </c>
      <c r="G18" s="18">
        <v>73.479241028256638</v>
      </c>
      <c r="H18" s="31">
        <v>80.164602663202359</v>
      </c>
      <c r="I18" s="32">
        <v>88.385765015996654</v>
      </c>
      <c r="J18" s="32">
        <v>95.230089429647208</v>
      </c>
      <c r="K18" s="33">
        <v>85.063232177359453</v>
      </c>
      <c r="L18" s="18">
        <v>91.601446903787107</v>
      </c>
      <c r="M18" s="20">
        <v>91.601446903787107</v>
      </c>
      <c r="N18" s="21">
        <v>75</v>
      </c>
      <c r="O18" s="37">
        <v>80</v>
      </c>
      <c r="P18" s="39">
        <f>O18/N18-1</f>
        <v>6.6666666666666652E-2</v>
      </c>
      <c r="Q18" s="43">
        <f>H18</f>
        <v>80.164602663202359</v>
      </c>
      <c r="R18" s="43">
        <f>AVERAGE(H18:K18)</f>
        <v>87.210922321551422</v>
      </c>
      <c r="S18" s="44">
        <f t="shared" ref="S18:S19" si="2">Q18*30%+R18*70%</f>
        <v>85.097026424046703</v>
      </c>
      <c r="T18" s="39">
        <f>S18/O18-1</f>
        <v>6.3712830300583834E-2</v>
      </c>
      <c r="U18" s="51">
        <f>S18</f>
        <v>85.097026424046703</v>
      </c>
      <c r="V18" s="46">
        <f>U18/N18-1</f>
        <v>0.13462701898728935</v>
      </c>
    </row>
    <row r="19" spans="1:22" x14ac:dyDescent="0.25">
      <c r="A19" s="17"/>
      <c r="B19" s="17" t="s">
        <v>4</v>
      </c>
      <c r="C19" s="18">
        <v>154.80213617504049</v>
      </c>
      <c r="D19" s="18">
        <v>148.46677471228617</v>
      </c>
      <c r="E19" s="18">
        <v>149.50856495821731</v>
      </c>
      <c r="F19" s="18">
        <v>155.66379493313238</v>
      </c>
      <c r="G19" s="18">
        <v>126.81701550539746</v>
      </c>
      <c r="H19" s="31">
        <v>156.7693476078563</v>
      </c>
      <c r="I19" s="32">
        <v>178.31443942823108</v>
      </c>
      <c r="J19" s="32">
        <v>153.14554999056418</v>
      </c>
      <c r="K19" s="33">
        <v>130.53153322254119</v>
      </c>
      <c r="L19" s="18">
        <v>155.62747066911089</v>
      </c>
      <c r="M19" s="20">
        <v>155.62747066911089</v>
      </c>
      <c r="N19" s="21">
        <v>132</v>
      </c>
      <c r="O19" s="37">
        <v>150</v>
      </c>
      <c r="P19" s="39">
        <f>O19/N19-1</f>
        <v>0.13636363636363646</v>
      </c>
      <c r="Q19" s="43">
        <f>H19</f>
        <v>156.7693476078563</v>
      </c>
      <c r="R19" s="43">
        <f>AVERAGE(H19:K19)</f>
        <v>154.69021756229819</v>
      </c>
      <c r="S19" s="44">
        <f t="shared" si="2"/>
        <v>155.31395657596562</v>
      </c>
      <c r="T19" s="39">
        <f>S19/O19-1</f>
        <v>3.542637717310404E-2</v>
      </c>
      <c r="U19" s="51">
        <f>S19</f>
        <v>155.31395657596562</v>
      </c>
      <c r="V19" s="46">
        <f>U19/N19-1</f>
        <v>0.17662088315125479</v>
      </c>
    </row>
    <row r="20" spans="1:22" x14ac:dyDescent="0.25">
      <c r="A20" s="15" t="s">
        <v>18</v>
      </c>
      <c r="B20" s="15" t="s">
        <v>2</v>
      </c>
      <c r="C20" s="16">
        <v>131.85862845928892</v>
      </c>
      <c r="D20" s="16">
        <v>127.87156388558613</v>
      </c>
      <c r="E20" s="16">
        <v>122.67953214242826</v>
      </c>
      <c r="F20" s="16">
        <v>127.1803596656884</v>
      </c>
      <c r="G20" s="16">
        <v>125.69968540010889</v>
      </c>
      <c r="H20" s="28">
        <v>131.15417969870876</v>
      </c>
      <c r="I20" s="29">
        <v>129.90483319148933</v>
      </c>
      <c r="J20" s="29">
        <v>137.38968681181959</v>
      </c>
      <c r="K20" s="30">
        <v>128.67177004821602</v>
      </c>
      <c r="L20" s="16">
        <v>137.2610086113537</v>
      </c>
      <c r="M20" s="16">
        <v>137.2610086113537</v>
      </c>
      <c r="N20" s="15"/>
      <c r="S20" s="44"/>
      <c r="U20" s="52"/>
    </row>
    <row r="21" spans="1:22" x14ac:dyDescent="0.25">
      <c r="A21" s="15"/>
      <c r="B21" s="15" t="s">
        <v>3</v>
      </c>
      <c r="C21" s="16">
        <v>90.101428224320614</v>
      </c>
      <c r="D21" s="16">
        <v>89.914287643403441</v>
      </c>
      <c r="E21" s="16">
        <v>80.399575459940678</v>
      </c>
      <c r="F21" s="16">
        <v>85.054691927710834</v>
      </c>
      <c r="G21" s="16">
        <v>98.36972207031252</v>
      </c>
      <c r="H21" s="28">
        <v>94.696478395933369</v>
      </c>
      <c r="I21" s="29">
        <v>96.141435160008385</v>
      </c>
      <c r="J21" s="29">
        <v>89.353968801766953</v>
      </c>
      <c r="K21" s="30">
        <v>83.380573219584576</v>
      </c>
      <c r="L21" s="16">
        <v>76.251957724628312</v>
      </c>
      <c r="M21" s="20">
        <v>76.251957724628312</v>
      </c>
      <c r="N21" s="21">
        <v>82</v>
      </c>
      <c r="O21" s="37">
        <v>82</v>
      </c>
      <c r="P21" s="39">
        <f>O21/N21-1</f>
        <v>0</v>
      </c>
      <c r="Q21" s="43">
        <f>H21</f>
        <v>94.696478395933369</v>
      </c>
      <c r="R21" s="43">
        <f>AVERAGE(H21:K21)</f>
        <v>90.893113894323321</v>
      </c>
      <c r="S21" s="44">
        <f t="shared" ref="S21:S35" si="3">Q21*30%+R21*70%</f>
        <v>92.034123244806324</v>
      </c>
      <c r="T21" s="39">
        <f>S21/O21-1</f>
        <v>0.12236735664397957</v>
      </c>
      <c r="U21" s="51">
        <f>S21</f>
        <v>92.034123244806324</v>
      </c>
      <c r="V21" s="46">
        <f>U21/N21-1</f>
        <v>0.12236735664397957</v>
      </c>
    </row>
    <row r="22" spans="1:22" x14ac:dyDescent="0.25">
      <c r="A22" s="15"/>
      <c r="B22" s="15" t="s">
        <v>4</v>
      </c>
      <c r="C22" s="16">
        <v>165.4127625242898</v>
      </c>
      <c r="D22" s="16">
        <v>156.08830841575357</v>
      </c>
      <c r="E22" s="16">
        <v>151.4234203853137</v>
      </c>
      <c r="F22" s="16">
        <v>165.53710491223794</v>
      </c>
      <c r="G22" s="16">
        <v>145.3343082600561</v>
      </c>
      <c r="H22" s="28">
        <v>154.54126671195655</v>
      </c>
      <c r="I22" s="29">
        <v>146.39505752375109</v>
      </c>
      <c r="J22" s="29">
        <v>156.22334892833945</v>
      </c>
      <c r="K22" s="30">
        <v>144.58329814959606</v>
      </c>
      <c r="L22" s="16">
        <v>159.8510042364768</v>
      </c>
      <c r="M22" s="20">
        <v>159.8510042364768</v>
      </c>
      <c r="N22" s="21">
        <v>135</v>
      </c>
      <c r="O22" s="37">
        <v>140</v>
      </c>
      <c r="P22" s="39">
        <f>O22/N22-1</f>
        <v>3.7037037037036979E-2</v>
      </c>
      <c r="Q22" s="43">
        <f>H22</f>
        <v>154.54126671195655</v>
      </c>
      <c r="R22" s="43">
        <f>AVERAGE(H22:K22)</f>
        <v>150.43574282841078</v>
      </c>
      <c r="S22" s="44">
        <f t="shared" si="3"/>
        <v>151.6673999934745</v>
      </c>
      <c r="T22" s="39">
        <f>S22/O22-1</f>
        <v>8.3338571381960769E-2</v>
      </c>
      <c r="U22" s="51">
        <f>S22</f>
        <v>151.6673999934745</v>
      </c>
      <c r="V22" s="46">
        <f>U22/N22-1</f>
        <v>0.12346222217388525</v>
      </c>
    </row>
    <row r="23" spans="1:22" x14ac:dyDescent="0.25">
      <c r="A23" s="17" t="s">
        <v>20</v>
      </c>
      <c r="B23" s="17" t="s">
        <v>2</v>
      </c>
      <c r="C23" s="18">
        <v>99.350639250078757</v>
      </c>
      <c r="D23" s="18">
        <v>105.94135512487954</v>
      </c>
      <c r="E23" s="18">
        <v>114.77515401572772</v>
      </c>
      <c r="F23" s="18">
        <v>94.973946305347908</v>
      </c>
      <c r="G23" s="18">
        <v>107.65672609357171</v>
      </c>
      <c r="H23" s="31">
        <v>112.75956435750179</v>
      </c>
      <c r="I23" s="32">
        <v>121.62655692963753</v>
      </c>
      <c r="J23" s="32">
        <v>117.49725547477745</v>
      </c>
      <c r="K23" s="33">
        <v>174.82680064160289</v>
      </c>
      <c r="L23" s="18">
        <v>129.58925232940032</v>
      </c>
      <c r="M23" s="18">
        <v>129.58925232940032</v>
      </c>
      <c r="N23" s="17"/>
      <c r="S23" s="44"/>
      <c r="U23" s="52"/>
    </row>
    <row r="24" spans="1:22" x14ac:dyDescent="0.25">
      <c r="A24" s="17"/>
      <c r="B24" s="17" t="s">
        <v>3</v>
      </c>
      <c r="C24" s="18">
        <v>73.416322870222928</v>
      </c>
      <c r="D24" s="18">
        <v>76.108768775845746</v>
      </c>
      <c r="E24" s="18">
        <v>73.644198928277021</v>
      </c>
      <c r="F24" s="18">
        <v>76.961117851373189</v>
      </c>
      <c r="G24" s="18">
        <v>80.88565630914826</v>
      </c>
      <c r="H24" s="31">
        <v>76.406587095115682</v>
      </c>
      <c r="I24" s="32">
        <v>92.951006002034546</v>
      </c>
      <c r="J24" s="32">
        <v>86.876011264277267</v>
      </c>
      <c r="K24" s="33">
        <v>70.080634805115707</v>
      </c>
      <c r="L24" s="18">
        <v>87.985093285859634</v>
      </c>
      <c r="M24" s="20">
        <v>87.985093285859634</v>
      </c>
      <c r="N24" s="21">
        <v>69</v>
      </c>
      <c r="O24" s="37">
        <v>69</v>
      </c>
      <c r="Q24" s="43">
        <f>H24</f>
        <v>76.406587095115682</v>
      </c>
      <c r="R24" s="43">
        <f>AVERAGE(H24:K24)</f>
        <v>81.578559791635811</v>
      </c>
      <c r="S24" s="44">
        <f t="shared" si="3"/>
        <v>80.026967982679764</v>
      </c>
      <c r="T24" s="39">
        <f>S24/O24-1</f>
        <v>0.1598111301837648</v>
      </c>
      <c r="U24" s="51">
        <f>S24</f>
        <v>80.026967982679764</v>
      </c>
      <c r="V24" s="46">
        <f>U24/N24-1</f>
        <v>0.1598111301837648</v>
      </c>
    </row>
    <row r="25" spans="1:22" x14ac:dyDescent="0.25">
      <c r="A25" s="17"/>
      <c r="B25" s="17" t="s">
        <v>4</v>
      </c>
      <c r="C25" s="18">
        <v>128.32417838559036</v>
      </c>
      <c r="D25" s="18">
        <v>135.28131203449621</v>
      </c>
      <c r="E25" s="18">
        <v>151.12181393880522</v>
      </c>
      <c r="F25" s="18">
        <v>115.60924700801974</v>
      </c>
      <c r="G25" s="18">
        <v>132.59847222630421</v>
      </c>
      <c r="H25" s="31">
        <v>144.40976166069831</v>
      </c>
      <c r="I25" s="32">
        <v>142.32264104258445</v>
      </c>
      <c r="J25" s="32">
        <v>136.00412028088553</v>
      </c>
      <c r="K25" s="33">
        <v>236.25294503571428</v>
      </c>
      <c r="L25" s="18">
        <v>152.86138150606979</v>
      </c>
      <c r="M25" s="20">
        <v>152.86138150606979</v>
      </c>
      <c r="N25" s="21">
        <v>130</v>
      </c>
      <c r="O25" s="37">
        <v>140</v>
      </c>
      <c r="Q25" s="43">
        <f>H25</f>
        <v>144.40976166069831</v>
      </c>
      <c r="R25" s="43">
        <f>AVERAGE(H25:K25)</f>
        <v>164.74736700497067</v>
      </c>
      <c r="S25" s="44">
        <f t="shared" si="3"/>
        <v>158.64608540168894</v>
      </c>
      <c r="T25" s="39">
        <f>S25/O25-1</f>
        <v>0.13318632429777821</v>
      </c>
      <c r="U25" s="55">
        <v>150</v>
      </c>
      <c r="V25" s="46">
        <f>U25/N25-1</f>
        <v>0.15384615384615374</v>
      </c>
    </row>
    <row r="26" spans="1:22" x14ac:dyDescent="0.25">
      <c r="A26" s="15" t="s">
        <v>22</v>
      </c>
      <c r="B26" s="15" t="s">
        <v>2</v>
      </c>
      <c r="C26" s="16">
        <v>256.63255405513377</v>
      </c>
      <c r="D26" s="16">
        <v>244.47517489453375</v>
      </c>
      <c r="E26" s="16">
        <v>231.56150991638546</v>
      </c>
      <c r="F26" s="16">
        <v>239.22271896665566</v>
      </c>
      <c r="G26" s="16">
        <v>256.93945832845435</v>
      </c>
      <c r="H26" s="28">
        <v>235.35741875302085</v>
      </c>
      <c r="I26" s="29">
        <v>274.49713098073556</v>
      </c>
      <c r="J26" s="29">
        <v>205.18732530120479</v>
      </c>
      <c r="K26" s="30">
        <v>160.75490328982181</v>
      </c>
      <c r="L26" s="16">
        <v>204.29551503276366</v>
      </c>
      <c r="M26" s="16">
        <v>204.29551503276366</v>
      </c>
      <c r="N26" s="15"/>
      <c r="S26" s="44"/>
      <c r="U26" s="52"/>
    </row>
    <row r="27" spans="1:22" x14ac:dyDescent="0.25">
      <c r="A27" s="15"/>
      <c r="B27" s="15" t="s">
        <v>3</v>
      </c>
      <c r="C27" s="16">
        <v>163.20948103448274</v>
      </c>
      <c r="D27" s="16">
        <v>125.92516417910454</v>
      </c>
      <c r="E27" s="16">
        <v>132.36183913043479</v>
      </c>
      <c r="F27" s="16">
        <v>166.23414782608697</v>
      </c>
      <c r="G27" s="16">
        <v>88.252422222222208</v>
      </c>
      <c r="H27" s="28">
        <v>58.357365000000001</v>
      </c>
      <c r="I27" s="29">
        <v>142.00409032258065</v>
      </c>
      <c r="J27" s="29">
        <v>83.619063157894743</v>
      </c>
      <c r="K27" s="30">
        <v>63.60526500000001</v>
      </c>
      <c r="L27" s="42">
        <v>348.84589200000005</v>
      </c>
      <c r="M27" s="20">
        <v>348.84589200000005</v>
      </c>
      <c r="N27" s="21">
        <v>128</v>
      </c>
      <c r="O27" s="37">
        <v>128</v>
      </c>
      <c r="P27" s="39">
        <f>O24/N24-1</f>
        <v>0</v>
      </c>
      <c r="Q27" s="43">
        <f>H27</f>
        <v>58.357365000000001</v>
      </c>
      <c r="R27" s="43">
        <f>AVERAGE(H27:K27)</f>
        <v>86.896445870118853</v>
      </c>
      <c r="S27" s="44">
        <f t="shared" si="3"/>
        <v>78.334721609083189</v>
      </c>
      <c r="T27" s="39">
        <f>S27/O27-1</f>
        <v>-0.38800998742903758</v>
      </c>
      <c r="U27" s="51">
        <f>S27</f>
        <v>78.334721609083189</v>
      </c>
      <c r="V27" s="45">
        <f>U27/N27-1</f>
        <v>-0.38800998742903758</v>
      </c>
    </row>
    <row r="28" spans="1:22" x14ac:dyDescent="0.25">
      <c r="A28" s="15"/>
      <c r="B28" s="15" t="s">
        <v>4</v>
      </c>
      <c r="C28" s="16">
        <v>257.35977700979726</v>
      </c>
      <c r="D28" s="16">
        <v>245.19242708145211</v>
      </c>
      <c r="E28" s="16">
        <v>232.23544062915369</v>
      </c>
      <c r="F28" s="16">
        <v>239.50088584921292</v>
      </c>
      <c r="G28" s="16">
        <v>258.28337983180882</v>
      </c>
      <c r="H28" s="28">
        <v>235.92958637465659</v>
      </c>
      <c r="I28" s="29">
        <v>275.22037173798208</v>
      </c>
      <c r="J28" s="29">
        <v>205.7048688774367</v>
      </c>
      <c r="K28" s="30">
        <v>161.09885669144978</v>
      </c>
      <c r="L28" s="16">
        <v>203.82970433101309</v>
      </c>
      <c r="M28" s="16">
        <v>203.82970433101309</v>
      </c>
      <c r="N28" s="15">
        <v>194</v>
      </c>
      <c r="O28" s="37">
        <v>204</v>
      </c>
      <c r="P28" s="39">
        <f>O25/N25-1</f>
        <v>7.6923076923076872E-2</v>
      </c>
      <c r="Q28" s="43">
        <f>H28</f>
        <v>235.92958637465659</v>
      </c>
      <c r="R28" s="43">
        <f>AVERAGE(H28:K28)</f>
        <v>219.48842092038129</v>
      </c>
      <c r="S28" s="44">
        <f t="shared" si="3"/>
        <v>224.42077055666385</v>
      </c>
      <c r="T28" s="39">
        <f>S28/O28-1</f>
        <v>0.10010181645423466</v>
      </c>
      <c r="U28" s="51">
        <f>S28</f>
        <v>224.42077055666385</v>
      </c>
      <c r="V28" s="46">
        <f>U28/N28-1</f>
        <v>0.15680809565290654</v>
      </c>
    </row>
    <row r="29" spans="1:22" x14ac:dyDescent="0.25">
      <c r="A29" s="17" t="s">
        <v>24</v>
      </c>
      <c r="B29" s="17" t="s">
        <v>2</v>
      </c>
      <c r="C29" s="18">
        <v>106.44071562555298</v>
      </c>
      <c r="D29" s="18">
        <v>119.89109676139817</v>
      </c>
      <c r="E29" s="18">
        <v>115.59100540457071</v>
      </c>
      <c r="F29" s="18">
        <v>126.90637518479407</v>
      </c>
      <c r="G29" s="18">
        <v>117.65557463560485</v>
      </c>
      <c r="H29" s="31">
        <v>142.2188870830272</v>
      </c>
      <c r="I29" s="32">
        <v>166.63794972925507</v>
      </c>
      <c r="J29" s="32">
        <v>108.17915692043378</v>
      </c>
      <c r="K29" s="33">
        <v>149.51071218448826</v>
      </c>
      <c r="L29" s="18">
        <v>175.81852961113091</v>
      </c>
      <c r="M29" s="18">
        <v>175.81852961113091</v>
      </c>
      <c r="N29" s="17"/>
      <c r="S29" s="44"/>
      <c r="U29" s="52"/>
    </row>
    <row r="30" spans="1:22" x14ac:dyDescent="0.25">
      <c r="A30" s="17"/>
      <c r="B30" s="17" t="s">
        <v>3</v>
      </c>
      <c r="C30" s="18">
        <v>51.840987963712934</v>
      </c>
      <c r="D30" s="18">
        <v>43.352351092960681</v>
      </c>
      <c r="E30" s="18">
        <v>41.659352450607905</v>
      </c>
      <c r="F30" s="18">
        <v>38.522986360303101</v>
      </c>
      <c r="G30" s="18">
        <v>37.814199213313174</v>
      </c>
      <c r="H30" s="31">
        <v>41.04064433560476</v>
      </c>
      <c r="I30" s="32">
        <v>48.582113470115971</v>
      </c>
      <c r="J30" s="32">
        <v>33.736178861969321</v>
      </c>
      <c r="K30" s="33">
        <v>26.388209776376144</v>
      </c>
      <c r="L30" s="18">
        <v>38.063694037656909</v>
      </c>
      <c r="M30" s="18">
        <v>38.063694037656909</v>
      </c>
      <c r="N30" s="17">
        <v>38</v>
      </c>
      <c r="O30" s="37">
        <v>38</v>
      </c>
      <c r="P30" s="39">
        <f>O30/N30-1</f>
        <v>0</v>
      </c>
      <c r="Q30" s="43">
        <f>H30</f>
        <v>41.04064433560476</v>
      </c>
      <c r="R30" s="43">
        <f>AVERAGE(H30:K30)</f>
        <v>37.436786611016551</v>
      </c>
      <c r="S30" s="44">
        <f t="shared" si="3"/>
        <v>38.517943928393009</v>
      </c>
      <c r="T30" s="39">
        <f>S30/O30-1</f>
        <v>1.3630103378763359E-2</v>
      </c>
      <c r="U30" s="51">
        <f>S30</f>
        <v>38.517943928393009</v>
      </c>
      <c r="V30" s="46">
        <f>U30/N30-1</f>
        <v>1.3630103378763359E-2</v>
      </c>
    </row>
    <row r="31" spans="1:22" x14ac:dyDescent="0.25">
      <c r="A31" s="17"/>
      <c r="B31" s="17" t="s">
        <v>4</v>
      </c>
      <c r="C31" s="18">
        <v>172.15413322285048</v>
      </c>
      <c r="D31" s="18">
        <v>189.79912487710214</v>
      </c>
      <c r="E31" s="18">
        <v>203.046336</v>
      </c>
      <c r="F31" s="18">
        <v>208.48950778429602</v>
      </c>
      <c r="G31" s="18">
        <v>173.53777407878019</v>
      </c>
      <c r="H31" s="31">
        <v>195.52077489342608</v>
      </c>
      <c r="I31" s="32">
        <v>224.29013550424742</v>
      </c>
      <c r="J31" s="32">
        <v>177.75102195679267</v>
      </c>
      <c r="K31" s="33">
        <v>231.65518203902062</v>
      </c>
      <c r="L31" s="18">
        <v>247.11989550622627</v>
      </c>
      <c r="M31" s="20">
        <v>247.11989550622627</v>
      </c>
      <c r="N31" s="21">
        <v>206</v>
      </c>
      <c r="O31" s="37">
        <v>220</v>
      </c>
      <c r="P31" s="39">
        <f>O31/N31-1</f>
        <v>6.7961165048543659E-2</v>
      </c>
      <c r="Q31" s="43">
        <f>H31</f>
        <v>195.52077489342608</v>
      </c>
      <c r="R31" s="43">
        <f>AVERAGE(H31:K31)</f>
        <v>207.3042785983717</v>
      </c>
      <c r="S31" s="44">
        <f t="shared" si="3"/>
        <v>203.76922748688798</v>
      </c>
      <c r="T31" s="39">
        <f>S31/O31-1</f>
        <v>-7.3776238695963725E-2</v>
      </c>
      <c r="U31" s="51">
        <f>S31</f>
        <v>203.76922748688798</v>
      </c>
      <c r="V31" s="45">
        <f>U31/N31-1</f>
        <v>-1.0828992782097147E-2</v>
      </c>
    </row>
    <row r="32" spans="1:22" x14ac:dyDescent="0.25">
      <c r="A32" s="15" t="s">
        <v>26</v>
      </c>
      <c r="B32" s="15" t="s">
        <v>2</v>
      </c>
      <c r="C32" s="16">
        <v>83.801061336515517</v>
      </c>
      <c r="D32" s="16">
        <v>47.264035761072989</v>
      </c>
      <c r="E32" s="16">
        <v>47.835672350930508</v>
      </c>
      <c r="F32" s="16">
        <v>45.188251130856216</v>
      </c>
      <c r="G32" s="16">
        <v>39.052173909090904</v>
      </c>
      <c r="H32" s="28">
        <v>53.788501087744741</v>
      </c>
      <c r="I32" s="29">
        <v>50.289935744680847</v>
      </c>
      <c r="J32" s="29">
        <v>49.929718354175066</v>
      </c>
      <c r="K32" s="30">
        <v>95.697489712696978</v>
      </c>
      <c r="L32" s="16">
        <v>91.360950087057489</v>
      </c>
      <c r="M32" s="16">
        <v>91.360950087057489</v>
      </c>
      <c r="N32" s="15"/>
      <c r="S32" s="44"/>
      <c r="U32" s="52"/>
    </row>
    <row r="33" spans="1:22" x14ac:dyDescent="0.25">
      <c r="A33" s="15"/>
      <c r="B33" s="15" t="s">
        <v>3</v>
      </c>
      <c r="C33" s="16">
        <v>11.35112602739726</v>
      </c>
      <c r="D33" s="16">
        <v>19.789716008316013</v>
      </c>
      <c r="E33" s="16">
        <v>21.767215123674919</v>
      </c>
      <c r="F33" s="16">
        <v>16.241537897950288</v>
      </c>
      <c r="G33" s="16">
        <v>17.683171469740632</v>
      </c>
      <c r="H33" s="28">
        <v>26.770216419832582</v>
      </c>
      <c r="I33" s="29">
        <v>29.45462372093024</v>
      </c>
      <c r="J33" s="29">
        <v>22.2273478566409</v>
      </c>
      <c r="K33" s="30">
        <v>33.291251195065534</v>
      </c>
      <c r="L33" s="16">
        <v>23.908600240384619</v>
      </c>
      <c r="M33" s="16">
        <v>23.908600240384619</v>
      </c>
      <c r="N33" s="16">
        <v>30</v>
      </c>
      <c r="O33" s="37">
        <v>25</v>
      </c>
      <c r="P33" s="39">
        <f>O33/N33-1</f>
        <v>-0.16666666666666663</v>
      </c>
      <c r="Q33" s="43">
        <f>H33</f>
        <v>26.770216419832582</v>
      </c>
      <c r="R33" s="43">
        <f>AVERAGE(H33:K33)</f>
        <v>27.935859798117313</v>
      </c>
      <c r="S33" s="44">
        <f t="shared" si="3"/>
        <v>27.586166784631892</v>
      </c>
      <c r="T33" s="39">
        <f>S33/O33-1</f>
        <v>0.10344667138527575</v>
      </c>
      <c r="U33" s="51">
        <f>S33</f>
        <v>27.586166784631892</v>
      </c>
      <c r="V33" s="45">
        <f>U33/N33-1</f>
        <v>-8.0461107178936953E-2</v>
      </c>
    </row>
    <row r="34" spans="1:22" x14ac:dyDescent="0.25">
      <c r="A34" s="15"/>
      <c r="B34" s="15" t="s">
        <v>4</v>
      </c>
      <c r="C34" s="16">
        <v>163.13374050000002</v>
      </c>
      <c r="D34" s="16">
        <v>82.604955179176315</v>
      </c>
      <c r="E34" s="16">
        <v>78.120456403940892</v>
      </c>
      <c r="F34" s="16">
        <v>91.898183180858538</v>
      </c>
      <c r="G34" s="16">
        <v>62.742409840255583</v>
      </c>
      <c r="H34" s="28">
        <v>88.609576680497923</v>
      </c>
      <c r="I34" s="29">
        <v>74.135673079847891</v>
      </c>
      <c r="J34" s="29">
        <v>87.259711931818174</v>
      </c>
      <c r="K34" s="30">
        <v>137.41959865979385</v>
      </c>
      <c r="L34" s="16">
        <v>129.65964554140132</v>
      </c>
      <c r="M34" s="20">
        <v>129.65964554140132</v>
      </c>
      <c r="N34" s="21">
        <v>90</v>
      </c>
      <c r="O34" s="37">
        <v>110</v>
      </c>
      <c r="P34" s="39">
        <f>O34/N34-1</f>
        <v>0.22222222222222232</v>
      </c>
      <c r="Q34" s="43">
        <f>H34</f>
        <v>88.609576680497923</v>
      </c>
      <c r="R34" s="43">
        <f>AVERAGE(H34:K34)</f>
        <v>96.856140087989459</v>
      </c>
      <c r="S34" s="44">
        <f t="shared" si="3"/>
        <v>94.382171065742</v>
      </c>
      <c r="T34" s="39">
        <f>S34/O34-1</f>
        <v>-0.14198026303870914</v>
      </c>
      <c r="U34" s="51">
        <f>S35</f>
        <v>97.223762036205073</v>
      </c>
      <c r="V34" s="46">
        <f>U34/N34-1</f>
        <v>8.026402262450083E-2</v>
      </c>
    </row>
    <row r="35" spans="1:22" x14ac:dyDescent="0.25">
      <c r="Q35" s="43">
        <f>I34</f>
        <v>74.135673079847891</v>
      </c>
      <c r="R35" s="43">
        <f>AVERAGE(I34:L34)</f>
        <v>107.11865730321531</v>
      </c>
      <c r="S35" s="44">
        <f t="shared" si="3"/>
        <v>97.223762036205073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1BB6-4506-41B2-B02B-F6F230B3FDB5}">
  <sheetPr filterMode="1"/>
  <dimension ref="A1:M67"/>
  <sheetViews>
    <sheetView workbookViewId="0">
      <selection activeCell="M67" sqref="M67"/>
    </sheetView>
  </sheetViews>
  <sheetFormatPr defaultRowHeight="15" x14ac:dyDescent="0.25"/>
  <cols>
    <col min="2" max="2" width="20.85546875" bestFit="1" customWidth="1"/>
  </cols>
  <sheetData>
    <row r="1" spans="1:13" x14ac:dyDescent="0.25"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  <c r="H1" s="9" t="s">
        <v>33</v>
      </c>
      <c r="I1" s="9" t="s">
        <v>34</v>
      </c>
      <c r="J1" s="9" t="s">
        <v>35</v>
      </c>
      <c r="K1" s="9" t="s">
        <v>36</v>
      </c>
      <c r="L1" s="9" t="s">
        <v>37</v>
      </c>
      <c r="M1" s="9" t="s">
        <v>38</v>
      </c>
    </row>
    <row r="2" spans="1:13" ht="15.75" hidden="1" x14ac:dyDescent="0.25">
      <c r="A2" s="59" t="s">
        <v>0</v>
      </c>
      <c r="B2" s="1" t="s">
        <v>1</v>
      </c>
      <c r="C2" s="9">
        <v>164.65117469271934</v>
      </c>
      <c r="D2" s="9">
        <v>186.00859794906145</v>
      </c>
      <c r="E2" s="9">
        <v>179.13831984474263</v>
      </c>
      <c r="F2" s="9">
        <v>178.34866588044497</v>
      </c>
      <c r="G2" s="9">
        <v>198.58723475403829</v>
      </c>
      <c r="H2" s="9">
        <v>211.84848414487996</v>
      </c>
      <c r="I2" s="9">
        <v>218.80461916438645</v>
      </c>
      <c r="J2" s="9">
        <v>196.87036032891052</v>
      </c>
      <c r="K2" s="9">
        <v>182.98123393500666</v>
      </c>
      <c r="L2" s="9">
        <v>204.10735126249872</v>
      </c>
      <c r="M2" s="9">
        <v>204.10735126249872</v>
      </c>
    </row>
    <row r="3" spans="1:13" x14ac:dyDescent="0.25">
      <c r="A3" s="57"/>
      <c r="B3" s="2" t="s">
        <v>2</v>
      </c>
      <c r="C3" s="9">
        <v>150.74476636594707</v>
      </c>
      <c r="D3" s="9">
        <v>163.09455437042638</v>
      </c>
      <c r="E3" s="9">
        <v>160.28071413006683</v>
      </c>
      <c r="F3" s="9">
        <v>149.41178232659658</v>
      </c>
      <c r="G3" s="9">
        <v>173.39760924833766</v>
      </c>
      <c r="H3" s="9">
        <v>186.93788429952176</v>
      </c>
      <c r="I3" s="9">
        <v>179.62838133862391</v>
      </c>
      <c r="J3" s="9">
        <v>162.99826003810924</v>
      </c>
      <c r="K3" s="9">
        <v>158.83682370236284</v>
      </c>
      <c r="L3" s="9">
        <v>173.27541375719619</v>
      </c>
      <c r="M3" s="9">
        <v>173.27541375719619</v>
      </c>
    </row>
    <row r="4" spans="1:13" x14ac:dyDescent="0.25">
      <c r="A4" s="57"/>
      <c r="B4" s="3" t="s">
        <v>3</v>
      </c>
      <c r="C4" s="9">
        <v>70.18456940178838</v>
      </c>
      <c r="D4" s="9">
        <v>66.245932766701273</v>
      </c>
      <c r="E4" s="9">
        <v>61.267856374412617</v>
      </c>
      <c r="F4" s="9">
        <v>57.90261902141917</v>
      </c>
      <c r="G4" s="9">
        <v>68.453247995103823</v>
      </c>
      <c r="H4" s="9">
        <v>74.803495109313801</v>
      </c>
      <c r="I4" s="9">
        <v>68.576590074520368</v>
      </c>
      <c r="J4" s="9">
        <v>59.823180329525485</v>
      </c>
      <c r="K4" s="9">
        <v>60.473948644773095</v>
      </c>
      <c r="L4" s="9">
        <v>61.274587592848071</v>
      </c>
      <c r="M4" s="9">
        <v>61.274587592848071</v>
      </c>
    </row>
    <row r="5" spans="1:13" x14ac:dyDescent="0.25">
      <c r="A5" s="57"/>
      <c r="B5" s="3" t="s">
        <v>4</v>
      </c>
      <c r="C5" s="9">
        <v>265.80589289873444</v>
      </c>
      <c r="D5" s="9">
        <v>274.01354962035816</v>
      </c>
      <c r="E5" s="9">
        <v>276.94516923333742</v>
      </c>
      <c r="F5" s="9">
        <v>264.52337504914766</v>
      </c>
      <c r="G5" s="9">
        <v>272.51691904907449</v>
      </c>
      <c r="H5" s="9">
        <v>290.03464127033305</v>
      </c>
      <c r="I5" s="9">
        <v>278.65208349442196</v>
      </c>
      <c r="J5" s="9">
        <v>275.90103489110055</v>
      </c>
      <c r="K5" s="9">
        <v>273.38237992010829</v>
      </c>
      <c r="L5" s="9">
        <v>306.2114164700269</v>
      </c>
      <c r="M5" s="9">
        <v>306.2114164700269</v>
      </c>
    </row>
    <row r="6" spans="1:13" hidden="1" x14ac:dyDescent="0.25">
      <c r="A6" s="57"/>
      <c r="B6" s="2" t="s">
        <v>5</v>
      </c>
      <c r="C6" s="9">
        <v>261.52043620735259</v>
      </c>
      <c r="D6" s="9">
        <v>264.14815231610169</v>
      </c>
      <c r="E6" s="9">
        <v>250.24250584196574</v>
      </c>
      <c r="F6" s="9">
        <v>277.62238950032076</v>
      </c>
      <c r="G6" s="9">
        <v>257.24202291554599</v>
      </c>
      <c r="H6" s="9">
        <v>271.49053977260837</v>
      </c>
      <c r="I6" s="9">
        <v>327.04952169970477</v>
      </c>
      <c r="J6" s="9">
        <v>279.59047883044377</v>
      </c>
      <c r="K6" s="9">
        <v>219.65601893484541</v>
      </c>
      <c r="L6" s="9">
        <v>261.9223515406652</v>
      </c>
      <c r="M6" s="9">
        <v>261.9223515406652</v>
      </c>
    </row>
    <row r="7" spans="1:13" hidden="1" x14ac:dyDescent="0.25">
      <c r="A7" s="57"/>
      <c r="B7" s="2" t="s">
        <v>6</v>
      </c>
      <c r="C7" s="9">
        <v>320.97336331205395</v>
      </c>
      <c r="D7" s="9">
        <v>349.32395322510183</v>
      </c>
      <c r="E7" s="9">
        <v>308.8621580199956</v>
      </c>
      <c r="F7" s="9">
        <v>353.24260457465954</v>
      </c>
      <c r="G7" s="9">
        <v>356.59908646522905</v>
      </c>
      <c r="H7" s="9">
        <v>376.50662831825599</v>
      </c>
      <c r="I7" s="9">
        <v>355.74171205802361</v>
      </c>
      <c r="J7" s="9">
        <v>336.21687499078337</v>
      </c>
      <c r="K7" s="9">
        <v>365.84932364291114</v>
      </c>
      <c r="L7" s="9">
        <v>392.0031774784307</v>
      </c>
      <c r="M7" s="9">
        <v>392.0031774784307</v>
      </c>
    </row>
    <row r="8" spans="1:13" hidden="1" x14ac:dyDescent="0.25">
      <c r="A8" s="60"/>
      <c r="B8" s="2" t="s">
        <v>7</v>
      </c>
      <c r="C8" s="9">
        <v>132.29602692537313</v>
      </c>
      <c r="D8" s="9">
        <v>156.18618734679779</v>
      </c>
      <c r="E8" s="9">
        <v>171.24915875331567</v>
      </c>
      <c r="F8" s="9">
        <v>185.67548712471128</v>
      </c>
      <c r="G8" s="9">
        <v>148.14596410076976</v>
      </c>
      <c r="H8" s="9">
        <v>148.54680025090607</v>
      </c>
      <c r="I8" s="9">
        <v>183.44701533180773</v>
      </c>
      <c r="J8" s="9">
        <v>342.93594153132256</v>
      </c>
      <c r="K8" s="9">
        <v>112.22442373987401</v>
      </c>
      <c r="L8" s="9">
        <v>87.166214935064943</v>
      </c>
      <c r="M8" s="9">
        <v>87.166214935064943</v>
      </c>
    </row>
    <row r="9" spans="1:13" ht="15.75" hidden="1" x14ac:dyDescent="0.25">
      <c r="A9" s="59" t="s">
        <v>8</v>
      </c>
      <c r="B9" s="1" t="s">
        <v>9</v>
      </c>
      <c r="C9" s="9">
        <v>174.01451717748495</v>
      </c>
      <c r="D9" s="9">
        <v>227.43885314442167</v>
      </c>
      <c r="E9" s="9">
        <v>216.3041861834117</v>
      </c>
      <c r="F9" s="9">
        <v>218.98385512348707</v>
      </c>
      <c r="G9" s="9">
        <v>264.14133800151205</v>
      </c>
      <c r="H9" s="9">
        <v>282.92582207782669</v>
      </c>
      <c r="I9" s="9">
        <v>258.34999017843728</v>
      </c>
      <c r="J9" s="9">
        <v>229.62428845224861</v>
      </c>
      <c r="K9" s="9">
        <v>214.49792397999195</v>
      </c>
      <c r="L9" s="9">
        <v>229.53052017960235</v>
      </c>
      <c r="M9" s="9">
        <v>229.53052017960235</v>
      </c>
    </row>
    <row r="10" spans="1:13" x14ac:dyDescent="0.25">
      <c r="A10" s="57"/>
      <c r="B10" s="2" t="s">
        <v>2</v>
      </c>
      <c r="C10" s="9">
        <v>146.07507129367323</v>
      </c>
      <c r="D10" s="9">
        <v>178.90034411143947</v>
      </c>
      <c r="E10" s="9">
        <v>176.24845368055182</v>
      </c>
      <c r="F10" s="9">
        <v>163.99015997153393</v>
      </c>
      <c r="G10" s="9">
        <v>206.79246866944209</v>
      </c>
      <c r="H10" s="9">
        <v>226.78050986418867</v>
      </c>
      <c r="I10" s="9">
        <v>179.40457156232949</v>
      </c>
      <c r="J10" s="9">
        <v>169.81389620504871</v>
      </c>
      <c r="K10" s="9">
        <v>169.03893212991886</v>
      </c>
      <c r="L10" s="9">
        <v>172.28523737609385</v>
      </c>
      <c r="M10" s="9">
        <v>172.28523737609385</v>
      </c>
    </row>
    <row r="11" spans="1:13" x14ac:dyDescent="0.25">
      <c r="A11" s="57"/>
      <c r="B11" s="3" t="s">
        <v>3</v>
      </c>
      <c r="C11" s="9">
        <v>55.33155425638229</v>
      </c>
      <c r="D11" s="9">
        <v>48.852693863227266</v>
      </c>
      <c r="E11" s="9">
        <v>51.785123879561809</v>
      </c>
      <c r="F11" s="9">
        <v>42.477371316843644</v>
      </c>
      <c r="G11" s="9">
        <v>39.56120267359946</v>
      </c>
      <c r="H11" s="9">
        <v>49.036219171046348</v>
      </c>
      <c r="I11" s="9">
        <v>45.509346887029082</v>
      </c>
      <c r="J11" s="9">
        <v>47.696986125533329</v>
      </c>
      <c r="K11" s="9">
        <v>50.936996363214114</v>
      </c>
      <c r="L11" s="9">
        <v>46.913432336516962</v>
      </c>
      <c r="M11" s="9">
        <v>46.913432336516962</v>
      </c>
    </row>
    <row r="12" spans="1:13" x14ac:dyDescent="0.25">
      <c r="A12" s="57"/>
      <c r="B12" s="3" t="s">
        <v>4</v>
      </c>
      <c r="C12" s="9">
        <v>350.83396674866742</v>
      </c>
      <c r="D12" s="9">
        <v>389.48596149952618</v>
      </c>
      <c r="E12" s="9">
        <v>405.21670114459397</v>
      </c>
      <c r="F12" s="9">
        <v>354.433120425857</v>
      </c>
      <c r="G12" s="9">
        <v>404.63999176092392</v>
      </c>
      <c r="H12" s="9">
        <v>438.84766130825125</v>
      </c>
      <c r="I12" s="9">
        <v>352.29961427655218</v>
      </c>
      <c r="J12" s="9">
        <v>402.29973020160503</v>
      </c>
      <c r="K12" s="9">
        <v>411.43499285986672</v>
      </c>
      <c r="L12" s="9">
        <v>435.00579788068148</v>
      </c>
      <c r="M12" s="9">
        <v>435.00579788068148</v>
      </c>
    </row>
    <row r="13" spans="1:13" hidden="1" x14ac:dyDescent="0.25">
      <c r="A13" s="57"/>
      <c r="B13" s="2" t="s">
        <v>5</v>
      </c>
      <c r="C13" s="9">
        <v>613.75425324585649</v>
      </c>
      <c r="D13" s="9">
        <v>572.12156054577429</v>
      </c>
      <c r="E13" s="9">
        <v>653.46719422141109</v>
      </c>
      <c r="F13" s="9">
        <v>565.12794651946115</v>
      </c>
      <c r="G13" s="9">
        <v>534.23503460610948</v>
      </c>
      <c r="H13" s="9">
        <v>546.03798667953674</v>
      </c>
      <c r="I13" s="9">
        <v>536.25077214133182</v>
      </c>
      <c r="J13" s="9">
        <v>461.91919420056394</v>
      </c>
      <c r="K13" s="9">
        <v>372.53967157115613</v>
      </c>
      <c r="L13" s="9">
        <v>463.07531873769312</v>
      </c>
      <c r="M13" s="9">
        <v>463.07531873769312</v>
      </c>
    </row>
    <row r="14" spans="1:13" hidden="1" x14ac:dyDescent="0.25">
      <c r="A14" s="57"/>
      <c r="B14" s="4" t="s">
        <v>6</v>
      </c>
      <c r="C14" s="9">
        <v>372.32091519434618</v>
      </c>
      <c r="D14" s="9">
        <v>394.65343816542514</v>
      </c>
      <c r="E14" s="9">
        <v>373.08939438676754</v>
      </c>
      <c r="F14" s="9">
        <v>409.46929277242418</v>
      </c>
      <c r="G14" s="9">
        <v>399.61824970970412</v>
      </c>
      <c r="H14" s="9">
        <v>398.50224638759693</v>
      </c>
      <c r="I14" s="9">
        <v>377.61883593430912</v>
      </c>
      <c r="J14" s="9">
        <v>348.25153905447064</v>
      </c>
      <c r="K14" s="9">
        <v>397.22693850084119</v>
      </c>
      <c r="L14" s="9">
        <v>441.40301701433793</v>
      </c>
      <c r="M14" s="9">
        <v>441.40301701433793</v>
      </c>
    </row>
    <row r="15" spans="1:13" ht="15.75" hidden="1" thickBot="1" x14ac:dyDescent="0.3">
      <c r="A15" s="58"/>
      <c r="B15" s="5" t="s">
        <v>7</v>
      </c>
      <c r="C15" s="9">
        <v>130.52205968379445</v>
      </c>
      <c r="D15" s="9">
        <v>173.10841968680083</v>
      </c>
      <c r="E15" s="9">
        <v>135.49855200000002</v>
      </c>
      <c r="F15" s="9">
        <v>192.73981745843227</v>
      </c>
      <c r="G15" s="9">
        <v>166.5412010600707</v>
      </c>
      <c r="H15" s="9">
        <v>183.88814884120174</v>
      </c>
      <c r="I15" s="9">
        <v>210.45461922077914</v>
      </c>
      <c r="J15" s="9">
        <v>324.8795319767442</v>
      </c>
      <c r="K15" s="9">
        <v>413.81424240000001</v>
      </c>
      <c r="L15" s="9">
        <v>71.727895161290306</v>
      </c>
      <c r="M15" s="9">
        <v>71.727895161290306</v>
      </c>
    </row>
    <row r="16" spans="1:13" ht="15.75" hidden="1" x14ac:dyDescent="0.25">
      <c r="A16" s="56" t="s">
        <v>10</v>
      </c>
      <c r="B16" s="6" t="s">
        <v>11</v>
      </c>
      <c r="C16" s="9">
        <v>154.49626280163949</v>
      </c>
      <c r="D16" s="9">
        <v>151.03393270226823</v>
      </c>
      <c r="E16" s="9">
        <v>148.02059611283522</v>
      </c>
      <c r="F16" s="9">
        <v>140.56549671291648</v>
      </c>
      <c r="G16" s="9">
        <v>154.63831118889638</v>
      </c>
      <c r="H16" s="9">
        <v>157.15057587032149</v>
      </c>
      <c r="I16" s="9">
        <v>172.96654517500775</v>
      </c>
      <c r="J16" s="9">
        <v>156.97015599753078</v>
      </c>
      <c r="K16" s="9">
        <v>148.1615446023857</v>
      </c>
      <c r="L16" s="9">
        <v>173.01379242129943</v>
      </c>
      <c r="M16" s="9">
        <v>173.01379242129943</v>
      </c>
    </row>
    <row r="17" spans="1:13" x14ac:dyDescent="0.25">
      <c r="A17" s="57"/>
      <c r="B17" s="2" t="s">
        <v>2</v>
      </c>
      <c r="C17" s="9">
        <v>153.18908514517034</v>
      </c>
      <c r="D17" s="9">
        <v>148.6305813537189</v>
      </c>
      <c r="E17" s="9">
        <v>144.66937668950104</v>
      </c>
      <c r="F17" s="9">
        <v>134.26949668825492</v>
      </c>
      <c r="G17" s="9">
        <v>152.66407321733666</v>
      </c>
      <c r="H17" s="9">
        <v>157.76444686129136</v>
      </c>
      <c r="I17" s="9">
        <v>178.4321798979575</v>
      </c>
      <c r="J17" s="9">
        <v>159.9884134347806</v>
      </c>
      <c r="K17" s="9">
        <v>149.76902273999318</v>
      </c>
      <c r="L17" s="9">
        <v>174.87841154625255</v>
      </c>
      <c r="M17" s="9">
        <v>174.87841154625255</v>
      </c>
    </row>
    <row r="18" spans="1:13" x14ac:dyDescent="0.25">
      <c r="A18" s="57"/>
      <c r="B18" s="3" t="s">
        <v>3</v>
      </c>
      <c r="C18" s="9">
        <v>99.261741879800468</v>
      </c>
      <c r="D18" s="9">
        <v>93.027406628286144</v>
      </c>
      <c r="E18" s="9">
        <v>82.706626699364477</v>
      </c>
      <c r="F18" s="9">
        <v>80.499408693796596</v>
      </c>
      <c r="G18" s="9">
        <v>97.468808501050518</v>
      </c>
      <c r="H18" s="9">
        <v>104.8879223053715</v>
      </c>
      <c r="I18" s="9">
        <v>109.24762295120797</v>
      </c>
      <c r="J18" s="9">
        <v>92.667483058268786</v>
      </c>
      <c r="K18" s="9">
        <v>81.127155494461292</v>
      </c>
      <c r="L18" s="9">
        <v>94.209212303106469</v>
      </c>
      <c r="M18" s="9">
        <v>94.209212303106469</v>
      </c>
    </row>
    <row r="19" spans="1:13" x14ac:dyDescent="0.25">
      <c r="A19" s="57"/>
      <c r="B19" s="3" t="s">
        <v>4</v>
      </c>
      <c r="C19" s="9">
        <v>211.17697338650169</v>
      </c>
      <c r="D19" s="9">
        <v>204.81033542230284</v>
      </c>
      <c r="E19" s="9">
        <v>199.36784111351648</v>
      </c>
      <c r="F19" s="9">
        <v>200.63325435954633</v>
      </c>
      <c r="G19" s="9">
        <v>206.63728603444088</v>
      </c>
      <c r="H19" s="9">
        <v>205.38050157685853</v>
      </c>
      <c r="I19" s="9">
        <v>228.45596173255313</v>
      </c>
      <c r="J19" s="9">
        <v>207.64598193450962</v>
      </c>
      <c r="K19" s="9">
        <v>211.15778536989063</v>
      </c>
      <c r="L19" s="9">
        <v>239.38474035940456</v>
      </c>
      <c r="M19" s="9">
        <v>239.38474035940456</v>
      </c>
    </row>
    <row r="20" spans="1:13" hidden="1" x14ac:dyDescent="0.25">
      <c r="A20" s="57"/>
      <c r="B20" s="2" t="s">
        <v>5</v>
      </c>
      <c r="C20" s="9">
        <v>164.53800964952737</v>
      </c>
      <c r="D20" s="9">
        <v>162.25185586111161</v>
      </c>
      <c r="E20" s="9">
        <v>161.40820583823884</v>
      </c>
      <c r="F20" s="9">
        <v>171.27808366124893</v>
      </c>
      <c r="G20" s="9">
        <v>161.77156223934719</v>
      </c>
      <c r="H20" s="9">
        <v>152.77299833382477</v>
      </c>
      <c r="I20" s="9">
        <v>148.57781856117376</v>
      </c>
      <c r="J20" s="9">
        <v>138.00384639914554</v>
      </c>
      <c r="K20" s="9">
        <v>137.28258176670442</v>
      </c>
      <c r="L20" s="9">
        <v>161.63296245106656</v>
      </c>
      <c r="M20" s="9">
        <v>161.63296245106656</v>
      </c>
    </row>
    <row r="21" spans="1:13" ht="15.75" hidden="1" thickBot="1" x14ac:dyDescent="0.3">
      <c r="A21" s="58"/>
      <c r="B21" s="5" t="s">
        <v>7</v>
      </c>
      <c r="C21" s="9">
        <v>167.13415439642324</v>
      </c>
      <c r="D21" s="9">
        <v>176.63249223399913</v>
      </c>
      <c r="E21" s="9">
        <v>180.70006892971247</v>
      </c>
      <c r="F21" s="9">
        <v>181.32166584507036</v>
      </c>
      <c r="G21" s="9">
        <v>175.14639132775122</v>
      </c>
      <c r="H21" s="9">
        <v>178.11578802153434</v>
      </c>
      <c r="I21" s="9">
        <v>156.57500292028411</v>
      </c>
      <c r="J21" s="9">
        <v>453.85138681318688</v>
      </c>
      <c r="K21" s="9">
        <v>125.22219333333331</v>
      </c>
      <c r="L21" s="9">
        <v>150.57851176470589</v>
      </c>
      <c r="M21" s="9">
        <v>150.57851176470589</v>
      </c>
    </row>
    <row r="22" spans="1:13" ht="15.75" hidden="1" x14ac:dyDescent="0.25">
      <c r="A22" s="56" t="s">
        <v>12</v>
      </c>
      <c r="B22" s="1" t="s">
        <v>13</v>
      </c>
      <c r="C22" s="9">
        <v>260.18664237789278</v>
      </c>
      <c r="D22" s="9">
        <v>233.80861891431232</v>
      </c>
      <c r="E22" s="9">
        <v>230.31404814611372</v>
      </c>
      <c r="F22" s="9">
        <v>218.15381485682917</v>
      </c>
      <c r="G22" s="9">
        <v>251.46460251121078</v>
      </c>
      <c r="H22" s="9">
        <v>214.74677038733211</v>
      </c>
      <c r="I22" s="9">
        <v>240.73175535977782</v>
      </c>
      <c r="J22" s="9">
        <v>208.24107993955906</v>
      </c>
      <c r="K22" s="9">
        <v>213.82013029510645</v>
      </c>
      <c r="L22" s="9">
        <v>280.48296848179814</v>
      </c>
      <c r="M22" s="9">
        <v>280.48296848179814</v>
      </c>
    </row>
    <row r="23" spans="1:13" x14ac:dyDescent="0.25">
      <c r="A23" s="57"/>
      <c r="B23" s="2" t="s">
        <v>2</v>
      </c>
      <c r="C23" s="9">
        <v>267.38189228543877</v>
      </c>
      <c r="D23" s="9">
        <v>241.88807600947553</v>
      </c>
      <c r="E23" s="9">
        <v>236.35205662002153</v>
      </c>
      <c r="F23" s="9">
        <v>218.51071483466839</v>
      </c>
      <c r="G23" s="9">
        <v>268.76748331288348</v>
      </c>
      <c r="H23" s="9">
        <v>221.85435817846715</v>
      </c>
      <c r="I23" s="9">
        <v>261.55979487509506</v>
      </c>
      <c r="J23" s="9">
        <v>215.06827530094355</v>
      </c>
      <c r="K23" s="9">
        <v>226.74923288443472</v>
      </c>
      <c r="L23" s="9">
        <v>296.04960239794008</v>
      </c>
      <c r="M23" s="9">
        <v>296.04960239794008</v>
      </c>
    </row>
    <row r="24" spans="1:13" x14ac:dyDescent="0.25">
      <c r="A24" s="57"/>
      <c r="B24" s="3" t="s">
        <v>3</v>
      </c>
      <c r="C24" s="9">
        <v>177.83570938973463</v>
      </c>
      <c r="D24" s="9">
        <v>152.93686625987644</v>
      </c>
      <c r="E24" s="9">
        <v>139.57769768456373</v>
      </c>
      <c r="F24" s="9">
        <v>140.45134130326437</v>
      </c>
      <c r="G24" s="9">
        <v>160.98056754148971</v>
      </c>
      <c r="H24" s="9">
        <v>145.57149758917856</v>
      </c>
      <c r="I24" s="9">
        <v>135.64688509107611</v>
      </c>
      <c r="J24" s="9">
        <v>136.75539074044201</v>
      </c>
      <c r="K24" s="9">
        <v>139.6646360537321</v>
      </c>
      <c r="L24" s="9">
        <v>160.61871277993831</v>
      </c>
      <c r="M24" s="9">
        <v>160.61871277993831</v>
      </c>
    </row>
    <row r="25" spans="1:13" x14ac:dyDescent="0.25">
      <c r="A25" s="57"/>
      <c r="B25" s="3" t="s">
        <v>4</v>
      </c>
      <c r="C25" s="9">
        <v>349.12086371126418</v>
      </c>
      <c r="D25" s="9">
        <v>318.73052380834412</v>
      </c>
      <c r="E25" s="9">
        <v>308.67496310971791</v>
      </c>
      <c r="F25" s="9">
        <v>291.55543116474286</v>
      </c>
      <c r="G25" s="9">
        <v>358.45145850995522</v>
      </c>
      <c r="H25" s="9">
        <v>289.31383946556036</v>
      </c>
      <c r="I25" s="9">
        <v>339.45648423295455</v>
      </c>
      <c r="J25" s="9">
        <v>254.72044971820642</v>
      </c>
      <c r="K25" s="9">
        <v>287.74014027691487</v>
      </c>
      <c r="L25" s="9">
        <v>386.34897148605154</v>
      </c>
      <c r="M25" s="9">
        <v>386.34897148605154</v>
      </c>
    </row>
    <row r="26" spans="1:13" hidden="1" x14ac:dyDescent="0.25">
      <c r="A26" s="57"/>
      <c r="B26" s="2" t="s">
        <v>5</v>
      </c>
      <c r="C26" s="9">
        <v>201.27250178861789</v>
      </c>
      <c r="D26" s="9">
        <v>211.37837370896489</v>
      </c>
      <c r="E26" s="9">
        <v>217.52841448999044</v>
      </c>
      <c r="F26" s="9">
        <v>219.27571521464651</v>
      </c>
      <c r="G26" s="9">
        <v>221.44733169804803</v>
      </c>
      <c r="H26" s="9">
        <v>193.8790609318346</v>
      </c>
      <c r="I26" s="9">
        <v>186.96428030238496</v>
      </c>
      <c r="J26" s="9">
        <v>172.76522969932498</v>
      </c>
      <c r="K26" s="9">
        <v>163.76821048519741</v>
      </c>
      <c r="L26" s="9">
        <v>214.79738136290879</v>
      </c>
      <c r="M26" s="9">
        <v>214.79738136290879</v>
      </c>
    </row>
    <row r="27" spans="1:13" ht="15.75" hidden="1" thickBot="1" x14ac:dyDescent="0.3">
      <c r="A27" s="58"/>
      <c r="B27" s="5" t="s">
        <v>7</v>
      </c>
      <c r="C27" s="9">
        <v>242.93785668449192</v>
      </c>
      <c r="D27" s="9">
        <v>186.60474194711529</v>
      </c>
      <c r="E27" s="9">
        <v>191.21942751558325</v>
      </c>
      <c r="F27" s="9">
        <v>195.95089408284019</v>
      </c>
      <c r="G27" s="9">
        <v>176.20702306273066</v>
      </c>
      <c r="H27" s="9">
        <v>181.65579832635984</v>
      </c>
      <c r="I27" s="9">
        <v>158.11274772545889</v>
      </c>
      <c r="J27" s="9">
        <v>499.86252147239276</v>
      </c>
      <c r="K27" s="9">
        <v>154.05661690140846</v>
      </c>
      <c r="L27" s="9">
        <v>191.55720000000002</v>
      </c>
      <c r="M27" s="9">
        <v>191.55720000000002</v>
      </c>
    </row>
    <row r="28" spans="1:13" ht="15.75" hidden="1" x14ac:dyDescent="0.25">
      <c r="A28" s="56" t="s">
        <v>14</v>
      </c>
      <c r="B28" s="1" t="s">
        <v>15</v>
      </c>
      <c r="C28" s="9">
        <v>147.55573288453692</v>
      </c>
      <c r="D28" s="9">
        <v>147.00134595742406</v>
      </c>
      <c r="E28" s="9">
        <v>143.57108631840796</v>
      </c>
      <c r="F28" s="9">
        <v>126.05788765265291</v>
      </c>
      <c r="G28" s="9">
        <v>142.12006726930323</v>
      </c>
      <c r="H28" s="9">
        <v>191.16113014574279</v>
      </c>
      <c r="I28" s="9">
        <v>209.98513526578827</v>
      </c>
      <c r="J28" s="9">
        <v>165.79804296277572</v>
      </c>
      <c r="K28" s="9">
        <v>117.83148830935251</v>
      </c>
      <c r="L28" s="9">
        <v>152.63665868138975</v>
      </c>
      <c r="M28" s="9">
        <v>152.63665868138975</v>
      </c>
    </row>
    <row r="29" spans="1:13" x14ac:dyDescent="0.25">
      <c r="A29" s="57"/>
      <c r="B29" s="2" t="s">
        <v>2</v>
      </c>
      <c r="C29" s="9">
        <v>142.37840210431384</v>
      </c>
      <c r="D29" s="9">
        <v>139.86786244051561</v>
      </c>
      <c r="E29" s="9">
        <v>132.47236329276654</v>
      </c>
      <c r="F29" s="9">
        <v>115.0056843900758</v>
      </c>
      <c r="G29" s="9">
        <v>138.0667478593052</v>
      </c>
      <c r="H29" s="9">
        <v>190.22022356072557</v>
      </c>
      <c r="I29" s="9">
        <v>213.77131064280422</v>
      </c>
      <c r="J29" s="9">
        <v>164.42191335005376</v>
      </c>
      <c r="K29" s="9">
        <v>114.98033248875778</v>
      </c>
      <c r="L29" s="9">
        <v>149.97959455219473</v>
      </c>
      <c r="M29" s="9">
        <v>149.97959455219473</v>
      </c>
    </row>
    <row r="30" spans="1:13" x14ac:dyDescent="0.25">
      <c r="A30" s="57"/>
      <c r="B30" s="3" t="s">
        <v>3</v>
      </c>
      <c r="C30" s="9">
        <v>79.805566137014821</v>
      </c>
      <c r="D30" s="9">
        <v>72.073345031289094</v>
      </c>
      <c r="E30" s="9">
        <v>63.442171882484423</v>
      </c>
      <c r="F30" s="9">
        <v>56.084329828080222</v>
      </c>
      <c r="G30" s="9">
        <v>69.017756988188978</v>
      </c>
      <c r="H30" s="9">
        <v>113.55018959837545</v>
      </c>
      <c r="I30" s="9">
        <v>131.98703644329896</v>
      </c>
      <c r="J30" s="9">
        <v>55.814730000000004</v>
      </c>
      <c r="K30" s="9">
        <v>47.779393552537542</v>
      </c>
      <c r="L30" s="9">
        <v>61.350916669601979</v>
      </c>
      <c r="M30" s="9">
        <v>61.350916669601979</v>
      </c>
    </row>
    <row r="31" spans="1:13" x14ac:dyDescent="0.25">
      <c r="A31" s="57"/>
      <c r="B31" s="3" t="s">
        <v>4</v>
      </c>
      <c r="C31" s="9">
        <v>227.7434046908316</v>
      </c>
      <c r="D31" s="9">
        <v>219.92145610364869</v>
      </c>
      <c r="E31" s="9">
        <v>212.4605388344126</v>
      </c>
      <c r="F31" s="9">
        <v>203.8715130077787</v>
      </c>
      <c r="G31" s="9">
        <v>210.68970306122455</v>
      </c>
      <c r="H31" s="9">
        <v>249.70929753151262</v>
      </c>
      <c r="I31" s="9">
        <v>270.81301186410212</v>
      </c>
      <c r="J31" s="9">
        <v>279.85216439024396</v>
      </c>
      <c r="K31" s="9">
        <v>255.48864749663718</v>
      </c>
      <c r="L31" s="9">
        <v>288.66875894997941</v>
      </c>
      <c r="M31" s="9">
        <v>288.66875894997941</v>
      </c>
    </row>
    <row r="32" spans="1:13" hidden="1" x14ac:dyDescent="0.25">
      <c r="A32" s="57"/>
      <c r="B32" s="2" t="s">
        <v>5</v>
      </c>
      <c r="C32" s="9">
        <v>196.94968909883727</v>
      </c>
      <c r="D32" s="9">
        <v>203.08681538917193</v>
      </c>
      <c r="E32" s="9">
        <v>225.1610632998746</v>
      </c>
      <c r="F32" s="9">
        <v>231.40850470202295</v>
      </c>
      <c r="G32" s="9">
        <v>169.41088860204573</v>
      </c>
      <c r="H32" s="9">
        <v>197.16777356828192</v>
      </c>
      <c r="I32" s="9">
        <v>187.09598412291933</v>
      </c>
      <c r="J32" s="9">
        <v>176.11183320835565</v>
      </c>
      <c r="K32" s="9">
        <v>145.77551877956483</v>
      </c>
      <c r="L32" s="9">
        <v>168.95336426921801</v>
      </c>
      <c r="M32" s="9">
        <v>168.95336426921801</v>
      </c>
    </row>
    <row r="33" spans="1:13" ht="15.75" hidden="1" thickBot="1" x14ac:dyDescent="0.3">
      <c r="A33" s="58"/>
      <c r="B33" s="5" t="s">
        <v>7</v>
      </c>
      <c r="C33" s="9">
        <v>186.03405000000001</v>
      </c>
      <c r="D33" s="9">
        <v>155.31625454545457</v>
      </c>
      <c r="E33" s="9">
        <v>4.9403250000000005</v>
      </c>
      <c r="F33" s="9">
        <v>3.4001999999999999</v>
      </c>
      <c r="G33" s="9">
        <v>211.35249999999999</v>
      </c>
      <c r="H33" s="9">
        <v>0</v>
      </c>
      <c r="I33" s="9">
        <v>0</v>
      </c>
      <c r="J33" s="9">
        <v>113.84040000000002</v>
      </c>
      <c r="K33" s="9">
        <v>8.9046000000000003</v>
      </c>
      <c r="L33" s="9">
        <v>0</v>
      </c>
      <c r="M33" s="9">
        <v>0</v>
      </c>
    </row>
    <row r="34" spans="1:13" ht="15.75" hidden="1" x14ac:dyDescent="0.25">
      <c r="A34" s="56" t="s">
        <v>16</v>
      </c>
      <c r="B34" s="1" t="s">
        <v>17</v>
      </c>
      <c r="C34" s="9">
        <v>113.94793462061926</v>
      </c>
      <c r="D34" s="9">
        <v>106.78392527220961</v>
      </c>
      <c r="E34" s="9">
        <v>108.52313975565795</v>
      </c>
      <c r="F34" s="9">
        <v>99.602699533361928</v>
      </c>
      <c r="G34" s="9">
        <v>100.09795179111605</v>
      </c>
      <c r="H34" s="9">
        <v>112.85673523728813</v>
      </c>
      <c r="I34" s="9">
        <v>129.18279428571429</v>
      </c>
      <c r="J34" s="9">
        <v>121.77442454229279</v>
      </c>
      <c r="K34" s="9">
        <v>109.29939370507908</v>
      </c>
      <c r="L34" s="9">
        <v>120.58591120286599</v>
      </c>
      <c r="M34" s="9">
        <v>120.58591120286599</v>
      </c>
    </row>
    <row r="35" spans="1:13" x14ac:dyDescent="0.25">
      <c r="A35" s="57"/>
      <c r="B35" s="2" t="s">
        <v>2</v>
      </c>
      <c r="C35" s="9">
        <v>107.01421684155299</v>
      </c>
      <c r="D35" s="9">
        <v>100.05436733373216</v>
      </c>
      <c r="E35" s="9">
        <v>98.893915577332791</v>
      </c>
      <c r="F35" s="9">
        <v>90.369583158711663</v>
      </c>
      <c r="G35" s="9">
        <v>93.967219488597081</v>
      </c>
      <c r="H35" s="9">
        <v>110.19846245228381</v>
      </c>
      <c r="I35" s="9">
        <v>125.43555505480124</v>
      </c>
      <c r="J35" s="9">
        <v>119.84067688051321</v>
      </c>
      <c r="K35" s="9">
        <v>105.54609371809708</v>
      </c>
      <c r="L35" s="9">
        <v>120.78361871605625</v>
      </c>
      <c r="M35" s="9">
        <v>120.78361871605625</v>
      </c>
    </row>
    <row r="36" spans="1:13" x14ac:dyDescent="0.25">
      <c r="A36" s="57"/>
      <c r="B36" s="3" t="s">
        <v>3</v>
      </c>
      <c r="C36" s="9">
        <v>74.534434699272978</v>
      </c>
      <c r="D36" s="9">
        <v>68.660785668183181</v>
      </c>
      <c r="E36" s="9">
        <v>55.971098740157501</v>
      </c>
      <c r="F36" s="9">
        <v>56.22726361666502</v>
      </c>
      <c r="G36" s="9">
        <v>73.479241028256638</v>
      </c>
      <c r="H36" s="9">
        <v>80.164602663202359</v>
      </c>
      <c r="I36" s="9">
        <v>88.385765015996654</v>
      </c>
      <c r="J36" s="9">
        <v>95.230089429647208</v>
      </c>
      <c r="K36" s="9">
        <v>85.063232177359453</v>
      </c>
      <c r="L36" s="9">
        <v>91.601446903787107</v>
      </c>
      <c r="M36" s="9">
        <v>91.601446903787107</v>
      </c>
    </row>
    <row r="37" spans="1:13" x14ac:dyDescent="0.25">
      <c r="A37" s="57"/>
      <c r="B37" s="3" t="s">
        <v>4</v>
      </c>
      <c r="C37" s="9">
        <v>154.80213617504049</v>
      </c>
      <c r="D37" s="9">
        <v>148.46677471228617</v>
      </c>
      <c r="E37" s="9">
        <v>149.50856495821731</v>
      </c>
      <c r="F37" s="9">
        <v>155.66379493313238</v>
      </c>
      <c r="G37" s="9">
        <v>126.81701550539746</v>
      </c>
      <c r="H37" s="9">
        <v>156.7693476078563</v>
      </c>
      <c r="I37" s="9">
        <v>178.31443942823108</v>
      </c>
      <c r="J37" s="9">
        <v>153.14554999056418</v>
      </c>
      <c r="K37" s="9">
        <v>130.53153322254119</v>
      </c>
      <c r="L37" s="9">
        <v>155.62747066911089</v>
      </c>
      <c r="M37" s="9">
        <v>155.62747066911089</v>
      </c>
    </row>
    <row r="38" spans="1:13" hidden="1" x14ac:dyDescent="0.25">
      <c r="A38" s="57"/>
      <c r="B38" s="2" t="s">
        <v>5</v>
      </c>
      <c r="C38" s="9">
        <v>161.34808168642957</v>
      </c>
      <c r="D38" s="9">
        <v>141.91234188727594</v>
      </c>
      <c r="E38" s="9">
        <v>143.32240819825435</v>
      </c>
      <c r="F38" s="9">
        <v>144.84507817146471</v>
      </c>
      <c r="G38" s="9">
        <v>132.9149053933356</v>
      </c>
      <c r="H38" s="9">
        <v>129.14379919839675</v>
      </c>
      <c r="I38" s="9">
        <v>146.89157321839082</v>
      </c>
      <c r="J38" s="9">
        <v>130.46568881650379</v>
      </c>
      <c r="K38" s="9">
        <v>136.95944332833579</v>
      </c>
      <c r="L38" s="9">
        <v>119.33286396953829</v>
      </c>
      <c r="M38" s="9">
        <v>119.33286396953829</v>
      </c>
    </row>
    <row r="39" spans="1:13" ht="15.75" hidden="1" thickBot="1" x14ac:dyDescent="0.3">
      <c r="A39" s="58"/>
      <c r="B39" s="5" t="s">
        <v>7</v>
      </c>
      <c r="C39" s="9">
        <v>93.720355045871571</v>
      </c>
      <c r="D39" s="9">
        <v>113.94462031250002</v>
      </c>
      <c r="E39" s="9">
        <v>146.38126666666665</v>
      </c>
      <c r="F39" s="9">
        <v>87.759199999999993</v>
      </c>
      <c r="G39" s="9">
        <v>236.94556</v>
      </c>
      <c r="H39" s="9">
        <v>90.454199999999986</v>
      </c>
      <c r="I39" s="9">
        <v>27.641249999999999</v>
      </c>
      <c r="J39" s="9">
        <v>138.41945000000001</v>
      </c>
      <c r="K39" s="9">
        <v>9.0381</v>
      </c>
      <c r="L39" s="9">
        <v>86.11539999999998</v>
      </c>
      <c r="M39" s="9">
        <v>86.11539999999998</v>
      </c>
    </row>
    <row r="40" spans="1:13" ht="15.75" hidden="1" x14ac:dyDescent="0.25">
      <c r="A40" s="56" t="s">
        <v>18</v>
      </c>
      <c r="B40" s="1" t="s">
        <v>19</v>
      </c>
      <c r="C40" s="9">
        <v>134.54219272104578</v>
      </c>
      <c r="D40" s="9">
        <v>127.9210911034138</v>
      </c>
      <c r="E40" s="9">
        <v>123.76358229315461</v>
      </c>
      <c r="F40" s="9">
        <v>128.07381608195669</v>
      </c>
      <c r="G40" s="9">
        <v>124.08041147202127</v>
      </c>
      <c r="H40" s="9">
        <v>128.62143813211847</v>
      </c>
      <c r="I40" s="9">
        <v>127.15463784748307</v>
      </c>
      <c r="J40" s="9">
        <v>131.99831301182891</v>
      </c>
      <c r="K40" s="9">
        <v>126.75111020971303</v>
      </c>
      <c r="L40" s="9">
        <v>137.04923379971356</v>
      </c>
      <c r="M40" s="9">
        <v>137.04923379971356</v>
      </c>
    </row>
    <row r="41" spans="1:13" x14ac:dyDescent="0.25">
      <c r="A41" s="57"/>
      <c r="B41" s="2" t="s">
        <v>2</v>
      </c>
      <c r="C41" s="9">
        <v>131.85862845928892</v>
      </c>
      <c r="D41" s="9">
        <v>127.87156388558613</v>
      </c>
      <c r="E41" s="9">
        <v>122.67953214242826</v>
      </c>
      <c r="F41" s="9">
        <v>127.1803596656884</v>
      </c>
      <c r="G41" s="9">
        <v>125.69968540010889</v>
      </c>
      <c r="H41" s="9">
        <v>131.15417969870876</v>
      </c>
      <c r="I41" s="9">
        <v>129.90483319148933</v>
      </c>
      <c r="J41" s="9">
        <v>137.38968681181959</v>
      </c>
      <c r="K41" s="9">
        <v>128.67177004821602</v>
      </c>
      <c r="L41" s="9">
        <v>137.2610086113537</v>
      </c>
      <c r="M41" s="9">
        <v>137.2610086113537</v>
      </c>
    </row>
    <row r="42" spans="1:13" x14ac:dyDescent="0.25">
      <c r="A42" s="57"/>
      <c r="B42" s="3" t="s">
        <v>3</v>
      </c>
      <c r="C42" s="9">
        <v>90.101428224320614</v>
      </c>
      <c r="D42" s="9">
        <v>89.914287643403441</v>
      </c>
      <c r="E42" s="9">
        <v>80.399575459940678</v>
      </c>
      <c r="F42" s="9">
        <v>85.054691927710834</v>
      </c>
      <c r="G42" s="9">
        <v>98.36972207031252</v>
      </c>
      <c r="H42" s="9">
        <v>94.696478395933369</v>
      </c>
      <c r="I42" s="9">
        <v>96.141435160008385</v>
      </c>
      <c r="J42" s="9">
        <v>89.353968801766953</v>
      </c>
      <c r="K42" s="9">
        <v>83.380573219584576</v>
      </c>
      <c r="L42" s="9">
        <v>76.251957724628312</v>
      </c>
      <c r="M42" s="9">
        <v>76.251957724628312</v>
      </c>
    </row>
    <row r="43" spans="1:13" x14ac:dyDescent="0.25">
      <c r="A43" s="57"/>
      <c r="B43" s="3" t="s">
        <v>4</v>
      </c>
      <c r="C43" s="9">
        <v>165.4127625242898</v>
      </c>
      <c r="D43" s="9">
        <v>156.08830841575357</v>
      </c>
      <c r="E43" s="9">
        <v>151.4234203853137</v>
      </c>
      <c r="F43" s="9">
        <v>165.53710491223794</v>
      </c>
      <c r="G43" s="9">
        <v>145.3343082600561</v>
      </c>
      <c r="H43" s="9">
        <v>154.54126671195655</v>
      </c>
      <c r="I43" s="9">
        <v>146.39505752375109</v>
      </c>
      <c r="J43" s="9">
        <v>156.22334892833945</v>
      </c>
      <c r="K43" s="9">
        <v>144.58329814959606</v>
      </c>
      <c r="L43" s="9">
        <v>159.8510042364768</v>
      </c>
      <c r="M43" s="9">
        <v>159.8510042364768</v>
      </c>
    </row>
    <row r="44" spans="1:13" hidden="1" x14ac:dyDescent="0.25">
      <c r="A44" s="57"/>
      <c r="B44" s="2" t="s">
        <v>5</v>
      </c>
      <c r="C44" s="9">
        <v>169.58773549270074</v>
      </c>
      <c r="D44" s="9">
        <v>126.97831956692919</v>
      </c>
      <c r="E44" s="9">
        <v>136.17651742574256</v>
      </c>
      <c r="F44" s="9">
        <v>138.63356747741489</v>
      </c>
      <c r="G44" s="9">
        <v>109.13900772797527</v>
      </c>
      <c r="H44" s="9">
        <v>100.71620349907919</v>
      </c>
      <c r="I44" s="9">
        <v>98.682720085775543</v>
      </c>
      <c r="J44" s="9">
        <v>83.67566600985225</v>
      </c>
      <c r="K44" s="9">
        <v>87.914677016129033</v>
      </c>
      <c r="L44" s="9">
        <v>134.07681243576567</v>
      </c>
      <c r="M44" s="9">
        <v>134.07681243576567</v>
      </c>
    </row>
    <row r="45" spans="1:13" ht="15.75" hidden="1" thickBot="1" x14ac:dyDescent="0.3">
      <c r="A45" s="58"/>
      <c r="B45" s="5" t="s">
        <v>7</v>
      </c>
      <c r="C45" s="9">
        <v>231.03827708333333</v>
      </c>
      <c r="D45" s="9">
        <v>183.75547391304346</v>
      </c>
      <c r="E45" s="9">
        <v>100.98099090909091</v>
      </c>
      <c r="F45" s="9">
        <v>61.882350000000002</v>
      </c>
      <c r="G45" s="9">
        <v>30.980737500000004</v>
      </c>
      <c r="H45" s="9">
        <v>18.442574999999998</v>
      </c>
      <c r="I45" s="9">
        <v>47.776899999999991</v>
      </c>
      <c r="J45" s="9">
        <v>20.900700000000001</v>
      </c>
      <c r="K45" s="9">
        <v>17.689166666666665</v>
      </c>
      <c r="L45" s="9">
        <v>12.871500000000003</v>
      </c>
      <c r="M45" s="9">
        <v>12.871500000000003</v>
      </c>
    </row>
    <row r="46" spans="1:13" ht="15.75" hidden="1" x14ac:dyDescent="0.25">
      <c r="A46" s="56" t="s">
        <v>20</v>
      </c>
      <c r="B46" s="1" t="s">
        <v>21</v>
      </c>
      <c r="C46" s="9">
        <v>101.31094550304877</v>
      </c>
      <c r="D46" s="9">
        <v>104.02235234648306</v>
      </c>
      <c r="E46" s="9">
        <v>110.25626746046511</v>
      </c>
      <c r="F46" s="9">
        <v>95.837763982490074</v>
      </c>
      <c r="G46" s="9">
        <v>105.16638777099955</v>
      </c>
      <c r="H46" s="9">
        <v>107.12485781950672</v>
      </c>
      <c r="I46" s="9">
        <v>110.82341038933559</v>
      </c>
      <c r="J46" s="9">
        <v>106.36186901503254</v>
      </c>
      <c r="K46" s="9">
        <v>158.25786221470835</v>
      </c>
      <c r="L46" s="9">
        <v>122.4133594389246</v>
      </c>
      <c r="M46" s="9">
        <v>122.4133594389246</v>
      </c>
    </row>
    <row r="47" spans="1:13" x14ac:dyDescent="0.25">
      <c r="A47" s="57"/>
      <c r="B47" s="2" t="s">
        <v>2</v>
      </c>
      <c r="C47" s="9">
        <v>99.350639250078757</v>
      </c>
      <c r="D47" s="9">
        <v>105.94135512487954</v>
      </c>
      <c r="E47" s="9">
        <v>114.77515401572772</v>
      </c>
      <c r="F47" s="9">
        <v>94.973946305347908</v>
      </c>
      <c r="G47" s="9">
        <v>107.65672609357171</v>
      </c>
      <c r="H47" s="9">
        <v>112.75956435750179</v>
      </c>
      <c r="I47" s="9">
        <v>121.62655692963753</v>
      </c>
      <c r="J47" s="9">
        <v>117.49725547477745</v>
      </c>
      <c r="K47" s="9">
        <v>174.82680064160289</v>
      </c>
      <c r="L47" s="9">
        <v>129.58925232940032</v>
      </c>
      <c r="M47" s="9">
        <v>129.58925232940032</v>
      </c>
    </row>
    <row r="48" spans="1:13" x14ac:dyDescent="0.25">
      <c r="A48" s="57"/>
      <c r="B48" s="3" t="s">
        <v>3</v>
      </c>
      <c r="C48" s="9">
        <v>73.416322870222928</v>
      </c>
      <c r="D48" s="9">
        <v>76.108768775845746</v>
      </c>
      <c r="E48" s="9">
        <v>73.644198928277021</v>
      </c>
      <c r="F48" s="9">
        <v>76.961117851373189</v>
      </c>
      <c r="G48" s="9">
        <v>80.88565630914826</v>
      </c>
      <c r="H48" s="9">
        <v>76.406587095115682</v>
      </c>
      <c r="I48" s="9">
        <v>92.951006002034546</v>
      </c>
      <c r="J48" s="9">
        <v>86.876011264277267</v>
      </c>
      <c r="K48" s="9">
        <v>70.080634805115707</v>
      </c>
      <c r="L48" s="9">
        <v>87.985093285859634</v>
      </c>
      <c r="M48" s="9">
        <v>87.985093285859634</v>
      </c>
    </row>
    <row r="49" spans="1:13" x14ac:dyDescent="0.25">
      <c r="A49" s="57"/>
      <c r="B49" s="3" t="s">
        <v>4</v>
      </c>
      <c r="C49" s="9">
        <v>128.32417838559036</v>
      </c>
      <c r="D49" s="9">
        <v>135.28131203449621</v>
      </c>
      <c r="E49" s="9">
        <v>151.12181393880522</v>
      </c>
      <c r="F49" s="9">
        <v>115.60924700801974</v>
      </c>
      <c r="G49" s="9">
        <v>132.59847222630421</v>
      </c>
      <c r="H49" s="9">
        <v>144.40976166069831</v>
      </c>
      <c r="I49" s="9">
        <v>142.32264104258445</v>
      </c>
      <c r="J49" s="9">
        <v>136.00412028088553</v>
      </c>
      <c r="K49" s="9">
        <v>236.25294503571428</v>
      </c>
      <c r="L49" s="9">
        <v>152.86138150606979</v>
      </c>
      <c r="M49" s="9">
        <v>152.86138150606979</v>
      </c>
    </row>
    <row r="50" spans="1:13" hidden="1" x14ac:dyDescent="0.25">
      <c r="A50" s="57"/>
      <c r="B50" s="2" t="s">
        <v>5</v>
      </c>
      <c r="C50" s="9">
        <v>111.34347000000002</v>
      </c>
      <c r="D50" s="9">
        <v>98.595659782188974</v>
      </c>
      <c r="E50" s="9">
        <v>99.444601940755916</v>
      </c>
      <c r="F50" s="9">
        <v>98.382721496311888</v>
      </c>
      <c r="G50" s="9">
        <v>98.094324235807846</v>
      </c>
      <c r="H50" s="9">
        <v>87.021834089935737</v>
      </c>
      <c r="I50" s="9">
        <v>79.605264273858893</v>
      </c>
      <c r="J50" s="9">
        <v>72.013191143911456</v>
      </c>
      <c r="K50" s="9">
        <v>74.979708314350773</v>
      </c>
      <c r="L50" s="9">
        <v>93.466458803334959</v>
      </c>
      <c r="M50" s="9">
        <v>93.466458803334959</v>
      </c>
    </row>
    <row r="51" spans="1:13" ht="15.75" hidden="1" thickBot="1" x14ac:dyDescent="0.3">
      <c r="A51" s="58"/>
      <c r="B51" s="5" t="s">
        <v>7</v>
      </c>
      <c r="C51" s="9">
        <v>90.665655072463764</v>
      </c>
      <c r="D51" s="9">
        <v>80.392018471337607</v>
      </c>
      <c r="E51" s="9">
        <v>51.343028571428576</v>
      </c>
      <c r="F51" s="9">
        <v>33.998849999999997</v>
      </c>
      <c r="G51" s="9">
        <v>94.802999999999997</v>
      </c>
      <c r="H51" s="9">
        <v>93.09605454545455</v>
      </c>
      <c r="I51" s="9">
        <v>1.6228714285714287</v>
      </c>
      <c r="J51" s="9">
        <v>8.933349999999999</v>
      </c>
      <c r="K51" s="9">
        <v>20.827757142857145</v>
      </c>
      <c r="L51" s="9">
        <v>127.36584999999998</v>
      </c>
      <c r="M51" s="9">
        <v>127.36584999999998</v>
      </c>
    </row>
    <row r="52" spans="1:13" ht="15.75" hidden="1" x14ac:dyDescent="0.25">
      <c r="A52" s="56" t="s">
        <v>22</v>
      </c>
      <c r="B52" s="1" t="s">
        <v>23</v>
      </c>
      <c r="C52" s="9">
        <v>200.99443168514409</v>
      </c>
      <c r="D52" s="9">
        <v>184.40098244836452</v>
      </c>
      <c r="E52" s="9">
        <v>178.5092074179644</v>
      </c>
      <c r="F52" s="9">
        <v>189.34007096122781</v>
      </c>
      <c r="G52" s="9">
        <v>189.80305809399476</v>
      </c>
      <c r="H52" s="9">
        <v>164.15753854013531</v>
      </c>
      <c r="I52" s="9">
        <v>206.52825905519356</v>
      </c>
      <c r="J52" s="9">
        <v>175.76493687045328</v>
      </c>
      <c r="K52" s="9">
        <v>142.09228367624314</v>
      </c>
      <c r="L52" s="9">
        <v>174.71388589868664</v>
      </c>
      <c r="M52" s="9">
        <v>174.71388589868664</v>
      </c>
    </row>
    <row r="53" spans="1:13" x14ac:dyDescent="0.25">
      <c r="A53" s="57"/>
      <c r="B53" s="2" t="s">
        <v>2</v>
      </c>
      <c r="C53" s="9">
        <v>256.63255405513377</v>
      </c>
      <c r="D53" s="9">
        <v>244.47517489453375</v>
      </c>
      <c r="E53" s="9">
        <v>231.56150991638546</v>
      </c>
      <c r="F53" s="9">
        <v>239.22271896665566</v>
      </c>
      <c r="G53" s="9">
        <v>256.93945832845435</v>
      </c>
      <c r="H53" s="9">
        <v>235.35741875302085</v>
      </c>
      <c r="I53" s="9">
        <v>274.49713098073556</v>
      </c>
      <c r="J53" s="9">
        <v>205.18732530120479</v>
      </c>
      <c r="K53" s="9">
        <v>160.75490328982181</v>
      </c>
      <c r="L53" s="9">
        <v>204.29551503276366</v>
      </c>
      <c r="M53" s="9">
        <v>204.29551503276366</v>
      </c>
    </row>
    <row r="54" spans="1:13" x14ac:dyDescent="0.25">
      <c r="A54" s="57"/>
      <c r="B54" s="3" t="s">
        <v>3</v>
      </c>
      <c r="C54" s="9">
        <v>163.20948103448274</v>
      </c>
      <c r="D54" s="9">
        <v>125.92516417910454</v>
      </c>
      <c r="E54" s="9">
        <v>132.36183913043479</v>
      </c>
      <c r="F54" s="9">
        <v>166.23414782608697</v>
      </c>
      <c r="G54" s="9">
        <v>88.252422222222208</v>
      </c>
      <c r="H54" s="9">
        <v>58.357365000000001</v>
      </c>
      <c r="I54" s="9">
        <v>142.00409032258065</v>
      </c>
      <c r="J54" s="9">
        <v>83.619063157894743</v>
      </c>
      <c r="K54" s="9">
        <v>63.60526500000001</v>
      </c>
      <c r="L54" s="9">
        <v>348.84589200000005</v>
      </c>
      <c r="M54" s="9">
        <v>348.84589200000005</v>
      </c>
    </row>
    <row r="55" spans="1:13" x14ac:dyDescent="0.25">
      <c r="A55" s="57"/>
      <c r="B55" s="3" t="s">
        <v>4</v>
      </c>
      <c r="C55" s="9">
        <v>257.35977700979726</v>
      </c>
      <c r="D55" s="9">
        <v>245.19242708145211</v>
      </c>
      <c r="E55" s="9">
        <v>232.23544062915369</v>
      </c>
      <c r="F55" s="9">
        <v>239.50088584921292</v>
      </c>
      <c r="G55" s="9">
        <v>258.28337983180882</v>
      </c>
      <c r="H55" s="9">
        <v>235.92958637465659</v>
      </c>
      <c r="I55" s="9">
        <v>275.22037173798208</v>
      </c>
      <c r="J55" s="9">
        <v>205.7048688774367</v>
      </c>
      <c r="K55" s="9">
        <v>161.09885669144978</v>
      </c>
      <c r="L55" s="9">
        <v>203.82970433101309</v>
      </c>
      <c r="M55" s="9">
        <v>203.82970433101309</v>
      </c>
    </row>
    <row r="56" spans="1:13" hidden="1" x14ac:dyDescent="0.25">
      <c r="A56" s="57"/>
      <c r="B56" s="2" t="s">
        <v>5</v>
      </c>
      <c r="C56" s="9">
        <v>135.39096746883658</v>
      </c>
      <c r="D56" s="9">
        <v>129.21640733677435</v>
      </c>
      <c r="E56" s="9">
        <v>131.03635890027959</v>
      </c>
      <c r="F56" s="9">
        <v>141.37944299395161</v>
      </c>
      <c r="G56" s="9">
        <v>135.58310254150442</v>
      </c>
      <c r="H56" s="9">
        <v>102.49527938090243</v>
      </c>
      <c r="I56" s="9">
        <v>121.16832375165708</v>
      </c>
      <c r="J56" s="9">
        <v>126.37701134157946</v>
      </c>
      <c r="K56" s="9">
        <v>134.04772996533796</v>
      </c>
      <c r="L56" s="9">
        <v>136.7006313113807</v>
      </c>
      <c r="M56" s="9">
        <v>136.7006313113807</v>
      </c>
    </row>
    <row r="57" spans="1:13" ht="15.75" hidden="1" thickBot="1" x14ac:dyDescent="0.3">
      <c r="A57" s="58"/>
      <c r="B57" s="5" t="s">
        <v>7</v>
      </c>
      <c r="C57" s="9">
        <v>42.377894693877558</v>
      </c>
      <c r="D57" s="9">
        <v>102.77171859046754</v>
      </c>
      <c r="E57" s="9">
        <v>87.634548214285729</v>
      </c>
      <c r="F57" s="9">
        <v>144.13081702702706</v>
      </c>
      <c r="G57" s="9">
        <v>96.333282811747694</v>
      </c>
      <c r="H57" s="9">
        <v>110.93963585467542</v>
      </c>
      <c r="I57" s="9">
        <v>197.7123015</v>
      </c>
      <c r="J57" s="9">
        <v>121.10595974025972</v>
      </c>
      <c r="K57" s="9">
        <v>103.0334739654765</v>
      </c>
      <c r="L57" s="9">
        <v>80.642285673352447</v>
      </c>
      <c r="M57" s="9">
        <v>80.642285673352447</v>
      </c>
    </row>
    <row r="58" spans="1:13" ht="15.75" hidden="1" x14ac:dyDescent="0.25">
      <c r="A58" s="56" t="s">
        <v>24</v>
      </c>
      <c r="B58" s="1" t="s">
        <v>25</v>
      </c>
      <c r="C58" s="9">
        <v>117.87086809110117</v>
      </c>
      <c r="D58" s="9">
        <v>155.8985280609256</v>
      </c>
      <c r="E58" s="9">
        <v>140.54426270026323</v>
      </c>
      <c r="F58" s="9">
        <v>156.69709685958566</v>
      </c>
      <c r="G58" s="9">
        <v>165.55278237453126</v>
      </c>
      <c r="H58" s="9">
        <v>208.25309224936817</v>
      </c>
      <c r="I58" s="9">
        <v>223.94582199934229</v>
      </c>
      <c r="J58" s="9">
        <v>187.58634155051189</v>
      </c>
      <c r="K58" s="9">
        <v>213.60724596895346</v>
      </c>
      <c r="L58" s="9">
        <v>216.05084171678513</v>
      </c>
      <c r="M58" s="9">
        <v>216.05084171678513</v>
      </c>
    </row>
    <row r="59" spans="1:13" x14ac:dyDescent="0.25">
      <c r="A59" s="57"/>
      <c r="B59" s="2" t="s">
        <v>2</v>
      </c>
      <c r="C59" s="9">
        <v>106.44071562555298</v>
      </c>
      <c r="D59" s="9">
        <v>119.89109676139817</v>
      </c>
      <c r="E59" s="9">
        <v>115.59100540457071</v>
      </c>
      <c r="F59" s="9">
        <v>126.90637518479407</v>
      </c>
      <c r="G59" s="9">
        <v>117.65557463560485</v>
      </c>
      <c r="H59" s="9">
        <v>142.2188870830272</v>
      </c>
      <c r="I59" s="9">
        <v>166.63794972925507</v>
      </c>
      <c r="J59" s="9">
        <v>108.17915692043378</v>
      </c>
      <c r="K59" s="9">
        <v>149.51071218448826</v>
      </c>
      <c r="L59" s="9">
        <v>175.81852961113091</v>
      </c>
      <c r="M59" s="9">
        <v>175.81852961113091</v>
      </c>
    </row>
    <row r="60" spans="1:13" x14ac:dyDescent="0.25">
      <c r="A60" s="57"/>
      <c r="B60" s="3" t="s">
        <v>3</v>
      </c>
      <c r="C60" s="9">
        <v>51.840987963712934</v>
      </c>
      <c r="D60" s="9">
        <v>43.352351092960681</v>
      </c>
      <c r="E60" s="9">
        <v>41.659352450607905</v>
      </c>
      <c r="F60" s="9">
        <v>38.522986360303101</v>
      </c>
      <c r="G60" s="9">
        <v>37.814199213313174</v>
      </c>
      <c r="H60" s="9">
        <v>41.04064433560476</v>
      </c>
      <c r="I60" s="9">
        <v>48.582113470115971</v>
      </c>
      <c r="J60" s="9">
        <v>33.736178861969321</v>
      </c>
      <c r="K60" s="9">
        <v>26.388209776376144</v>
      </c>
      <c r="L60" s="9">
        <v>38.063694037656909</v>
      </c>
      <c r="M60" s="9">
        <v>38.063694037656909</v>
      </c>
    </row>
    <row r="61" spans="1:13" x14ac:dyDescent="0.25">
      <c r="A61" s="57"/>
      <c r="B61" s="3" t="s">
        <v>4</v>
      </c>
      <c r="C61" s="9">
        <v>172.15413322285048</v>
      </c>
      <c r="D61" s="9">
        <v>189.79912487710214</v>
      </c>
      <c r="E61" s="9">
        <v>203.046336</v>
      </c>
      <c r="F61" s="9">
        <v>208.48950778429602</v>
      </c>
      <c r="G61" s="9">
        <v>173.53777407878019</v>
      </c>
      <c r="H61" s="9">
        <v>195.52077489342608</v>
      </c>
      <c r="I61" s="9">
        <v>224.29013550424742</v>
      </c>
      <c r="J61" s="9">
        <v>177.75102195679267</v>
      </c>
      <c r="K61" s="9">
        <v>231.65518203902062</v>
      </c>
      <c r="L61" s="9">
        <v>247.11989550622627</v>
      </c>
      <c r="M61" s="9">
        <v>247.11989550622627</v>
      </c>
    </row>
    <row r="62" spans="1:13" hidden="1" x14ac:dyDescent="0.25">
      <c r="A62" s="57"/>
      <c r="B62" s="7" t="s">
        <v>5</v>
      </c>
      <c r="C62" s="9">
        <v>618.68870810810802</v>
      </c>
      <c r="D62" s="9">
        <v>419.76870000000008</v>
      </c>
      <c r="E62" s="9">
        <v>383.90961774193545</v>
      </c>
      <c r="F62" s="9">
        <v>246.51585483870969</v>
      </c>
      <c r="G62" s="9">
        <v>260.77089299999994</v>
      </c>
      <c r="H62" s="9">
        <v>521.03137611940292</v>
      </c>
      <c r="I62" s="9">
        <v>255.52007843866184</v>
      </c>
      <c r="J62" s="9">
        <v>207.70640598179457</v>
      </c>
      <c r="K62" s="9">
        <v>313.11310477941186</v>
      </c>
      <c r="L62" s="9">
        <v>233.9964194466404</v>
      </c>
      <c r="M62" s="9">
        <v>233.9964194466404</v>
      </c>
    </row>
    <row r="63" spans="1:13" hidden="1" x14ac:dyDescent="0.25">
      <c r="A63" s="57"/>
      <c r="B63" s="4" t="s">
        <v>6</v>
      </c>
      <c r="C63" s="9">
        <v>171.82453592375364</v>
      </c>
      <c r="D63" s="9">
        <v>245.32894505665814</v>
      </c>
      <c r="E63" s="9">
        <v>205.13854782608692</v>
      </c>
      <c r="F63" s="9">
        <v>226.08451173512154</v>
      </c>
      <c r="G63" s="9">
        <v>250.65243635950975</v>
      </c>
      <c r="H63" s="9">
        <v>320.66627019155078</v>
      </c>
      <c r="I63" s="9">
        <v>302.10099438764865</v>
      </c>
      <c r="J63" s="9">
        <v>305.66311599804305</v>
      </c>
      <c r="K63" s="9">
        <v>287.70231233705783</v>
      </c>
      <c r="L63" s="9">
        <v>262.55332538676885</v>
      </c>
      <c r="M63" s="9">
        <v>262.55332538676885</v>
      </c>
    </row>
    <row r="64" spans="1:13" ht="15.75" hidden="1" x14ac:dyDescent="0.25">
      <c r="A64" s="56" t="s">
        <v>26</v>
      </c>
      <c r="B64" s="1" t="s">
        <v>27</v>
      </c>
      <c r="C64" s="9">
        <v>83.801061336515517</v>
      </c>
      <c r="D64" s="9">
        <v>47.264035761072989</v>
      </c>
      <c r="E64" s="9">
        <v>47.835672350930508</v>
      </c>
      <c r="F64" s="9">
        <v>45.188251130856216</v>
      </c>
      <c r="G64" s="9">
        <v>39.052173909090904</v>
      </c>
      <c r="H64" s="9">
        <v>53.788501087744741</v>
      </c>
      <c r="I64" s="9">
        <v>50.289935744680847</v>
      </c>
      <c r="J64" s="9">
        <v>49.929718354175066</v>
      </c>
      <c r="K64" s="9">
        <v>95.697489712696978</v>
      </c>
      <c r="L64" s="9">
        <v>91.360950087057489</v>
      </c>
      <c r="M64" s="9">
        <v>91.360950087057489</v>
      </c>
    </row>
    <row r="65" spans="1:13" x14ac:dyDescent="0.25">
      <c r="A65" s="57"/>
      <c r="B65" s="8" t="s">
        <v>2</v>
      </c>
      <c r="C65" s="9">
        <v>83.801061336515517</v>
      </c>
      <c r="D65" s="9">
        <v>47.264035761072989</v>
      </c>
      <c r="E65" s="9">
        <v>47.835672350930508</v>
      </c>
      <c r="F65" s="9">
        <v>45.188251130856216</v>
      </c>
      <c r="G65" s="9">
        <v>39.052173909090904</v>
      </c>
      <c r="H65" s="9">
        <v>53.788501087744741</v>
      </c>
      <c r="I65" s="9">
        <v>50.289935744680847</v>
      </c>
      <c r="J65" s="9">
        <v>49.929718354175066</v>
      </c>
      <c r="K65" s="9">
        <v>95.697489712696978</v>
      </c>
      <c r="L65" s="9">
        <v>91.360950087057489</v>
      </c>
      <c r="M65" s="9">
        <v>91.360950087057489</v>
      </c>
    </row>
    <row r="66" spans="1:13" x14ac:dyDescent="0.25">
      <c r="A66" s="57"/>
      <c r="B66" s="3" t="s">
        <v>3</v>
      </c>
      <c r="C66" s="9">
        <v>11.35112602739726</v>
      </c>
      <c r="D66" s="9">
        <v>19.789716008316013</v>
      </c>
      <c r="E66" s="9">
        <v>21.767215123674919</v>
      </c>
      <c r="F66" s="9">
        <v>16.241537897950288</v>
      </c>
      <c r="G66" s="9">
        <v>17.683171469740632</v>
      </c>
      <c r="H66" s="9">
        <v>26.770216419832582</v>
      </c>
      <c r="I66" s="9">
        <v>29.45462372093024</v>
      </c>
      <c r="J66" s="9">
        <v>22.2273478566409</v>
      </c>
      <c r="K66" s="9">
        <v>33.291251195065534</v>
      </c>
      <c r="L66" s="9">
        <v>23.908600240384619</v>
      </c>
      <c r="M66" s="9">
        <v>23.908600240384619</v>
      </c>
    </row>
    <row r="67" spans="1:13" x14ac:dyDescent="0.25">
      <c r="A67" s="57"/>
      <c r="B67" s="3" t="s">
        <v>4</v>
      </c>
      <c r="C67" s="9">
        <v>163.13374050000002</v>
      </c>
      <c r="D67" s="9">
        <v>82.604955179176315</v>
      </c>
      <c r="E67" s="9">
        <v>78.120456403940892</v>
      </c>
      <c r="F67" s="9">
        <v>91.898183180858538</v>
      </c>
      <c r="G67" s="9">
        <v>62.742409840255583</v>
      </c>
      <c r="H67" s="9">
        <v>88.609576680497923</v>
      </c>
      <c r="I67" s="9">
        <v>74.135673079847891</v>
      </c>
      <c r="J67" s="9">
        <v>87.259711931818174</v>
      </c>
      <c r="K67" s="9">
        <v>137.41959865979385</v>
      </c>
      <c r="L67" s="9">
        <v>129.65964554140132</v>
      </c>
      <c r="M67" s="9">
        <v>129.65964554140132</v>
      </c>
    </row>
  </sheetData>
  <autoFilter ref="B1:M67" xr:uid="{F1451BB6-4506-41B2-B02B-F6F230B3FDB5}">
    <filterColumn colId="0">
      <filters>
        <filter val="Paid Search"/>
        <filter val="Paid Search Branded"/>
        <filter val="Paid Search Unbranded"/>
      </filters>
    </filterColumn>
  </autoFilter>
  <mergeCells count="11">
    <mergeCell ref="A40:A45"/>
    <mergeCell ref="A46:A51"/>
    <mergeCell ref="A52:A57"/>
    <mergeCell ref="A58:A63"/>
    <mergeCell ref="A64:A67"/>
    <mergeCell ref="A34:A39"/>
    <mergeCell ref="A2:A8"/>
    <mergeCell ref="A9:A15"/>
    <mergeCell ref="A16:A21"/>
    <mergeCell ref="A22:A27"/>
    <mergeCell ref="A28:A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7576-5950-4885-9E29-34A5C2310739}">
  <dimension ref="A1:B19"/>
  <sheetViews>
    <sheetView workbookViewId="0">
      <selection activeCell="B19" sqref="B18:B19"/>
    </sheetView>
  </sheetViews>
  <sheetFormatPr defaultRowHeight="15" x14ac:dyDescent="0.25"/>
  <sheetData>
    <row r="1" spans="1:2" x14ac:dyDescent="0.25">
      <c r="A1" s="10" t="s">
        <v>39</v>
      </c>
      <c r="B1" s="12" t="s">
        <v>40</v>
      </c>
    </row>
    <row r="2" spans="1:2" x14ac:dyDescent="0.25">
      <c r="A2" s="13" t="s">
        <v>41</v>
      </c>
      <c r="B2" s="11">
        <v>424</v>
      </c>
    </row>
    <row r="3" spans="1:2" x14ac:dyDescent="0.25">
      <c r="A3" s="13" t="s">
        <v>42</v>
      </c>
      <c r="B3" s="11">
        <v>50</v>
      </c>
    </row>
    <row r="4" spans="1:2" x14ac:dyDescent="0.25">
      <c r="A4" s="13" t="s">
        <v>43</v>
      </c>
      <c r="B4" s="11">
        <v>194</v>
      </c>
    </row>
    <row r="5" spans="1:2" x14ac:dyDescent="0.25">
      <c r="A5" s="13" t="s">
        <v>44</v>
      </c>
      <c r="B5" s="11">
        <v>128</v>
      </c>
    </row>
    <row r="6" spans="1:2" x14ac:dyDescent="0.25">
      <c r="A6" s="13" t="s">
        <v>45</v>
      </c>
      <c r="B6" s="11">
        <v>238</v>
      </c>
    </row>
    <row r="7" spans="1:2" x14ac:dyDescent="0.25">
      <c r="A7" s="13" t="s">
        <v>46</v>
      </c>
      <c r="B7" s="11">
        <v>60</v>
      </c>
    </row>
    <row r="8" spans="1:2" x14ac:dyDescent="0.25">
      <c r="A8" s="13" t="s">
        <v>47</v>
      </c>
      <c r="B8" s="11">
        <v>240</v>
      </c>
    </row>
    <row r="9" spans="1:2" x14ac:dyDescent="0.25">
      <c r="A9" s="13" t="s">
        <v>48</v>
      </c>
      <c r="B9" s="11">
        <v>123</v>
      </c>
    </row>
    <row r="10" spans="1:2" x14ac:dyDescent="0.25">
      <c r="A10" s="13" t="s">
        <v>49</v>
      </c>
      <c r="B10" s="11">
        <v>132</v>
      </c>
    </row>
    <row r="11" spans="1:2" x14ac:dyDescent="0.25">
      <c r="A11" s="13" t="s">
        <v>50</v>
      </c>
      <c r="B11" s="11">
        <v>75</v>
      </c>
    </row>
    <row r="12" spans="1:2" x14ac:dyDescent="0.25">
      <c r="A12" s="13" t="s">
        <v>51</v>
      </c>
      <c r="B12" s="11">
        <v>135</v>
      </c>
    </row>
    <row r="13" spans="1:2" x14ac:dyDescent="0.25">
      <c r="A13" s="13" t="s">
        <v>52</v>
      </c>
      <c r="B13" s="11">
        <v>82</v>
      </c>
    </row>
    <row r="14" spans="1:2" x14ac:dyDescent="0.25">
      <c r="A14" s="13" t="s">
        <v>53</v>
      </c>
      <c r="B14" s="11">
        <v>130</v>
      </c>
    </row>
    <row r="15" spans="1:2" x14ac:dyDescent="0.25">
      <c r="A15" s="13" t="s">
        <v>54</v>
      </c>
      <c r="B15" s="11">
        <v>69</v>
      </c>
    </row>
    <row r="16" spans="1:2" x14ac:dyDescent="0.25">
      <c r="A16" s="13" t="s">
        <v>55</v>
      </c>
      <c r="B16" s="11">
        <v>206</v>
      </c>
    </row>
    <row r="17" spans="1:2" x14ac:dyDescent="0.25">
      <c r="A17" s="13" t="s">
        <v>56</v>
      </c>
      <c r="B17" s="11">
        <v>38</v>
      </c>
    </row>
    <row r="18" spans="1:2" x14ac:dyDescent="0.25">
      <c r="A18" s="13" t="s">
        <v>57</v>
      </c>
      <c r="B18" s="11">
        <v>90</v>
      </c>
    </row>
    <row r="19" spans="1:2" x14ac:dyDescent="0.25">
      <c r="A19" s="13" t="s">
        <v>58</v>
      </c>
      <c r="B19" s="1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Sheet1</vt:lpstr>
      <vt:lpstr>Sheet2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Stacey</dc:creator>
  <cp:lastModifiedBy>Richard Williams</cp:lastModifiedBy>
  <dcterms:created xsi:type="dcterms:W3CDTF">2026-04-14T17:14:13Z</dcterms:created>
  <dcterms:modified xsi:type="dcterms:W3CDTF">2026-04-21T18:18:10Z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2026-04-14T17:15:45Z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7c062338-3d19-43eb-a18f-0e8c9e333e60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