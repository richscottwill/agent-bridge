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mazon.sharepoint.com/sites/ABIX-PS/Shared Documents/AB-ABIX-PS/AU/"/>
    </mc:Choice>
  </mc:AlternateContent>
  <xr:revisionPtr revIDLastSave="0" documentId="8_{982FB192-EA5A-4ED6-B42C-582A5043D706}" xr6:coauthVersionLast="47" xr6:coauthVersionMax="47" xr10:uidLastSave="{00000000-0000-0000-0000-000000000000}"/>
  <bookViews>
    <workbookView xWindow="735" yWindow="735" windowWidth="21600" windowHeight="11295" xr2:uid="{396E8431-0BC9-4F0E-82E7-EF7DEEA26769}"/>
  </bookViews>
  <sheets>
    <sheet name="Reg flow" sheetId="1" r:id="rId1"/>
  </sheets>
  <definedNames>
    <definedName name="_xlnm._FilterDatabase" localSheetId="0" hidden="1">'Reg flow'!$A$1:$M$1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1" l="1"/>
  <c r="E95" i="1"/>
  <c r="F95" i="1"/>
  <c r="G95" i="1"/>
  <c r="O95" i="1"/>
  <c r="P95" i="1"/>
  <c r="Q95" i="1"/>
  <c r="R95" i="1"/>
  <c r="S95" i="1"/>
  <c r="T95" i="1"/>
  <c r="U95" i="1"/>
  <c r="C95" i="1"/>
  <c r="AA94" i="1"/>
  <c r="Z94" i="1"/>
  <c r="Y94" i="1"/>
  <c r="X94" i="1"/>
  <c r="W94" i="1"/>
  <c r="V94" i="1"/>
  <c r="AA93" i="1"/>
  <c r="Z93" i="1"/>
  <c r="Y93" i="1"/>
  <c r="X93" i="1"/>
  <c r="W93" i="1"/>
  <c r="V93" i="1"/>
  <c r="AA92" i="1"/>
  <c r="Z92" i="1"/>
  <c r="Y92" i="1"/>
  <c r="X92" i="1"/>
  <c r="W92" i="1"/>
  <c r="V92" i="1"/>
  <c r="AA91" i="1"/>
  <c r="Z91" i="1"/>
  <c r="Y91" i="1"/>
  <c r="X91" i="1"/>
  <c r="W91" i="1"/>
  <c r="V91" i="1"/>
  <c r="AA90" i="1"/>
  <c r="Z90" i="1"/>
  <c r="Y90" i="1"/>
  <c r="X90" i="1"/>
  <c r="W90" i="1"/>
  <c r="V90" i="1"/>
  <c r="AA89" i="1"/>
  <c r="Z89" i="1"/>
  <c r="Y89" i="1"/>
  <c r="X89" i="1"/>
  <c r="W89" i="1"/>
  <c r="V89" i="1"/>
  <c r="AA88" i="1"/>
  <c r="Z88" i="1"/>
  <c r="Y88" i="1"/>
  <c r="X88" i="1"/>
  <c r="W88" i="1"/>
  <c r="V88" i="1"/>
  <c r="AA87" i="1"/>
  <c r="Z87" i="1"/>
  <c r="Y87" i="1"/>
  <c r="X87" i="1"/>
  <c r="W87" i="1"/>
  <c r="V87" i="1"/>
  <c r="AA86" i="1"/>
  <c r="Z86" i="1"/>
  <c r="Y86" i="1"/>
  <c r="X86" i="1"/>
  <c r="W86" i="1"/>
  <c r="V86" i="1"/>
  <c r="AA85" i="1"/>
  <c r="Z85" i="1"/>
  <c r="Y85" i="1"/>
  <c r="X85" i="1"/>
  <c r="W85" i="1"/>
  <c r="V85" i="1"/>
  <c r="AA84" i="1"/>
  <c r="Z84" i="1"/>
  <c r="Y84" i="1"/>
  <c r="X84" i="1"/>
  <c r="W84" i="1"/>
  <c r="V84" i="1"/>
  <c r="AA83" i="1"/>
  <c r="Z83" i="1"/>
  <c r="Y83" i="1"/>
  <c r="X83" i="1"/>
  <c r="W83" i="1"/>
  <c r="V83" i="1"/>
  <c r="AA82" i="1"/>
  <c r="Z82" i="1"/>
  <c r="Y82" i="1"/>
  <c r="X82" i="1"/>
  <c r="W82" i="1"/>
  <c r="V82" i="1"/>
  <c r="AA81" i="1"/>
  <c r="Z81" i="1"/>
  <c r="Y81" i="1"/>
  <c r="X81" i="1"/>
  <c r="W81" i="1"/>
  <c r="V81" i="1"/>
  <c r="AA80" i="1"/>
  <c r="Z80" i="1"/>
  <c r="Y80" i="1"/>
  <c r="X80" i="1"/>
  <c r="W80" i="1"/>
  <c r="V80" i="1"/>
  <c r="AA79" i="1"/>
  <c r="Z79" i="1"/>
  <c r="Y79" i="1"/>
  <c r="X79" i="1"/>
  <c r="W79" i="1"/>
  <c r="V79" i="1"/>
  <c r="AA78" i="1"/>
  <c r="Z78" i="1"/>
  <c r="Y78" i="1"/>
  <c r="X78" i="1"/>
  <c r="W78" i="1"/>
  <c r="V78" i="1"/>
  <c r="AA77" i="1"/>
  <c r="Z77" i="1"/>
  <c r="Y77" i="1"/>
  <c r="X77" i="1"/>
  <c r="W77" i="1"/>
  <c r="V77" i="1"/>
  <c r="AA76" i="1"/>
  <c r="Z76" i="1"/>
  <c r="Y76" i="1"/>
  <c r="X76" i="1"/>
  <c r="W76" i="1"/>
  <c r="V76" i="1"/>
  <c r="AA75" i="1"/>
  <c r="Z75" i="1"/>
  <c r="Y75" i="1"/>
  <c r="X75" i="1"/>
  <c r="W75" i="1"/>
  <c r="V75" i="1"/>
  <c r="AA74" i="1"/>
  <c r="Z74" i="1"/>
  <c r="Y74" i="1"/>
  <c r="X74" i="1"/>
  <c r="W74" i="1"/>
  <c r="V74" i="1"/>
  <c r="AA73" i="1"/>
  <c r="Z73" i="1"/>
  <c r="Y73" i="1"/>
  <c r="X73" i="1"/>
  <c r="W73" i="1"/>
  <c r="V73" i="1"/>
  <c r="AA72" i="1"/>
  <c r="Z72" i="1"/>
  <c r="Y72" i="1"/>
  <c r="X72" i="1"/>
  <c r="W72" i="1"/>
  <c r="V72" i="1"/>
  <c r="AA71" i="1"/>
  <c r="Z71" i="1"/>
  <c r="Y71" i="1"/>
  <c r="X71" i="1"/>
  <c r="W71" i="1"/>
  <c r="V71" i="1"/>
  <c r="AA70" i="1"/>
  <c r="Z70" i="1"/>
  <c r="Y70" i="1"/>
  <c r="X70" i="1"/>
  <c r="W70" i="1"/>
  <c r="V70" i="1"/>
  <c r="AA69" i="1"/>
  <c r="Z69" i="1"/>
  <c r="Y69" i="1"/>
  <c r="X69" i="1"/>
  <c r="W69" i="1"/>
  <c r="V69" i="1"/>
  <c r="AA68" i="1"/>
  <c r="Z68" i="1"/>
  <c r="Y68" i="1"/>
  <c r="X68" i="1"/>
  <c r="W68" i="1"/>
  <c r="V68" i="1"/>
  <c r="AA67" i="1"/>
  <c r="Z67" i="1"/>
  <c r="Y67" i="1"/>
  <c r="X67" i="1"/>
  <c r="W67" i="1"/>
  <c r="V67" i="1"/>
  <c r="AA66" i="1"/>
  <c r="Z66" i="1"/>
  <c r="Y66" i="1"/>
  <c r="X66" i="1"/>
  <c r="W66" i="1"/>
  <c r="V66" i="1"/>
  <c r="AA65" i="1"/>
  <c r="Z65" i="1"/>
  <c r="Y65" i="1"/>
  <c r="X65" i="1"/>
  <c r="W65" i="1"/>
  <c r="V65" i="1"/>
  <c r="AA64" i="1"/>
  <c r="Z64" i="1"/>
  <c r="Y64" i="1"/>
  <c r="X64" i="1"/>
  <c r="W64" i="1"/>
  <c r="V64" i="1"/>
  <c r="AA63" i="1"/>
  <c r="Z63" i="1"/>
  <c r="Y63" i="1"/>
  <c r="X63" i="1"/>
  <c r="W63" i="1"/>
  <c r="V63" i="1"/>
  <c r="AA62" i="1"/>
  <c r="Z62" i="1"/>
  <c r="Y62" i="1"/>
  <c r="X62" i="1"/>
  <c r="W62" i="1"/>
  <c r="V62" i="1"/>
  <c r="AA61" i="1"/>
  <c r="Z61" i="1"/>
  <c r="Y61" i="1"/>
  <c r="X61" i="1"/>
  <c r="W61" i="1"/>
  <c r="V61" i="1"/>
  <c r="AA60" i="1"/>
  <c r="Z60" i="1"/>
  <c r="Y60" i="1"/>
  <c r="X60" i="1"/>
  <c r="W60" i="1"/>
  <c r="V60" i="1"/>
  <c r="AA59" i="1"/>
  <c r="Z59" i="1"/>
  <c r="Y59" i="1"/>
  <c r="X59" i="1"/>
  <c r="W59" i="1"/>
  <c r="V59" i="1"/>
  <c r="AA58" i="1"/>
  <c r="Z58" i="1"/>
  <c r="Y58" i="1"/>
  <c r="X58" i="1"/>
  <c r="W58" i="1"/>
  <c r="V58" i="1"/>
  <c r="AA57" i="1"/>
  <c r="Z57" i="1"/>
  <c r="Y57" i="1"/>
  <c r="X57" i="1"/>
  <c r="W57" i="1"/>
  <c r="V57" i="1"/>
  <c r="AA56" i="1"/>
  <c r="Z56" i="1"/>
  <c r="Y56" i="1"/>
  <c r="X56" i="1"/>
  <c r="W56" i="1"/>
  <c r="V56" i="1"/>
  <c r="AA55" i="1"/>
  <c r="Z55" i="1"/>
  <c r="Y55" i="1"/>
  <c r="X55" i="1"/>
  <c r="W55" i="1"/>
  <c r="V55" i="1"/>
  <c r="AA54" i="1"/>
  <c r="Z54" i="1"/>
  <c r="Y54" i="1"/>
  <c r="X54" i="1"/>
  <c r="W54" i="1"/>
  <c r="V54" i="1"/>
  <c r="AA53" i="1"/>
  <c r="Z53" i="1"/>
  <c r="Y53" i="1"/>
  <c r="X53" i="1"/>
  <c r="W53" i="1"/>
  <c r="V53" i="1"/>
  <c r="AA52" i="1"/>
  <c r="Z52" i="1"/>
  <c r="Y52" i="1"/>
  <c r="X52" i="1"/>
  <c r="W52" i="1"/>
  <c r="V52" i="1"/>
  <c r="AA51" i="1"/>
  <c r="Z51" i="1"/>
  <c r="Y51" i="1"/>
  <c r="X51" i="1"/>
  <c r="W51" i="1"/>
  <c r="V51" i="1"/>
  <c r="AA50" i="1"/>
  <c r="Z50" i="1"/>
  <c r="Y50" i="1"/>
  <c r="X50" i="1"/>
  <c r="W50" i="1"/>
  <c r="V50" i="1"/>
  <c r="AA49" i="1"/>
  <c r="Z49" i="1"/>
  <c r="Y49" i="1"/>
  <c r="X49" i="1"/>
  <c r="W49" i="1"/>
  <c r="V49" i="1"/>
  <c r="AA48" i="1"/>
  <c r="Z48" i="1"/>
  <c r="Y48" i="1"/>
  <c r="X48" i="1"/>
  <c r="W48" i="1"/>
  <c r="V48" i="1"/>
  <c r="AA47" i="1"/>
  <c r="Z47" i="1"/>
  <c r="Y47" i="1"/>
  <c r="X47" i="1"/>
  <c r="W47" i="1"/>
  <c r="V47" i="1"/>
  <c r="AA46" i="1"/>
  <c r="Z46" i="1"/>
  <c r="Y46" i="1"/>
  <c r="X46" i="1"/>
  <c r="W46" i="1"/>
  <c r="V46" i="1"/>
  <c r="AA45" i="1"/>
  <c r="Z45" i="1"/>
  <c r="Y45" i="1"/>
  <c r="X45" i="1"/>
  <c r="W45" i="1"/>
  <c r="V45" i="1"/>
  <c r="AA44" i="1"/>
  <c r="Z44" i="1"/>
  <c r="Y44" i="1"/>
  <c r="X44" i="1"/>
  <c r="W44" i="1"/>
  <c r="V44" i="1"/>
  <c r="AA43" i="1"/>
  <c r="Z43" i="1"/>
  <c r="Y43" i="1"/>
  <c r="X43" i="1"/>
  <c r="W43" i="1"/>
  <c r="V43" i="1"/>
  <c r="AA42" i="1"/>
  <c r="Z42" i="1"/>
  <c r="Y42" i="1"/>
  <c r="X42" i="1"/>
  <c r="W42" i="1"/>
  <c r="V42" i="1"/>
  <c r="AA41" i="1"/>
  <c r="Z41" i="1"/>
  <c r="Y41" i="1"/>
  <c r="X41" i="1"/>
  <c r="W41" i="1"/>
  <c r="V41" i="1"/>
  <c r="AA40" i="1"/>
  <c r="Z40" i="1"/>
  <c r="Y40" i="1"/>
  <c r="X40" i="1"/>
  <c r="W40" i="1"/>
  <c r="V40" i="1"/>
  <c r="AA39" i="1"/>
  <c r="Z39" i="1"/>
  <c r="Y39" i="1"/>
  <c r="X39" i="1"/>
  <c r="W39" i="1"/>
  <c r="V39" i="1"/>
  <c r="AA38" i="1"/>
  <c r="Z38" i="1"/>
  <c r="Y38" i="1"/>
  <c r="X38" i="1"/>
  <c r="W38" i="1"/>
  <c r="V38" i="1"/>
  <c r="AA37" i="1"/>
  <c r="Z37" i="1"/>
  <c r="Y37" i="1"/>
  <c r="X37" i="1"/>
  <c r="W37" i="1"/>
  <c r="V37" i="1"/>
  <c r="AA36" i="1"/>
  <c r="Z36" i="1"/>
  <c r="Y36" i="1"/>
  <c r="X36" i="1"/>
  <c r="W36" i="1"/>
  <c r="V36" i="1"/>
  <c r="AA35" i="1"/>
  <c r="Z35" i="1"/>
  <c r="Y35" i="1"/>
  <c r="X35" i="1"/>
  <c r="W35" i="1"/>
  <c r="V35" i="1"/>
  <c r="AA34" i="1"/>
  <c r="Z34" i="1"/>
  <c r="Y34" i="1"/>
  <c r="X34" i="1"/>
  <c r="W34" i="1"/>
  <c r="V34" i="1"/>
  <c r="AA33" i="1"/>
  <c r="Z33" i="1"/>
  <c r="Y33" i="1"/>
  <c r="X33" i="1"/>
  <c r="W33" i="1"/>
  <c r="V33" i="1"/>
  <c r="AA32" i="1"/>
  <c r="Z32" i="1"/>
  <c r="Y32" i="1"/>
  <c r="X32" i="1"/>
  <c r="W32" i="1"/>
  <c r="V32" i="1"/>
  <c r="AA31" i="1"/>
  <c r="Z31" i="1"/>
  <c r="Y31" i="1"/>
  <c r="X31" i="1"/>
  <c r="W31" i="1"/>
  <c r="V31" i="1"/>
  <c r="AA30" i="1"/>
  <c r="Z30" i="1"/>
  <c r="Y30" i="1"/>
  <c r="X30" i="1"/>
  <c r="W30" i="1"/>
  <c r="V30" i="1"/>
  <c r="AA29" i="1"/>
  <c r="Z29" i="1"/>
  <c r="Y29" i="1"/>
  <c r="X29" i="1"/>
  <c r="W29" i="1"/>
  <c r="V29" i="1"/>
  <c r="AA28" i="1"/>
  <c r="Z28" i="1"/>
  <c r="Y28" i="1"/>
  <c r="X28" i="1"/>
  <c r="W28" i="1"/>
  <c r="V28" i="1"/>
  <c r="AA27" i="1"/>
  <c r="Z27" i="1"/>
  <c r="Y27" i="1"/>
  <c r="X27" i="1"/>
  <c r="W27" i="1"/>
  <c r="V27" i="1"/>
  <c r="AA26" i="1"/>
  <c r="Z26" i="1"/>
  <c r="Y26" i="1"/>
  <c r="X26" i="1"/>
  <c r="W26" i="1"/>
  <c r="V26" i="1"/>
  <c r="AA25" i="1"/>
  <c r="Z25" i="1"/>
  <c r="Y25" i="1"/>
  <c r="X25" i="1"/>
  <c r="W25" i="1"/>
  <c r="V25" i="1"/>
  <c r="AA24" i="1"/>
  <c r="Z24" i="1"/>
  <c r="Y24" i="1"/>
  <c r="X24" i="1"/>
  <c r="W24" i="1"/>
  <c r="V24" i="1"/>
  <c r="AA23" i="1"/>
  <c r="Z23" i="1"/>
  <c r="Y23" i="1"/>
  <c r="X23" i="1"/>
  <c r="W23" i="1"/>
  <c r="V23" i="1"/>
  <c r="AA22" i="1"/>
  <c r="Z22" i="1"/>
  <c r="Y22" i="1"/>
  <c r="X22" i="1"/>
  <c r="W22" i="1"/>
  <c r="V22" i="1"/>
  <c r="AA21" i="1"/>
  <c r="Z21" i="1"/>
  <c r="Y21" i="1"/>
  <c r="X21" i="1"/>
  <c r="W21" i="1"/>
  <c r="V21" i="1"/>
  <c r="AA20" i="1"/>
  <c r="Z20" i="1"/>
  <c r="Y20" i="1"/>
  <c r="X20" i="1"/>
  <c r="W20" i="1"/>
  <c r="V20" i="1"/>
  <c r="AA19" i="1"/>
  <c r="Z19" i="1"/>
  <c r="Y19" i="1"/>
  <c r="X19" i="1"/>
  <c r="W19" i="1"/>
  <c r="V19" i="1"/>
  <c r="AA18" i="1"/>
  <c r="Z18" i="1"/>
  <c r="Y18" i="1"/>
  <c r="X18" i="1"/>
  <c r="W18" i="1"/>
  <c r="V18" i="1"/>
  <c r="AA17" i="1"/>
  <c r="Z17" i="1"/>
  <c r="Y17" i="1"/>
  <c r="X17" i="1"/>
  <c r="W17" i="1"/>
  <c r="V17" i="1"/>
  <c r="AA16" i="1"/>
  <c r="Z16" i="1"/>
  <c r="Y16" i="1"/>
  <c r="X16" i="1"/>
  <c r="W16" i="1"/>
  <c r="V16" i="1"/>
  <c r="AA15" i="1"/>
  <c r="Z15" i="1"/>
  <c r="Y15" i="1"/>
  <c r="X15" i="1"/>
  <c r="W15" i="1"/>
  <c r="V15" i="1"/>
  <c r="AA14" i="1"/>
  <c r="Z14" i="1"/>
  <c r="Y14" i="1"/>
  <c r="X14" i="1"/>
  <c r="W14" i="1"/>
  <c r="V14" i="1"/>
  <c r="AA13" i="1"/>
  <c r="Z13" i="1"/>
  <c r="Y13" i="1"/>
  <c r="X13" i="1"/>
  <c r="W13" i="1"/>
  <c r="V13" i="1"/>
  <c r="AA12" i="1"/>
  <c r="Z12" i="1"/>
  <c r="Y12" i="1"/>
  <c r="X12" i="1"/>
  <c r="W12" i="1"/>
  <c r="V12" i="1"/>
  <c r="AA11" i="1"/>
  <c r="Z11" i="1"/>
  <c r="Y11" i="1"/>
  <c r="X11" i="1"/>
  <c r="W11" i="1"/>
  <c r="V11" i="1"/>
  <c r="AA10" i="1"/>
  <c r="Z10" i="1"/>
  <c r="Y10" i="1"/>
  <c r="X10" i="1"/>
  <c r="W10" i="1"/>
  <c r="V10" i="1"/>
  <c r="AA9" i="1"/>
  <c r="Z9" i="1"/>
  <c r="Y9" i="1"/>
  <c r="X9" i="1"/>
  <c r="W9" i="1"/>
  <c r="V9" i="1"/>
  <c r="AA8" i="1"/>
  <c r="Z8" i="1"/>
  <c r="Y8" i="1"/>
  <c r="X8" i="1"/>
  <c r="W8" i="1"/>
  <c r="V8" i="1"/>
  <c r="AA7" i="1"/>
  <c r="Z7" i="1"/>
  <c r="Y7" i="1"/>
  <c r="X7" i="1"/>
  <c r="W7" i="1"/>
  <c r="V7" i="1"/>
  <c r="AA6" i="1"/>
  <c r="Z6" i="1"/>
  <c r="Y6" i="1"/>
  <c r="X6" i="1"/>
  <c r="W6" i="1"/>
  <c r="V6" i="1"/>
  <c r="AA5" i="1"/>
  <c r="Z5" i="1"/>
  <c r="Y5" i="1"/>
  <c r="X5" i="1"/>
  <c r="W5" i="1"/>
  <c r="V5" i="1"/>
  <c r="AA4" i="1"/>
  <c r="Z4" i="1"/>
  <c r="Y4" i="1"/>
  <c r="X4" i="1"/>
  <c r="W4" i="1"/>
  <c r="V4" i="1"/>
  <c r="AA3" i="1"/>
  <c r="Z3" i="1"/>
  <c r="Y3" i="1"/>
  <c r="X3" i="1"/>
  <c r="W3" i="1"/>
  <c r="V3" i="1"/>
  <c r="AA2" i="1"/>
  <c r="Z2" i="1"/>
  <c r="Y2" i="1"/>
  <c r="X2" i="1"/>
  <c r="W2" i="1"/>
  <c r="V2" i="1"/>
  <c r="K2" i="1"/>
  <c r="L2" i="1"/>
  <c r="M2" i="1"/>
  <c r="K3" i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H2" i="1"/>
  <c r="I2" i="1"/>
  <c r="J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J95" i="1" l="1"/>
  <c r="I95" i="1"/>
  <c r="H95" i="1"/>
  <c r="M95" i="1"/>
  <c r="L95" i="1"/>
  <c r="K95" i="1"/>
  <c r="V95" i="1"/>
  <c r="W95" i="1"/>
  <c r="X95" i="1"/>
  <c r="Y95" i="1"/>
  <c r="Z95" i="1"/>
  <c r="AA95" i="1"/>
</calcChain>
</file>

<file path=xl/sharedStrings.xml><?xml version="1.0" encoding="utf-8"?>
<sst xmlns="http://schemas.openxmlformats.org/spreadsheetml/2006/main" count="213" uniqueCount="18">
  <si>
    <t>Nonbrand</t>
  </si>
  <si>
    <t>feature_name</t>
  </si>
  <si>
    <t>Cost</t>
  </si>
  <si>
    <t>Clicks</t>
  </si>
  <si>
    <t>registration_started</t>
  </si>
  <si>
    <t>registration_complete</t>
  </si>
  <si>
    <t>verified regs</t>
  </si>
  <si>
    <t>CVR</t>
  </si>
  <si>
    <t>CVR-start</t>
  </si>
  <si>
    <t>CVR-complete</t>
  </si>
  <si>
    <t>CPA-start</t>
  </si>
  <si>
    <t>CPA-complete</t>
  </si>
  <si>
    <t>CPA</t>
  </si>
  <si>
    <t>Brand</t>
  </si>
  <si>
    <t>verified_regs</t>
  </si>
  <si>
    <t>Paid Search Unbranded</t>
  </si>
  <si>
    <t>Paid Search Branded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</si>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</sst>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4" fontId="0" fillId="0" borderId="10" xfId="0" applyNumberFormat="1" applyBorder="1"/>
    <xf numFmtId="0" fontId="0" fillId="0" borderId="11" xfId="0" applyBorder="1"/>
    <xf numFmtId="164" fontId="0" fillId="0" borderId="11" xfId="1" applyNumberFormat="1" applyFont="1" applyBorder="1"/>
    <xf numFmtId="165" fontId="0" fillId="0" borderId="11" xfId="0" applyNumberFormat="1" applyBorder="1"/>
    <xf numFmtId="14" fontId="0" fillId="0" borderId="11" xfId="0" applyNumberFormat="1" applyBorder="1"/>
    <xf numFmtId="165" fontId="0" fillId="0" borderId="12" xfId="0" applyNumberFormat="1" applyBorder="1"/>
    <xf numFmtId="14" fontId="0" fillId="0" borderId="13" xfId="0" applyNumberFormat="1" applyBorder="1"/>
    <xf numFmtId="164" fontId="0" fillId="0" borderId="0" xfId="1" applyNumberFormat="1" applyFont="1" applyBorder="1"/>
    <xf numFmtId="165" fontId="0" fillId="0" borderId="14" xfId="0" applyNumberFormat="1" applyBorder="1"/>
    <xf numFmtId="14" fontId="0" fillId="0" borderId="15" xfId="0" applyNumberFormat="1" applyBorder="1"/>
    <xf numFmtId="0" fontId="0" fillId="0" borderId="16" xfId="0" applyBorder="1"/>
    <xf numFmtId="164" fontId="0" fillId="0" borderId="16" xfId="1" applyNumberFormat="1" applyFont="1" applyBorder="1"/>
    <xf numFmtId="165" fontId="0" fillId="0" borderId="16" xfId="0" applyNumberFormat="1" applyBorder="1"/>
    <xf numFmtId="14" fontId="0" fillId="0" borderId="16" xfId="0" applyNumberFormat="1" applyBorder="1"/>
    <xf numFmtId="165" fontId="0" fillId="0" borderId="17" xfId="0" applyNumberFormat="1" applyBorder="1"/>
    <xf numFmtId="0" fontId="0" fillId="0" borderId="18" xfId="0" applyBorder="1"/>
    <xf numFmtId="0" fontId="0" fillId="0" borderId="19" xfId="0" applyBorder="1"/>
    <xf numFmtId="9" fontId="0" fillId="0" borderId="19" xfId="1" applyFont="1" applyBorder="1"/>
    <xf numFmtId="9" fontId="16" fillId="0" borderId="19" xfId="1" applyFont="1" applyBorder="1"/>
    <xf numFmtId="9" fontId="1" fillId="0" borderId="19" xfId="1" applyFont="1" applyBorder="1"/>
    <xf numFmtId="9" fontId="1" fillId="0" borderId="20" xfId="1" applyFont="1" applyBorder="1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FD0C-AF2C-48DE-8E49-3A7DDF2B6D62}">
  <dimension ref="A1:AA95"/>
  <sheetViews>
    <sheetView tabSelected="1" workbookViewId="0">
      <pane ySplit="1" topLeftCell="A75" activePane="bottomLeft" state="frozen"/>
      <selection pane="bottomLeft" activeCell="AD81" sqref="AD81"/>
    </sheetView>
  </sheetViews>
  <sheetFormatPr defaultRowHeight="15" x14ac:dyDescent="0.25"/>
  <cols>
    <col min="1" max="1" width="15.85546875" bestFit="1" customWidth="1"/>
    <col min="2" max="2" width="22.140625" hidden="1" customWidth="1"/>
    <col min="3" max="3" width="9.140625" customWidth="1"/>
    <col min="4" max="4" width="8.5703125" bestFit="1" customWidth="1"/>
    <col min="5" max="5" width="18.42578125" hidden="1" customWidth="1"/>
    <col min="6" max="6" width="2.28515625" hidden="1" customWidth="1"/>
    <col min="7" max="7" width="13.85546875" bestFit="1" customWidth="1"/>
    <col min="9" max="9" width="9.140625" hidden="1" customWidth="1"/>
    <col min="10" max="12" width="0" hidden="1" customWidth="1"/>
    <col min="15" max="15" width="18" customWidth="1"/>
    <col min="16" max="16" width="9.140625" hidden="1" customWidth="1"/>
    <col min="17" max="18" width="9.140625" customWidth="1"/>
    <col min="19" max="20" width="9.140625" hidden="1" customWidth="1"/>
    <col min="21" max="21" width="12" bestFit="1" customWidth="1"/>
    <col min="23" max="26" width="0" hidden="1" customWidth="1"/>
  </cols>
  <sheetData>
    <row r="1" spans="1:27" ht="21" x14ac:dyDescent="0.35">
      <c r="A1" s="2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25" t="s">
        <v>13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14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</row>
    <row r="2" spans="1:27" hidden="1" x14ac:dyDescent="0.25">
      <c r="A2" s="1">
        <v>46023</v>
      </c>
      <c r="B2" t="s">
        <v>15</v>
      </c>
      <c r="C2">
        <v>1613.41</v>
      </c>
      <c r="D2">
        <v>518</v>
      </c>
      <c r="E2">
        <v>25</v>
      </c>
      <c r="F2">
        <v>13</v>
      </c>
      <c r="G2">
        <v>14</v>
      </c>
      <c r="H2" s="2">
        <f t="shared" ref="H2:H33" si="0">G2/D2</f>
        <v>2.7027027027027029E-2</v>
      </c>
      <c r="I2" s="2">
        <f t="shared" ref="I2:I33" si="1">G2/E2</f>
        <v>0.56000000000000005</v>
      </c>
      <c r="J2" s="2">
        <f t="shared" ref="J2:J33" si="2">G2/F2</f>
        <v>1.0769230769230769</v>
      </c>
      <c r="K2" s="3">
        <f t="shared" ref="K2:K33" si="3">C2/E2</f>
        <v>64.5364</v>
      </c>
      <c r="L2" s="3">
        <f t="shared" ref="L2:L33" si="4">C2/F2</f>
        <v>124.10846153846154</v>
      </c>
      <c r="M2" s="3">
        <f t="shared" ref="M2:M33" si="5">C2/G2</f>
        <v>115.24357142857143</v>
      </c>
      <c r="O2" s="1">
        <v>46023</v>
      </c>
      <c r="P2" t="s">
        <v>16</v>
      </c>
      <c r="Q2">
        <v>483.02</v>
      </c>
      <c r="R2">
        <v>99</v>
      </c>
      <c r="S2">
        <v>20</v>
      </c>
      <c r="T2">
        <v>14</v>
      </c>
      <c r="U2">
        <v>11</v>
      </c>
      <c r="V2" s="2">
        <f t="shared" ref="V2:V33" si="6">U2/R2</f>
        <v>0.1111111111111111</v>
      </c>
      <c r="W2" s="2">
        <f t="shared" ref="W2:W33" si="7">U2/S2</f>
        <v>0.55000000000000004</v>
      </c>
      <c r="X2" s="2">
        <f t="shared" ref="X2:X33" si="8">U2/T2</f>
        <v>0.7857142857142857</v>
      </c>
      <c r="Y2" s="3">
        <f t="shared" ref="Y2:Y33" si="9">Q2/S2</f>
        <v>24.151</v>
      </c>
      <c r="Z2" s="3">
        <f t="shared" ref="Z2:Z33" si="10">Q2/T2</f>
        <v>34.501428571428569</v>
      </c>
      <c r="AA2" s="3">
        <f t="shared" ref="AA2:AA33" si="11">Q2/U2</f>
        <v>43.910909090909087</v>
      </c>
    </row>
    <row r="3" spans="1:27" hidden="1" x14ac:dyDescent="0.25">
      <c r="A3" s="1">
        <v>46024</v>
      </c>
      <c r="B3" t="s">
        <v>15</v>
      </c>
      <c r="C3">
        <v>1783.76</v>
      </c>
      <c r="D3">
        <v>574</v>
      </c>
      <c r="E3">
        <v>21</v>
      </c>
      <c r="F3">
        <v>12</v>
      </c>
      <c r="G3">
        <v>13</v>
      </c>
      <c r="H3" s="2">
        <f t="shared" si="0"/>
        <v>2.2648083623693381E-2</v>
      </c>
      <c r="I3" s="2">
        <f t="shared" si="1"/>
        <v>0.61904761904761907</v>
      </c>
      <c r="J3" s="2">
        <f t="shared" si="2"/>
        <v>1.0833333333333333</v>
      </c>
      <c r="K3" s="3">
        <f t="shared" si="3"/>
        <v>84.940952380952382</v>
      </c>
      <c r="L3" s="3">
        <f t="shared" si="4"/>
        <v>148.64666666666668</v>
      </c>
      <c r="M3" s="3">
        <f t="shared" si="5"/>
        <v>137.21230769230769</v>
      </c>
      <c r="O3" s="1">
        <v>46024</v>
      </c>
      <c r="P3" t="s">
        <v>16</v>
      </c>
      <c r="Q3">
        <v>425.78999999999996</v>
      </c>
      <c r="R3">
        <v>120</v>
      </c>
      <c r="S3">
        <v>17</v>
      </c>
      <c r="T3">
        <v>10</v>
      </c>
      <c r="U3">
        <v>6</v>
      </c>
      <c r="V3" s="2">
        <f t="shared" si="6"/>
        <v>0.05</v>
      </c>
      <c r="W3" s="2">
        <f t="shared" si="7"/>
        <v>0.35294117647058826</v>
      </c>
      <c r="X3" s="2">
        <f t="shared" si="8"/>
        <v>0.6</v>
      </c>
      <c r="Y3" s="3">
        <f t="shared" si="9"/>
        <v>25.046470588235291</v>
      </c>
      <c r="Z3" s="3">
        <f t="shared" si="10"/>
        <v>42.578999999999994</v>
      </c>
      <c r="AA3" s="3">
        <f t="shared" si="11"/>
        <v>70.964999999999989</v>
      </c>
    </row>
    <row r="4" spans="1:27" hidden="1" x14ac:dyDescent="0.25">
      <c r="A4" s="1">
        <v>46025</v>
      </c>
      <c r="B4" t="s">
        <v>15</v>
      </c>
      <c r="C4">
        <v>1585.06</v>
      </c>
      <c r="D4">
        <v>541</v>
      </c>
      <c r="E4">
        <v>30</v>
      </c>
      <c r="F4">
        <v>14</v>
      </c>
      <c r="G4">
        <v>12</v>
      </c>
      <c r="H4" s="2">
        <f t="shared" si="0"/>
        <v>2.2181146025878003E-2</v>
      </c>
      <c r="I4" s="2">
        <f t="shared" si="1"/>
        <v>0.4</v>
      </c>
      <c r="J4" s="2">
        <f t="shared" si="2"/>
        <v>0.8571428571428571</v>
      </c>
      <c r="K4" s="3">
        <f t="shared" si="3"/>
        <v>52.835333333333331</v>
      </c>
      <c r="L4" s="3">
        <f t="shared" si="4"/>
        <v>113.21857142857142</v>
      </c>
      <c r="M4" s="3">
        <f t="shared" si="5"/>
        <v>132.08833333333334</v>
      </c>
      <c r="O4" s="1">
        <v>46025</v>
      </c>
      <c r="P4" t="s">
        <v>16</v>
      </c>
      <c r="Q4">
        <v>583.22</v>
      </c>
      <c r="R4">
        <v>125</v>
      </c>
      <c r="S4">
        <v>18</v>
      </c>
      <c r="T4">
        <v>11</v>
      </c>
      <c r="U4">
        <v>15</v>
      </c>
      <c r="V4" s="2">
        <f t="shared" si="6"/>
        <v>0.12</v>
      </c>
      <c r="W4" s="2">
        <f t="shared" si="7"/>
        <v>0.83333333333333337</v>
      </c>
      <c r="X4" s="2">
        <f t="shared" si="8"/>
        <v>1.3636363636363635</v>
      </c>
      <c r="Y4" s="3">
        <f t="shared" si="9"/>
        <v>32.401111111111113</v>
      </c>
      <c r="Z4" s="3">
        <f t="shared" si="10"/>
        <v>53.02</v>
      </c>
      <c r="AA4" s="3">
        <f t="shared" si="11"/>
        <v>38.881333333333338</v>
      </c>
    </row>
    <row r="5" spans="1:27" hidden="1" x14ac:dyDescent="0.25">
      <c r="A5" s="1">
        <v>46026</v>
      </c>
      <c r="B5" t="s">
        <v>15</v>
      </c>
      <c r="C5">
        <v>1807.05</v>
      </c>
      <c r="D5">
        <v>608</v>
      </c>
      <c r="E5">
        <v>38</v>
      </c>
      <c r="F5">
        <v>19</v>
      </c>
      <c r="G5">
        <v>19</v>
      </c>
      <c r="H5" s="2">
        <f t="shared" si="0"/>
        <v>3.125E-2</v>
      </c>
      <c r="I5" s="2">
        <f t="shared" si="1"/>
        <v>0.5</v>
      </c>
      <c r="J5" s="2">
        <f t="shared" si="2"/>
        <v>1</v>
      </c>
      <c r="K5" s="3">
        <f t="shared" si="3"/>
        <v>47.553947368421049</v>
      </c>
      <c r="L5" s="3">
        <f t="shared" si="4"/>
        <v>95.107894736842098</v>
      </c>
      <c r="M5" s="3">
        <f t="shared" si="5"/>
        <v>95.107894736842098</v>
      </c>
      <c r="O5" s="1">
        <v>46026</v>
      </c>
      <c r="P5" t="s">
        <v>16</v>
      </c>
      <c r="Q5">
        <v>740.33</v>
      </c>
      <c r="R5">
        <v>134</v>
      </c>
      <c r="S5">
        <v>17</v>
      </c>
      <c r="T5">
        <v>8</v>
      </c>
      <c r="U5">
        <v>11</v>
      </c>
      <c r="V5" s="2">
        <f t="shared" si="6"/>
        <v>8.2089552238805971E-2</v>
      </c>
      <c r="W5" s="2">
        <f t="shared" si="7"/>
        <v>0.6470588235294118</v>
      </c>
      <c r="X5" s="2">
        <f t="shared" si="8"/>
        <v>1.375</v>
      </c>
      <c r="Y5" s="3">
        <f t="shared" si="9"/>
        <v>43.54882352941177</v>
      </c>
      <c r="Z5" s="3">
        <f t="shared" si="10"/>
        <v>92.541250000000005</v>
      </c>
      <c r="AA5" s="3">
        <f t="shared" si="11"/>
        <v>67.302727272727282</v>
      </c>
    </row>
    <row r="6" spans="1:27" hidden="1" x14ac:dyDescent="0.25">
      <c r="A6" s="1">
        <v>46027</v>
      </c>
      <c r="B6" t="s">
        <v>15</v>
      </c>
      <c r="C6">
        <v>1625.15</v>
      </c>
      <c r="D6">
        <v>527</v>
      </c>
      <c r="E6">
        <v>14</v>
      </c>
      <c r="F6">
        <v>6</v>
      </c>
      <c r="G6">
        <v>9</v>
      </c>
      <c r="H6" s="2">
        <f t="shared" si="0"/>
        <v>1.7077798861480076E-2</v>
      </c>
      <c r="I6" s="2">
        <f t="shared" si="1"/>
        <v>0.6428571428571429</v>
      </c>
      <c r="J6" s="2">
        <f t="shared" si="2"/>
        <v>1.5</v>
      </c>
      <c r="K6" s="3">
        <f t="shared" si="3"/>
        <v>116.08214285714287</v>
      </c>
      <c r="L6" s="3">
        <f t="shared" si="4"/>
        <v>270.85833333333335</v>
      </c>
      <c r="M6" s="3">
        <f t="shared" si="5"/>
        <v>180.57222222222222</v>
      </c>
      <c r="O6" s="1">
        <v>46027</v>
      </c>
      <c r="P6" t="s">
        <v>16</v>
      </c>
      <c r="Q6">
        <v>618.44000000000005</v>
      </c>
      <c r="R6">
        <v>157</v>
      </c>
      <c r="S6">
        <v>24</v>
      </c>
      <c r="T6">
        <v>9</v>
      </c>
      <c r="U6">
        <v>10</v>
      </c>
      <c r="V6" s="2">
        <f t="shared" si="6"/>
        <v>6.3694267515923567E-2</v>
      </c>
      <c r="W6" s="2">
        <f t="shared" si="7"/>
        <v>0.41666666666666669</v>
      </c>
      <c r="X6" s="2">
        <f t="shared" si="8"/>
        <v>1.1111111111111112</v>
      </c>
      <c r="Y6" s="3">
        <f t="shared" si="9"/>
        <v>25.768333333333334</v>
      </c>
      <c r="Z6" s="3">
        <f t="shared" si="10"/>
        <v>68.715555555555568</v>
      </c>
      <c r="AA6" s="3">
        <f t="shared" si="11"/>
        <v>61.844000000000008</v>
      </c>
    </row>
    <row r="7" spans="1:27" hidden="1" x14ac:dyDescent="0.25">
      <c r="A7" s="1">
        <v>46028</v>
      </c>
      <c r="B7" t="s">
        <v>15</v>
      </c>
      <c r="C7">
        <v>3981.78</v>
      </c>
      <c r="D7">
        <v>952</v>
      </c>
      <c r="E7">
        <v>50</v>
      </c>
      <c r="F7">
        <v>29</v>
      </c>
      <c r="G7">
        <v>33</v>
      </c>
      <c r="H7" s="2">
        <f t="shared" si="0"/>
        <v>3.4663865546218489E-2</v>
      </c>
      <c r="I7" s="2">
        <f t="shared" si="1"/>
        <v>0.66</v>
      </c>
      <c r="J7" s="2">
        <f t="shared" si="2"/>
        <v>1.1379310344827587</v>
      </c>
      <c r="K7" s="3">
        <f t="shared" si="3"/>
        <v>79.635600000000011</v>
      </c>
      <c r="L7" s="3">
        <f t="shared" si="4"/>
        <v>137.30275862068967</v>
      </c>
      <c r="M7" s="3">
        <f t="shared" si="5"/>
        <v>120.66000000000001</v>
      </c>
      <c r="O7" s="1">
        <v>46028</v>
      </c>
      <c r="P7" t="s">
        <v>16</v>
      </c>
      <c r="Q7">
        <v>630.22</v>
      </c>
      <c r="R7">
        <v>173</v>
      </c>
      <c r="S7">
        <v>26</v>
      </c>
      <c r="T7">
        <v>14</v>
      </c>
      <c r="U7">
        <v>17</v>
      </c>
      <c r="V7" s="2">
        <f t="shared" si="6"/>
        <v>9.8265895953757232E-2</v>
      </c>
      <c r="W7" s="2">
        <f t="shared" si="7"/>
        <v>0.65384615384615385</v>
      </c>
      <c r="X7" s="2">
        <f t="shared" si="8"/>
        <v>1.2142857142857142</v>
      </c>
      <c r="Y7" s="3">
        <f t="shared" si="9"/>
        <v>24.239230769230769</v>
      </c>
      <c r="Z7" s="3">
        <f t="shared" si="10"/>
        <v>45.015714285714289</v>
      </c>
      <c r="AA7" s="3">
        <f t="shared" si="11"/>
        <v>37.071764705882352</v>
      </c>
    </row>
    <row r="8" spans="1:27" hidden="1" x14ac:dyDescent="0.25">
      <c r="A8" s="1">
        <v>46029</v>
      </c>
      <c r="B8" t="s">
        <v>15</v>
      </c>
      <c r="C8">
        <v>4111.9399999999996</v>
      </c>
      <c r="D8">
        <v>1006</v>
      </c>
      <c r="E8">
        <v>43</v>
      </c>
      <c r="F8">
        <v>19</v>
      </c>
      <c r="G8">
        <v>18</v>
      </c>
      <c r="H8" s="2">
        <f t="shared" si="0"/>
        <v>1.7892644135188866E-2</v>
      </c>
      <c r="I8" s="2">
        <f t="shared" si="1"/>
        <v>0.41860465116279072</v>
      </c>
      <c r="J8" s="2">
        <f t="shared" si="2"/>
        <v>0.94736842105263153</v>
      </c>
      <c r="K8" s="3">
        <f t="shared" si="3"/>
        <v>95.626511627906964</v>
      </c>
      <c r="L8" s="3">
        <f t="shared" si="4"/>
        <v>216.41789473684207</v>
      </c>
      <c r="M8" s="3">
        <f t="shared" si="5"/>
        <v>228.4411111111111</v>
      </c>
      <c r="O8" s="1">
        <v>46029</v>
      </c>
      <c r="P8" t="s">
        <v>16</v>
      </c>
      <c r="Q8">
        <v>767.6400000000001</v>
      </c>
      <c r="R8">
        <v>179</v>
      </c>
      <c r="S8">
        <v>34</v>
      </c>
      <c r="T8">
        <v>18</v>
      </c>
      <c r="U8">
        <v>14</v>
      </c>
      <c r="V8" s="2">
        <f t="shared" si="6"/>
        <v>7.8212290502793297E-2</v>
      </c>
      <c r="W8" s="2">
        <f t="shared" si="7"/>
        <v>0.41176470588235292</v>
      </c>
      <c r="X8" s="2">
        <f t="shared" si="8"/>
        <v>0.77777777777777779</v>
      </c>
      <c r="Y8" s="3">
        <f t="shared" si="9"/>
        <v>22.577647058823533</v>
      </c>
      <c r="Z8" s="3">
        <f t="shared" si="10"/>
        <v>42.646666666666675</v>
      </c>
      <c r="AA8" s="3">
        <f t="shared" si="11"/>
        <v>54.831428571428582</v>
      </c>
    </row>
    <row r="9" spans="1:27" hidden="1" x14ac:dyDescent="0.25">
      <c r="A9" s="1">
        <v>46030</v>
      </c>
      <c r="B9" t="s">
        <v>15</v>
      </c>
      <c r="C9">
        <v>4203.96</v>
      </c>
      <c r="D9">
        <v>990</v>
      </c>
      <c r="E9">
        <v>55</v>
      </c>
      <c r="F9">
        <v>30</v>
      </c>
      <c r="G9">
        <v>31</v>
      </c>
      <c r="H9" s="2">
        <f t="shared" si="0"/>
        <v>3.1313131313131314E-2</v>
      </c>
      <c r="I9" s="2">
        <f t="shared" si="1"/>
        <v>0.5636363636363636</v>
      </c>
      <c r="J9" s="2">
        <f t="shared" si="2"/>
        <v>1.0333333333333334</v>
      </c>
      <c r="K9" s="3">
        <f t="shared" si="3"/>
        <v>76.435636363636362</v>
      </c>
      <c r="L9" s="3">
        <f t="shared" si="4"/>
        <v>140.13200000000001</v>
      </c>
      <c r="M9" s="3">
        <f t="shared" si="5"/>
        <v>135.61161290322582</v>
      </c>
      <c r="O9" s="1">
        <v>46030</v>
      </c>
      <c r="P9" t="s">
        <v>16</v>
      </c>
      <c r="Q9">
        <v>600.12</v>
      </c>
      <c r="R9">
        <v>181</v>
      </c>
      <c r="S9">
        <v>26</v>
      </c>
      <c r="T9">
        <v>10</v>
      </c>
      <c r="U9">
        <v>15</v>
      </c>
      <c r="V9" s="2">
        <f t="shared" si="6"/>
        <v>8.2872928176795577E-2</v>
      </c>
      <c r="W9" s="2">
        <f t="shared" si="7"/>
        <v>0.57692307692307687</v>
      </c>
      <c r="X9" s="2">
        <f t="shared" si="8"/>
        <v>1.5</v>
      </c>
      <c r="Y9" s="3">
        <f t="shared" si="9"/>
        <v>23.081538461538461</v>
      </c>
      <c r="Z9" s="3">
        <f t="shared" si="10"/>
        <v>60.012</v>
      </c>
      <c r="AA9" s="3">
        <f t="shared" si="11"/>
        <v>40.008000000000003</v>
      </c>
    </row>
    <row r="10" spans="1:27" hidden="1" x14ac:dyDescent="0.25">
      <c r="A10" s="1">
        <v>46031</v>
      </c>
      <c r="B10" t="s">
        <v>15</v>
      </c>
      <c r="C10">
        <v>3983.77</v>
      </c>
      <c r="D10">
        <v>872</v>
      </c>
      <c r="E10">
        <v>40</v>
      </c>
      <c r="F10">
        <v>26</v>
      </c>
      <c r="G10">
        <v>29</v>
      </c>
      <c r="H10" s="2">
        <f t="shared" si="0"/>
        <v>3.3256880733944956E-2</v>
      </c>
      <c r="I10" s="2">
        <f t="shared" si="1"/>
        <v>0.72499999999999998</v>
      </c>
      <c r="J10" s="2">
        <f t="shared" si="2"/>
        <v>1.1153846153846154</v>
      </c>
      <c r="K10" s="3">
        <f t="shared" si="3"/>
        <v>99.594250000000002</v>
      </c>
      <c r="L10" s="3">
        <f t="shared" si="4"/>
        <v>153.22192307692308</v>
      </c>
      <c r="M10" s="3">
        <f t="shared" si="5"/>
        <v>137.37137931034482</v>
      </c>
      <c r="O10" s="1">
        <v>46031</v>
      </c>
      <c r="P10" t="s">
        <v>16</v>
      </c>
      <c r="Q10">
        <v>975.85</v>
      </c>
      <c r="R10">
        <v>182</v>
      </c>
      <c r="S10">
        <v>25</v>
      </c>
      <c r="T10">
        <v>16</v>
      </c>
      <c r="U10">
        <v>16</v>
      </c>
      <c r="V10" s="2">
        <f t="shared" si="6"/>
        <v>8.7912087912087919E-2</v>
      </c>
      <c r="W10" s="2">
        <f t="shared" si="7"/>
        <v>0.64</v>
      </c>
      <c r="X10" s="2">
        <f t="shared" si="8"/>
        <v>1</v>
      </c>
      <c r="Y10" s="3">
        <f t="shared" si="9"/>
        <v>39.033999999999999</v>
      </c>
      <c r="Z10" s="3">
        <f t="shared" si="10"/>
        <v>60.990625000000001</v>
      </c>
      <c r="AA10" s="3">
        <f t="shared" si="11"/>
        <v>60.990625000000001</v>
      </c>
    </row>
    <row r="11" spans="1:27" hidden="1" x14ac:dyDescent="0.25">
      <c r="A11" s="1">
        <v>46032</v>
      </c>
      <c r="B11" t="s">
        <v>15</v>
      </c>
      <c r="C11">
        <v>4228.12</v>
      </c>
      <c r="D11">
        <v>949</v>
      </c>
      <c r="E11">
        <v>39</v>
      </c>
      <c r="F11">
        <v>14</v>
      </c>
      <c r="G11">
        <v>15</v>
      </c>
      <c r="H11" s="2">
        <f t="shared" si="0"/>
        <v>1.5806111696522657E-2</v>
      </c>
      <c r="I11" s="2">
        <f t="shared" si="1"/>
        <v>0.38461538461538464</v>
      </c>
      <c r="J11" s="2">
        <f t="shared" si="2"/>
        <v>1.0714285714285714</v>
      </c>
      <c r="K11" s="3">
        <f t="shared" si="3"/>
        <v>108.41333333333333</v>
      </c>
      <c r="L11" s="3">
        <f t="shared" si="4"/>
        <v>302.00857142857143</v>
      </c>
      <c r="M11" s="3">
        <f t="shared" si="5"/>
        <v>281.87466666666666</v>
      </c>
      <c r="O11" s="1">
        <v>46032</v>
      </c>
      <c r="P11" t="s">
        <v>16</v>
      </c>
      <c r="Q11">
        <v>588.16</v>
      </c>
      <c r="R11">
        <v>163</v>
      </c>
      <c r="S11">
        <v>20</v>
      </c>
      <c r="T11">
        <v>9</v>
      </c>
      <c r="U11">
        <v>9</v>
      </c>
      <c r="V11" s="2">
        <f t="shared" si="6"/>
        <v>5.5214723926380369E-2</v>
      </c>
      <c r="W11" s="2">
        <f t="shared" si="7"/>
        <v>0.45</v>
      </c>
      <c r="X11" s="2">
        <f t="shared" si="8"/>
        <v>1</v>
      </c>
      <c r="Y11" s="3">
        <f t="shared" si="9"/>
        <v>29.407999999999998</v>
      </c>
      <c r="Z11" s="3">
        <f t="shared" si="10"/>
        <v>65.351111111111109</v>
      </c>
      <c r="AA11" s="3">
        <f t="shared" si="11"/>
        <v>65.351111111111109</v>
      </c>
    </row>
    <row r="12" spans="1:27" hidden="1" x14ac:dyDescent="0.25">
      <c r="A12" s="1">
        <v>46033</v>
      </c>
      <c r="B12" t="s">
        <v>15</v>
      </c>
      <c r="C12">
        <v>4735.58</v>
      </c>
      <c r="D12">
        <v>1051</v>
      </c>
      <c r="E12">
        <v>47</v>
      </c>
      <c r="F12">
        <v>21</v>
      </c>
      <c r="G12">
        <v>32</v>
      </c>
      <c r="H12" s="2">
        <f t="shared" si="0"/>
        <v>3.0447193149381543E-2</v>
      </c>
      <c r="I12" s="2">
        <f t="shared" si="1"/>
        <v>0.68085106382978722</v>
      </c>
      <c r="J12" s="2">
        <f t="shared" si="2"/>
        <v>1.5238095238095237</v>
      </c>
      <c r="K12" s="3">
        <f t="shared" si="3"/>
        <v>100.75702127659574</v>
      </c>
      <c r="L12" s="3">
        <f t="shared" si="4"/>
        <v>225.50380952380951</v>
      </c>
      <c r="M12" s="3">
        <f t="shared" si="5"/>
        <v>147.986875</v>
      </c>
      <c r="O12" s="1">
        <v>46033</v>
      </c>
      <c r="P12" t="s">
        <v>16</v>
      </c>
      <c r="Q12">
        <v>867.69</v>
      </c>
      <c r="R12">
        <v>156</v>
      </c>
      <c r="S12">
        <v>18</v>
      </c>
      <c r="T12">
        <v>9</v>
      </c>
      <c r="U12">
        <v>18</v>
      </c>
      <c r="V12" s="2">
        <f t="shared" si="6"/>
        <v>0.11538461538461539</v>
      </c>
      <c r="W12" s="2">
        <f t="shared" si="7"/>
        <v>1</v>
      </c>
      <c r="X12" s="2">
        <f t="shared" si="8"/>
        <v>2</v>
      </c>
      <c r="Y12" s="3">
        <f t="shared" si="9"/>
        <v>48.205000000000005</v>
      </c>
      <c r="Z12" s="3">
        <f t="shared" si="10"/>
        <v>96.410000000000011</v>
      </c>
      <c r="AA12" s="3">
        <f t="shared" si="11"/>
        <v>48.205000000000005</v>
      </c>
    </row>
    <row r="13" spans="1:27" hidden="1" x14ac:dyDescent="0.25">
      <c r="A13" s="1">
        <v>46034</v>
      </c>
      <c r="B13" t="s">
        <v>15</v>
      </c>
      <c r="C13">
        <v>3893.98</v>
      </c>
      <c r="D13">
        <v>884</v>
      </c>
      <c r="E13">
        <v>45</v>
      </c>
      <c r="F13">
        <v>23</v>
      </c>
      <c r="G13">
        <v>13</v>
      </c>
      <c r="H13" s="2">
        <f t="shared" si="0"/>
        <v>1.4705882352941176E-2</v>
      </c>
      <c r="I13" s="2">
        <f t="shared" si="1"/>
        <v>0.28888888888888886</v>
      </c>
      <c r="J13" s="2">
        <f t="shared" si="2"/>
        <v>0.56521739130434778</v>
      </c>
      <c r="K13" s="3">
        <f t="shared" si="3"/>
        <v>86.532888888888891</v>
      </c>
      <c r="L13" s="3">
        <f t="shared" si="4"/>
        <v>169.30347826086955</v>
      </c>
      <c r="M13" s="3">
        <f t="shared" si="5"/>
        <v>299.53692307692307</v>
      </c>
      <c r="O13" s="1">
        <v>46034</v>
      </c>
      <c r="P13" t="s">
        <v>16</v>
      </c>
      <c r="Q13">
        <v>1070.95</v>
      </c>
      <c r="R13">
        <v>246</v>
      </c>
      <c r="S13">
        <v>38</v>
      </c>
      <c r="T13">
        <v>14</v>
      </c>
      <c r="U13">
        <v>9</v>
      </c>
      <c r="V13" s="2">
        <f t="shared" si="6"/>
        <v>3.6585365853658534E-2</v>
      </c>
      <c r="W13" s="2">
        <f t="shared" si="7"/>
        <v>0.23684210526315788</v>
      </c>
      <c r="X13" s="2">
        <f t="shared" si="8"/>
        <v>0.6428571428571429</v>
      </c>
      <c r="Y13" s="3">
        <f t="shared" si="9"/>
        <v>28.182894736842105</v>
      </c>
      <c r="Z13" s="3">
        <f t="shared" si="10"/>
        <v>76.496428571428581</v>
      </c>
      <c r="AA13" s="3">
        <f t="shared" si="11"/>
        <v>118.99444444444445</v>
      </c>
    </row>
    <row r="14" spans="1:27" hidden="1" x14ac:dyDescent="0.25">
      <c r="A14" s="1">
        <v>46035</v>
      </c>
      <c r="B14" t="s">
        <v>15</v>
      </c>
      <c r="C14">
        <v>4174.96</v>
      </c>
      <c r="D14">
        <v>974</v>
      </c>
      <c r="E14">
        <v>42</v>
      </c>
      <c r="F14">
        <v>23</v>
      </c>
      <c r="G14">
        <v>25</v>
      </c>
      <c r="H14" s="2">
        <f t="shared" si="0"/>
        <v>2.5667351129363448E-2</v>
      </c>
      <c r="I14" s="2">
        <f t="shared" si="1"/>
        <v>0.59523809523809523</v>
      </c>
      <c r="J14" s="2">
        <f t="shared" si="2"/>
        <v>1.0869565217391304</v>
      </c>
      <c r="K14" s="3">
        <f t="shared" si="3"/>
        <v>99.403809523809528</v>
      </c>
      <c r="L14" s="3">
        <f t="shared" si="4"/>
        <v>181.52</v>
      </c>
      <c r="M14" s="3">
        <f t="shared" si="5"/>
        <v>166.9984</v>
      </c>
      <c r="O14" s="1">
        <v>46035</v>
      </c>
      <c r="P14" t="s">
        <v>16</v>
      </c>
      <c r="Q14">
        <v>937.69</v>
      </c>
      <c r="R14">
        <v>255</v>
      </c>
      <c r="S14">
        <v>35</v>
      </c>
      <c r="T14">
        <v>18</v>
      </c>
      <c r="U14">
        <v>17</v>
      </c>
      <c r="V14" s="2">
        <f t="shared" si="6"/>
        <v>6.6666666666666666E-2</v>
      </c>
      <c r="W14" s="2">
        <f t="shared" si="7"/>
        <v>0.48571428571428571</v>
      </c>
      <c r="X14" s="2">
        <f t="shared" si="8"/>
        <v>0.94444444444444442</v>
      </c>
      <c r="Y14" s="3">
        <f t="shared" si="9"/>
        <v>26.791142857142859</v>
      </c>
      <c r="Z14" s="3">
        <f t="shared" si="10"/>
        <v>52.093888888888891</v>
      </c>
      <c r="AA14" s="3">
        <f t="shared" si="11"/>
        <v>55.158235294117652</v>
      </c>
    </row>
    <row r="15" spans="1:27" hidden="1" x14ac:dyDescent="0.25">
      <c r="A15" s="1">
        <v>46036</v>
      </c>
      <c r="B15" t="s">
        <v>15</v>
      </c>
      <c r="C15">
        <v>4564.3199999999988</v>
      </c>
      <c r="D15">
        <v>1018</v>
      </c>
      <c r="E15">
        <v>48</v>
      </c>
      <c r="F15">
        <v>18</v>
      </c>
      <c r="G15">
        <v>33</v>
      </c>
      <c r="H15" s="2">
        <f t="shared" si="0"/>
        <v>3.2416502946954813E-2</v>
      </c>
      <c r="I15" s="2">
        <f t="shared" si="1"/>
        <v>0.6875</v>
      </c>
      <c r="J15" s="2">
        <f t="shared" si="2"/>
        <v>1.8333333333333333</v>
      </c>
      <c r="K15" s="3">
        <f t="shared" si="3"/>
        <v>95.089999999999975</v>
      </c>
      <c r="L15" s="3">
        <f t="shared" si="4"/>
        <v>253.57333333333327</v>
      </c>
      <c r="M15" s="3">
        <f t="shared" si="5"/>
        <v>138.31272727272724</v>
      </c>
      <c r="O15" s="1">
        <v>46036</v>
      </c>
      <c r="P15" t="s">
        <v>16</v>
      </c>
      <c r="Q15">
        <v>1030.1500000000001</v>
      </c>
      <c r="R15">
        <v>241</v>
      </c>
      <c r="S15">
        <v>34</v>
      </c>
      <c r="T15">
        <v>17</v>
      </c>
      <c r="U15">
        <v>24</v>
      </c>
      <c r="V15" s="2">
        <f t="shared" si="6"/>
        <v>9.9585062240663894E-2</v>
      </c>
      <c r="W15" s="2">
        <f t="shared" si="7"/>
        <v>0.70588235294117652</v>
      </c>
      <c r="X15" s="2">
        <f t="shared" si="8"/>
        <v>1.411764705882353</v>
      </c>
      <c r="Y15" s="3">
        <f t="shared" si="9"/>
        <v>30.298529411764708</v>
      </c>
      <c r="Z15" s="3">
        <f t="shared" si="10"/>
        <v>60.597058823529416</v>
      </c>
      <c r="AA15" s="3">
        <f t="shared" si="11"/>
        <v>42.922916666666673</v>
      </c>
    </row>
    <row r="16" spans="1:27" hidden="1" x14ac:dyDescent="0.25">
      <c r="A16" s="1">
        <v>46037</v>
      </c>
      <c r="B16" t="s">
        <v>15</v>
      </c>
      <c r="C16">
        <v>4345.95</v>
      </c>
      <c r="D16">
        <v>994</v>
      </c>
      <c r="E16">
        <v>40</v>
      </c>
      <c r="F16">
        <v>22</v>
      </c>
      <c r="G16">
        <v>17</v>
      </c>
      <c r="H16" s="2">
        <f t="shared" si="0"/>
        <v>1.7102615694164991E-2</v>
      </c>
      <c r="I16" s="2">
        <f t="shared" si="1"/>
        <v>0.42499999999999999</v>
      </c>
      <c r="J16" s="2">
        <f t="shared" si="2"/>
        <v>0.77272727272727271</v>
      </c>
      <c r="K16" s="3">
        <f t="shared" si="3"/>
        <v>108.64874999999999</v>
      </c>
      <c r="L16" s="3">
        <f t="shared" si="4"/>
        <v>197.54318181818181</v>
      </c>
      <c r="M16" s="3">
        <f t="shared" si="5"/>
        <v>255.64411764705881</v>
      </c>
      <c r="O16" s="1">
        <v>46037</v>
      </c>
      <c r="P16" t="s">
        <v>16</v>
      </c>
      <c r="Q16">
        <v>1017.46</v>
      </c>
      <c r="R16">
        <v>228</v>
      </c>
      <c r="S16">
        <v>32</v>
      </c>
      <c r="T16">
        <v>17</v>
      </c>
      <c r="U16">
        <v>19</v>
      </c>
      <c r="V16" s="2">
        <f t="shared" si="6"/>
        <v>8.3333333333333329E-2</v>
      </c>
      <c r="W16" s="2">
        <f t="shared" si="7"/>
        <v>0.59375</v>
      </c>
      <c r="X16" s="2">
        <f t="shared" si="8"/>
        <v>1.1176470588235294</v>
      </c>
      <c r="Y16" s="3">
        <f t="shared" si="9"/>
        <v>31.795625000000001</v>
      </c>
      <c r="Z16" s="3">
        <f t="shared" si="10"/>
        <v>59.850588235294119</v>
      </c>
      <c r="AA16" s="3">
        <f t="shared" si="11"/>
        <v>53.550526315789476</v>
      </c>
    </row>
    <row r="17" spans="1:27" hidden="1" x14ac:dyDescent="0.25">
      <c r="A17" s="1">
        <v>46038</v>
      </c>
      <c r="B17" t="s">
        <v>15</v>
      </c>
      <c r="C17">
        <v>4046.27</v>
      </c>
      <c r="D17">
        <v>941</v>
      </c>
      <c r="E17">
        <v>36</v>
      </c>
      <c r="F17">
        <v>18</v>
      </c>
      <c r="G17">
        <v>24</v>
      </c>
      <c r="H17" s="2">
        <f t="shared" si="0"/>
        <v>2.5504782146652496E-2</v>
      </c>
      <c r="I17" s="2">
        <f t="shared" si="1"/>
        <v>0.66666666666666663</v>
      </c>
      <c r="J17" s="2">
        <f t="shared" si="2"/>
        <v>1.3333333333333333</v>
      </c>
      <c r="K17" s="3">
        <f t="shared" si="3"/>
        <v>112.39638888888889</v>
      </c>
      <c r="L17" s="3">
        <f t="shared" si="4"/>
        <v>224.79277777777779</v>
      </c>
      <c r="M17" s="3">
        <f t="shared" si="5"/>
        <v>168.59458333333333</v>
      </c>
      <c r="O17" s="1">
        <v>46038</v>
      </c>
      <c r="P17" t="s">
        <v>16</v>
      </c>
      <c r="Q17">
        <v>834.39</v>
      </c>
      <c r="R17">
        <v>232</v>
      </c>
      <c r="S17">
        <v>31</v>
      </c>
      <c r="T17">
        <v>18</v>
      </c>
      <c r="U17">
        <v>20</v>
      </c>
      <c r="V17" s="2">
        <f t="shared" si="6"/>
        <v>8.6206896551724144E-2</v>
      </c>
      <c r="W17" s="2">
        <f t="shared" si="7"/>
        <v>0.64516129032258063</v>
      </c>
      <c r="X17" s="2">
        <f t="shared" si="8"/>
        <v>1.1111111111111112</v>
      </c>
      <c r="Y17" s="3">
        <f t="shared" si="9"/>
        <v>26.915806451612902</v>
      </c>
      <c r="Z17" s="3">
        <f t="shared" si="10"/>
        <v>46.354999999999997</v>
      </c>
      <c r="AA17" s="3">
        <f t="shared" si="11"/>
        <v>41.719499999999996</v>
      </c>
    </row>
    <row r="18" spans="1:27" hidden="1" x14ac:dyDescent="0.25">
      <c r="A18" s="1">
        <v>46039</v>
      </c>
      <c r="B18" t="s">
        <v>15</v>
      </c>
      <c r="C18">
        <v>4058.07</v>
      </c>
      <c r="D18">
        <v>997</v>
      </c>
      <c r="E18">
        <v>47</v>
      </c>
      <c r="F18">
        <v>26</v>
      </c>
      <c r="G18">
        <v>25</v>
      </c>
      <c r="H18" s="2">
        <f t="shared" si="0"/>
        <v>2.5075225677031094E-2</v>
      </c>
      <c r="I18" s="2">
        <f t="shared" si="1"/>
        <v>0.53191489361702127</v>
      </c>
      <c r="J18" s="2">
        <f t="shared" si="2"/>
        <v>0.96153846153846156</v>
      </c>
      <c r="K18" s="3">
        <f t="shared" si="3"/>
        <v>86.34191489361703</v>
      </c>
      <c r="L18" s="3">
        <f t="shared" si="4"/>
        <v>156.07961538461538</v>
      </c>
      <c r="M18" s="3">
        <f t="shared" si="5"/>
        <v>162.3228</v>
      </c>
      <c r="O18" s="1">
        <v>46039</v>
      </c>
      <c r="P18" t="s">
        <v>16</v>
      </c>
      <c r="Q18">
        <v>745.57</v>
      </c>
      <c r="R18">
        <v>160</v>
      </c>
      <c r="S18">
        <v>20</v>
      </c>
      <c r="T18">
        <v>14</v>
      </c>
      <c r="U18">
        <v>14</v>
      </c>
      <c r="V18" s="2">
        <f t="shared" si="6"/>
        <v>8.7499999999999994E-2</v>
      </c>
      <c r="W18" s="2">
        <f t="shared" si="7"/>
        <v>0.7</v>
      </c>
      <c r="X18" s="2">
        <f t="shared" si="8"/>
        <v>1</v>
      </c>
      <c r="Y18" s="3">
        <f t="shared" si="9"/>
        <v>37.278500000000001</v>
      </c>
      <c r="Z18" s="3">
        <f t="shared" si="10"/>
        <v>53.255000000000003</v>
      </c>
      <c r="AA18" s="3">
        <f t="shared" si="11"/>
        <v>53.255000000000003</v>
      </c>
    </row>
    <row r="19" spans="1:27" hidden="1" x14ac:dyDescent="0.25">
      <c r="A19" s="1">
        <v>46040</v>
      </c>
      <c r="B19" t="s">
        <v>15</v>
      </c>
      <c r="C19">
        <v>4354.7199999999993</v>
      </c>
      <c r="D19">
        <v>1059</v>
      </c>
      <c r="E19">
        <v>45</v>
      </c>
      <c r="F19">
        <v>23</v>
      </c>
      <c r="G19">
        <v>25</v>
      </c>
      <c r="H19" s="2">
        <f t="shared" si="0"/>
        <v>2.3607176581680833E-2</v>
      </c>
      <c r="I19" s="2">
        <f t="shared" si="1"/>
        <v>0.55555555555555558</v>
      </c>
      <c r="J19" s="2">
        <f t="shared" si="2"/>
        <v>1.0869565217391304</v>
      </c>
      <c r="K19" s="3">
        <f t="shared" si="3"/>
        <v>96.771555555555537</v>
      </c>
      <c r="L19" s="3">
        <f t="shared" si="4"/>
        <v>189.33565217391302</v>
      </c>
      <c r="M19" s="3">
        <f t="shared" si="5"/>
        <v>174.18879999999999</v>
      </c>
      <c r="O19" s="1">
        <v>46040</v>
      </c>
      <c r="P19" t="s">
        <v>16</v>
      </c>
      <c r="Q19">
        <v>720.86</v>
      </c>
      <c r="R19">
        <v>151</v>
      </c>
      <c r="S19">
        <v>20</v>
      </c>
      <c r="T19">
        <v>11</v>
      </c>
      <c r="U19">
        <v>15</v>
      </c>
      <c r="V19" s="2">
        <f t="shared" si="6"/>
        <v>9.9337748344370855E-2</v>
      </c>
      <c r="W19" s="2">
        <f t="shared" si="7"/>
        <v>0.75</v>
      </c>
      <c r="X19" s="2">
        <f t="shared" si="8"/>
        <v>1.3636363636363635</v>
      </c>
      <c r="Y19" s="3">
        <f t="shared" si="9"/>
        <v>36.042999999999999</v>
      </c>
      <c r="Z19" s="3">
        <f t="shared" si="10"/>
        <v>65.532727272727271</v>
      </c>
      <c r="AA19" s="3">
        <f t="shared" si="11"/>
        <v>48.057333333333332</v>
      </c>
    </row>
    <row r="20" spans="1:27" hidden="1" x14ac:dyDescent="0.25">
      <c r="A20" s="1">
        <v>46041</v>
      </c>
      <c r="B20" t="s">
        <v>15</v>
      </c>
      <c r="C20">
        <v>4537.6100000000006</v>
      </c>
      <c r="D20">
        <v>1060</v>
      </c>
      <c r="E20">
        <v>58</v>
      </c>
      <c r="F20">
        <v>24</v>
      </c>
      <c r="G20">
        <v>27</v>
      </c>
      <c r="H20" s="2">
        <f t="shared" si="0"/>
        <v>2.5471698113207548E-2</v>
      </c>
      <c r="I20" s="2">
        <f t="shared" si="1"/>
        <v>0.46551724137931033</v>
      </c>
      <c r="J20" s="2">
        <f t="shared" si="2"/>
        <v>1.125</v>
      </c>
      <c r="K20" s="3">
        <f t="shared" si="3"/>
        <v>78.23465517241381</v>
      </c>
      <c r="L20" s="3">
        <f t="shared" si="4"/>
        <v>189.06708333333336</v>
      </c>
      <c r="M20" s="3">
        <f t="shared" si="5"/>
        <v>168.05962962962965</v>
      </c>
      <c r="O20" s="1">
        <v>46041</v>
      </c>
      <c r="P20" t="s">
        <v>16</v>
      </c>
      <c r="Q20">
        <v>1120.1200000000001</v>
      </c>
      <c r="R20">
        <v>290</v>
      </c>
      <c r="S20">
        <v>38</v>
      </c>
      <c r="T20">
        <v>25</v>
      </c>
      <c r="U20">
        <v>11</v>
      </c>
      <c r="V20" s="2">
        <f t="shared" si="6"/>
        <v>3.793103448275862E-2</v>
      </c>
      <c r="W20" s="2">
        <f t="shared" si="7"/>
        <v>0.28947368421052633</v>
      </c>
      <c r="X20" s="2">
        <f t="shared" si="8"/>
        <v>0.44</v>
      </c>
      <c r="Y20" s="3">
        <f t="shared" si="9"/>
        <v>29.47684210526316</v>
      </c>
      <c r="Z20" s="3">
        <f t="shared" si="10"/>
        <v>44.804800000000007</v>
      </c>
      <c r="AA20" s="3">
        <f t="shared" si="11"/>
        <v>101.82909090909092</v>
      </c>
    </row>
    <row r="21" spans="1:27" hidden="1" x14ac:dyDescent="0.25">
      <c r="A21" s="1">
        <v>46042</v>
      </c>
      <c r="B21" t="s">
        <v>15</v>
      </c>
      <c r="C21">
        <v>4435.75</v>
      </c>
      <c r="D21">
        <v>1048</v>
      </c>
      <c r="E21">
        <v>52</v>
      </c>
      <c r="F21">
        <v>31</v>
      </c>
      <c r="G21">
        <v>42</v>
      </c>
      <c r="H21" s="2">
        <f t="shared" si="0"/>
        <v>4.0076335877862593E-2</v>
      </c>
      <c r="I21" s="2">
        <f t="shared" si="1"/>
        <v>0.80769230769230771</v>
      </c>
      <c r="J21" s="2">
        <f t="shared" si="2"/>
        <v>1.3548387096774193</v>
      </c>
      <c r="K21" s="3">
        <f t="shared" si="3"/>
        <v>85.302884615384613</v>
      </c>
      <c r="L21" s="3">
        <f t="shared" si="4"/>
        <v>143.08870967741936</v>
      </c>
      <c r="M21" s="3">
        <f t="shared" si="5"/>
        <v>105.61309523809524</v>
      </c>
      <c r="O21" s="1">
        <v>46042</v>
      </c>
      <c r="P21" t="s">
        <v>16</v>
      </c>
      <c r="Q21">
        <v>1058.28</v>
      </c>
      <c r="R21">
        <v>221</v>
      </c>
      <c r="S21">
        <v>38</v>
      </c>
      <c r="T21">
        <v>20</v>
      </c>
      <c r="U21">
        <v>23</v>
      </c>
      <c r="V21" s="2">
        <f t="shared" si="6"/>
        <v>0.10407239819004525</v>
      </c>
      <c r="W21" s="2">
        <f t="shared" si="7"/>
        <v>0.60526315789473684</v>
      </c>
      <c r="X21" s="2">
        <f t="shared" si="8"/>
        <v>1.1499999999999999</v>
      </c>
      <c r="Y21" s="3">
        <f t="shared" si="9"/>
        <v>27.849473684210526</v>
      </c>
      <c r="Z21" s="3">
        <f t="shared" si="10"/>
        <v>52.914000000000001</v>
      </c>
      <c r="AA21" s="3">
        <f t="shared" si="11"/>
        <v>46.012173913043476</v>
      </c>
    </row>
    <row r="22" spans="1:27" hidden="1" x14ac:dyDescent="0.25">
      <c r="A22" s="1">
        <v>46043</v>
      </c>
      <c r="B22" t="s">
        <v>15</v>
      </c>
      <c r="C22">
        <v>4490.8</v>
      </c>
      <c r="D22">
        <v>1027</v>
      </c>
      <c r="E22">
        <v>60</v>
      </c>
      <c r="F22">
        <v>38</v>
      </c>
      <c r="G22">
        <v>37</v>
      </c>
      <c r="H22" s="2">
        <f t="shared" si="0"/>
        <v>3.6027263875365138E-2</v>
      </c>
      <c r="I22" s="2">
        <f t="shared" si="1"/>
        <v>0.6166666666666667</v>
      </c>
      <c r="J22" s="2">
        <f t="shared" si="2"/>
        <v>0.97368421052631582</v>
      </c>
      <c r="K22" s="3">
        <f t="shared" si="3"/>
        <v>74.846666666666664</v>
      </c>
      <c r="L22" s="3">
        <f t="shared" si="4"/>
        <v>118.17894736842106</v>
      </c>
      <c r="M22" s="3">
        <f t="shared" si="5"/>
        <v>121.37297297297297</v>
      </c>
      <c r="O22" s="1">
        <v>46043</v>
      </c>
      <c r="P22" t="s">
        <v>16</v>
      </c>
      <c r="Q22">
        <v>1057.25</v>
      </c>
      <c r="R22">
        <v>234</v>
      </c>
      <c r="S22">
        <v>34</v>
      </c>
      <c r="T22">
        <v>16</v>
      </c>
      <c r="U22">
        <v>21</v>
      </c>
      <c r="V22" s="2">
        <f t="shared" si="6"/>
        <v>8.9743589743589744E-2</v>
      </c>
      <c r="W22" s="2">
        <f t="shared" si="7"/>
        <v>0.61764705882352944</v>
      </c>
      <c r="X22" s="2">
        <f t="shared" si="8"/>
        <v>1.3125</v>
      </c>
      <c r="Y22" s="3">
        <f t="shared" si="9"/>
        <v>31.095588235294116</v>
      </c>
      <c r="Z22" s="3">
        <f t="shared" si="10"/>
        <v>66.078125</v>
      </c>
      <c r="AA22" s="3">
        <f t="shared" si="11"/>
        <v>50.345238095238095</v>
      </c>
    </row>
    <row r="23" spans="1:27" hidden="1" x14ac:dyDescent="0.25">
      <c r="A23" s="1">
        <v>46044</v>
      </c>
      <c r="B23" t="s">
        <v>15</v>
      </c>
      <c r="C23">
        <v>164.48000000000002</v>
      </c>
      <c r="D23">
        <v>58</v>
      </c>
      <c r="E23">
        <v>2</v>
      </c>
      <c r="G23">
        <v>4</v>
      </c>
      <c r="H23" s="2">
        <f t="shared" si="0"/>
        <v>6.8965517241379309E-2</v>
      </c>
      <c r="I23" s="2">
        <f t="shared" si="1"/>
        <v>2</v>
      </c>
      <c r="J23" s="2" t="e">
        <f t="shared" si="2"/>
        <v>#DIV/0!</v>
      </c>
      <c r="K23" s="3">
        <f t="shared" si="3"/>
        <v>82.240000000000009</v>
      </c>
      <c r="L23" s="3" t="e">
        <f t="shared" si="4"/>
        <v>#DIV/0!</v>
      </c>
      <c r="M23" s="3">
        <f t="shared" si="5"/>
        <v>41.120000000000005</v>
      </c>
      <c r="O23" s="1">
        <v>46044</v>
      </c>
      <c r="P23" t="s">
        <v>16</v>
      </c>
      <c r="Q23">
        <v>328.59</v>
      </c>
      <c r="R23">
        <v>182</v>
      </c>
      <c r="S23">
        <v>22</v>
      </c>
      <c r="T23">
        <v>16</v>
      </c>
      <c r="U23">
        <v>13</v>
      </c>
      <c r="V23" s="2">
        <f t="shared" si="6"/>
        <v>7.1428571428571425E-2</v>
      </c>
      <c r="W23" s="2">
        <f t="shared" si="7"/>
        <v>0.59090909090909094</v>
      </c>
      <c r="X23" s="2">
        <f t="shared" si="8"/>
        <v>0.8125</v>
      </c>
      <c r="Y23" s="3">
        <f t="shared" si="9"/>
        <v>14.935909090909091</v>
      </c>
      <c r="Z23" s="3">
        <f t="shared" si="10"/>
        <v>20.536874999999998</v>
      </c>
      <c r="AA23" s="3">
        <f t="shared" si="11"/>
        <v>25.276153846153843</v>
      </c>
    </row>
    <row r="24" spans="1:27" hidden="1" x14ac:dyDescent="0.25">
      <c r="A24" s="1">
        <v>46045</v>
      </c>
      <c r="B24" t="s">
        <v>15</v>
      </c>
      <c r="C24">
        <v>3755.9900000000002</v>
      </c>
      <c r="D24">
        <v>884</v>
      </c>
      <c r="E24">
        <v>41</v>
      </c>
      <c r="F24">
        <v>17</v>
      </c>
      <c r="G24">
        <v>22</v>
      </c>
      <c r="H24" s="2">
        <f t="shared" si="0"/>
        <v>2.4886877828054297E-2</v>
      </c>
      <c r="I24" s="2">
        <f t="shared" si="1"/>
        <v>0.53658536585365857</v>
      </c>
      <c r="J24" s="2">
        <f t="shared" si="2"/>
        <v>1.2941176470588236</v>
      </c>
      <c r="K24" s="3">
        <f t="shared" si="3"/>
        <v>91.609512195121951</v>
      </c>
      <c r="L24" s="3">
        <f t="shared" si="4"/>
        <v>220.94058823529414</v>
      </c>
      <c r="M24" s="3">
        <f t="shared" si="5"/>
        <v>170.7268181818182</v>
      </c>
      <c r="O24" s="1">
        <v>46045</v>
      </c>
      <c r="P24" t="s">
        <v>16</v>
      </c>
      <c r="Q24">
        <v>820.06</v>
      </c>
      <c r="R24">
        <v>196</v>
      </c>
      <c r="S24">
        <v>23</v>
      </c>
      <c r="T24">
        <v>13</v>
      </c>
      <c r="U24">
        <v>17</v>
      </c>
      <c r="V24" s="2">
        <f t="shared" si="6"/>
        <v>8.673469387755102E-2</v>
      </c>
      <c r="W24" s="2">
        <f t="shared" si="7"/>
        <v>0.73913043478260865</v>
      </c>
      <c r="X24" s="2">
        <f t="shared" si="8"/>
        <v>1.3076923076923077</v>
      </c>
      <c r="Y24" s="3">
        <f t="shared" si="9"/>
        <v>35.654782608695648</v>
      </c>
      <c r="Z24" s="3">
        <f t="shared" si="10"/>
        <v>63.081538461538457</v>
      </c>
      <c r="AA24" s="3">
        <f t="shared" si="11"/>
        <v>48.238823529411761</v>
      </c>
    </row>
    <row r="25" spans="1:27" hidden="1" x14ac:dyDescent="0.25">
      <c r="A25" s="1">
        <v>46046</v>
      </c>
      <c r="B25" t="s">
        <v>15</v>
      </c>
      <c r="C25">
        <v>3341.53</v>
      </c>
      <c r="D25">
        <v>746</v>
      </c>
      <c r="E25">
        <v>35</v>
      </c>
      <c r="F25">
        <v>16</v>
      </c>
      <c r="G25">
        <v>12</v>
      </c>
      <c r="H25" s="2">
        <f t="shared" si="0"/>
        <v>1.6085790884718499E-2</v>
      </c>
      <c r="I25" s="2">
        <f t="shared" si="1"/>
        <v>0.34285714285714286</v>
      </c>
      <c r="J25" s="2">
        <f t="shared" si="2"/>
        <v>0.75</v>
      </c>
      <c r="K25" s="3">
        <f t="shared" si="3"/>
        <v>95.472285714285718</v>
      </c>
      <c r="L25" s="3">
        <f t="shared" si="4"/>
        <v>208.84562500000001</v>
      </c>
      <c r="M25" s="3">
        <f t="shared" si="5"/>
        <v>278.46083333333337</v>
      </c>
      <c r="O25" s="1">
        <v>46046</v>
      </c>
      <c r="P25" t="s">
        <v>16</v>
      </c>
      <c r="Q25">
        <v>620.61999999999989</v>
      </c>
      <c r="R25">
        <v>131</v>
      </c>
      <c r="S25">
        <v>21</v>
      </c>
      <c r="T25">
        <v>8</v>
      </c>
      <c r="U25">
        <v>8</v>
      </c>
      <c r="V25" s="2">
        <f t="shared" si="6"/>
        <v>6.1068702290076333E-2</v>
      </c>
      <c r="W25" s="2">
        <f t="shared" si="7"/>
        <v>0.38095238095238093</v>
      </c>
      <c r="X25" s="2">
        <f t="shared" si="8"/>
        <v>1</v>
      </c>
      <c r="Y25" s="3">
        <f t="shared" si="9"/>
        <v>29.553333333333327</v>
      </c>
      <c r="Z25" s="3">
        <f t="shared" si="10"/>
        <v>77.577499999999986</v>
      </c>
      <c r="AA25" s="3">
        <f t="shared" si="11"/>
        <v>77.577499999999986</v>
      </c>
    </row>
    <row r="26" spans="1:27" hidden="1" x14ac:dyDescent="0.25">
      <c r="A26" s="1">
        <v>46047</v>
      </c>
      <c r="B26" t="s">
        <v>15</v>
      </c>
      <c r="C26">
        <v>3605.78</v>
      </c>
      <c r="D26">
        <v>792</v>
      </c>
      <c r="E26">
        <v>33</v>
      </c>
      <c r="F26">
        <v>11</v>
      </c>
      <c r="G26">
        <v>15</v>
      </c>
      <c r="H26" s="2">
        <f t="shared" si="0"/>
        <v>1.893939393939394E-2</v>
      </c>
      <c r="I26" s="2">
        <f t="shared" si="1"/>
        <v>0.45454545454545453</v>
      </c>
      <c r="J26" s="2">
        <f t="shared" si="2"/>
        <v>1.3636363636363635</v>
      </c>
      <c r="K26" s="3">
        <f t="shared" si="3"/>
        <v>109.26606060606061</v>
      </c>
      <c r="L26" s="3">
        <f t="shared" si="4"/>
        <v>327.79818181818183</v>
      </c>
      <c r="M26" s="3">
        <f t="shared" si="5"/>
        <v>240.38533333333334</v>
      </c>
      <c r="O26" s="1">
        <v>46047</v>
      </c>
      <c r="P26" t="s">
        <v>16</v>
      </c>
      <c r="Q26">
        <v>534.44000000000005</v>
      </c>
      <c r="R26">
        <v>141</v>
      </c>
      <c r="S26">
        <v>17</v>
      </c>
      <c r="T26">
        <v>14</v>
      </c>
      <c r="U26">
        <v>11</v>
      </c>
      <c r="V26" s="2">
        <f t="shared" si="6"/>
        <v>7.8014184397163122E-2</v>
      </c>
      <c r="W26" s="2">
        <f t="shared" si="7"/>
        <v>0.6470588235294118</v>
      </c>
      <c r="X26" s="2">
        <f t="shared" si="8"/>
        <v>0.7857142857142857</v>
      </c>
      <c r="Y26" s="3">
        <f t="shared" si="9"/>
        <v>31.437647058823533</v>
      </c>
      <c r="Z26" s="3">
        <f t="shared" si="10"/>
        <v>38.174285714285716</v>
      </c>
      <c r="AA26" s="3">
        <f t="shared" si="11"/>
        <v>48.585454545454553</v>
      </c>
    </row>
    <row r="27" spans="1:27" hidden="1" x14ac:dyDescent="0.25">
      <c r="A27" s="1">
        <v>46048</v>
      </c>
      <c r="B27" t="s">
        <v>15</v>
      </c>
      <c r="C27">
        <v>2955.6000000000004</v>
      </c>
      <c r="D27">
        <v>598</v>
      </c>
      <c r="E27">
        <v>26</v>
      </c>
      <c r="F27">
        <v>16</v>
      </c>
      <c r="G27">
        <v>15</v>
      </c>
      <c r="H27" s="2">
        <f t="shared" si="0"/>
        <v>2.508361204013378E-2</v>
      </c>
      <c r="I27" s="2">
        <f t="shared" si="1"/>
        <v>0.57692307692307687</v>
      </c>
      <c r="J27" s="2">
        <f t="shared" si="2"/>
        <v>0.9375</v>
      </c>
      <c r="K27" s="3">
        <f t="shared" si="3"/>
        <v>113.67692307692309</v>
      </c>
      <c r="L27" s="3">
        <f t="shared" si="4"/>
        <v>184.72500000000002</v>
      </c>
      <c r="M27" s="3">
        <f t="shared" si="5"/>
        <v>197.04000000000002</v>
      </c>
      <c r="O27" s="1">
        <v>46048</v>
      </c>
      <c r="P27" t="s">
        <v>16</v>
      </c>
      <c r="Q27">
        <v>864.33999999999992</v>
      </c>
      <c r="R27">
        <v>156</v>
      </c>
      <c r="S27">
        <v>18</v>
      </c>
      <c r="T27">
        <v>9</v>
      </c>
      <c r="U27">
        <v>5</v>
      </c>
      <c r="V27" s="2">
        <f t="shared" si="6"/>
        <v>3.2051282051282048E-2</v>
      </c>
      <c r="W27" s="2">
        <f t="shared" si="7"/>
        <v>0.27777777777777779</v>
      </c>
      <c r="X27" s="2">
        <f t="shared" si="8"/>
        <v>0.55555555555555558</v>
      </c>
      <c r="Y27" s="3">
        <f t="shared" si="9"/>
        <v>48.018888888888881</v>
      </c>
      <c r="Z27" s="3">
        <f t="shared" si="10"/>
        <v>96.037777777777762</v>
      </c>
      <c r="AA27" s="3">
        <f t="shared" si="11"/>
        <v>172.86799999999999</v>
      </c>
    </row>
    <row r="28" spans="1:27" hidden="1" x14ac:dyDescent="0.25">
      <c r="A28" s="1">
        <v>46049</v>
      </c>
      <c r="B28" t="s">
        <v>15</v>
      </c>
      <c r="C28">
        <v>5893.4799999999987</v>
      </c>
      <c r="D28">
        <v>935</v>
      </c>
      <c r="E28">
        <v>52</v>
      </c>
      <c r="F28">
        <v>23</v>
      </c>
      <c r="G28">
        <v>27</v>
      </c>
      <c r="H28" s="2">
        <f t="shared" si="0"/>
        <v>2.8877005347593583E-2</v>
      </c>
      <c r="I28" s="2">
        <f t="shared" si="1"/>
        <v>0.51923076923076927</v>
      </c>
      <c r="J28" s="2">
        <f t="shared" si="2"/>
        <v>1.173913043478261</v>
      </c>
      <c r="K28" s="3">
        <f t="shared" si="3"/>
        <v>113.33615384615382</v>
      </c>
      <c r="L28" s="3">
        <f t="shared" si="4"/>
        <v>256.23826086956518</v>
      </c>
      <c r="M28" s="3">
        <f t="shared" si="5"/>
        <v>218.27703703703699</v>
      </c>
      <c r="O28" s="1">
        <v>46049</v>
      </c>
      <c r="P28" t="s">
        <v>16</v>
      </c>
      <c r="Q28">
        <v>1125.51</v>
      </c>
      <c r="R28">
        <v>222</v>
      </c>
      <c r="S28">
        <v>22</v>
      </c>
      <c r="T28">
        <v>12</v>
      </c>
      <c r="U28">
        <v>10</v>
      </c>
      <c r="V28" s="2">
        <f t="shared" si="6"/>
        <v>4.5045045045045043E-2</v>
      </c>
      <c r="W28" s="2">
        <f t="shared" si="7"/>
        <v>0.45454545454545453</v>
      </c>
      <c r="X28" s="2">
        <f t="shared" si="8"/>
        <v>0.83333333333333337</v>
      </c>
      <c r="Y28" s="3">
        <f t="shared" si="9"/>
        <v>51.159545454545452</v>
      </c>
      <c r="Z28" s="3">
        <f t="shared" si="10"/>
        <v>93.792500000000004</v>
      </c>
      <c r="AA28" s="3">
        <f t="shared" si="11"/>
        <v>112.551</v>
      </c>
    </row>
    <row r="29" spans="1:27" hidden="1" x14ac:dyDescent="0.25">
      <c r="A29" s="1">
        <v>46050</v>
      </c>
      <c r="B29" t="s">
        <v>15</v>
      </c>
      <c r="C29">
        <v>5735.5</v>
      </c>
      <c r="D29">
        <v>855</v>
      </c>
      <c r="E29">
        <v>37</v>
      </c>
      <c r="F29">
        <v>22</v>
      </c>
      <c r="G29">
        <v>17</v>
      </c>
      <c r="H29" s="2">
        <f t="shared" si="0"/>
        <v>1.9883040935672516E-2</v>
      </c>
      <c r="I29" s="2">
        <f t="shared" si="1"/>
        <v>0.45945945945945948</v>
      </c>
      <c r="J29" s="2">
        <f t="shared" si="2"/>
        <v>0.77272727272727271</v>
      </c>
      <c r="K29" s="3">
        <f t="shared" si="3"/>
        <v>155.01351351351352</v>
      </c>
      <c r="L29" s="3">
        <f t="shared" si="4"/>
        <v>260.70454545454544</v>
      </c>
      <c r="M29" s="3">
        <f t="shared" si="5"/>
        <v>337.38235294117646</v>
      </c>
      <c r="O29" s="1">
        <v>46050</v>
      </c>
      <c r="P29" t="s">
        <v>16</v>
      </c>
      <c r="Q29">
        <v>1260.99</v>
      </c>
      <c r="R29">
        <v>226</v>
      </c>
      <c r="S29">
        <v>32</v>
      </c>
      <c r="T29">
        <v>11</v>
      </c>
      <c r="U29">
        <v>9</v>
      </c>
      <c r="V29" s="2">
        <f t="shared" si="6"/>
        <v>3.9823008849557522E-2</v>
      </c>
      <c r="W29" s="2">
        <f t="shared" si="7"/>
        <v>0.28125</v>
      </c>
      <c r="X29" s="2">
        <f t="shared" si="8"/>
        <v>0.81818181818181823</v>
      </c>
      <c r="Y29" s="3">
        <f t="shared" si="9"/>
        <v>39.4059375</v>
      </c>
      <c r="Z29" s="3">
        <f t="shared" si="10"/>
        <v>114.63545454545455</v>
      </c>
      <c r="AA29" s="3">
        <f t="shared" si="11"/>
        <v>140.11000000000001</v>
      </c>
    </row>
    <row r="30" spans="1:27" hidden="1" x14ac:dyDescent="0.25">
      <c r="A30" s="1">
        <v>46051</v>
      </c>
      <c r="B30" t="s">
        <v>15</v>
      </c>
      <c r="C30">
        <v>5366.630000000001</v>
      </c>
      <c r="D30">
        <v>773</v>
      </c>
      <c r="E30">
        <v>42</v>
      </c>
      <c r="F30">
        <v>21</v>
      </c>
      <c r="G30">
        <v>18</v>
      </c>
      <c r="H30" s="2">
        <f t="shared" si="0"/>
        <v>2.3285899094437259E-2</v>
      </c>
      <c r="I30" s="2">
        <f t="shared" si="1"/>
        <v>0.42857142857142855</v>
      </c>
      <c r="J30" s="2">
        <f t="shared" si="2"/>
        <v>0.8571428571428571</v>
      </c>
      <c r="K30" s="3">
        <f t="shared" si="3"/>
        <v>127.77690476190479</v>
      </c>
      <c r="L30" s="3">
        <f t="shared" si="4"/>
        <v>255.55380952380958</v>
      </c>
      <c r="M30" s="3">
        <f t="shared" si="5"/>
        <v>298.14611111111117</v>
      </c>
      <c r="O30" s="1">
        <v>46051</v>
      </c>
      <c r="P30" t="s">
        <v>16</v>
      </c>
      <c r="Q30">
        <v>1347.06</v>
      </c>
      <c r="R30">
        <v>259</v>
      </c>
      <c r="S30">
        <v>40</v>
      </c>
      <c r="T30">
        <v>23</v>
      </c>
      <c r="U30">
        <v>15</v>
      </c>
      <c r="V30" s="2">
        <f t="shared" si="6"/>
        <v>5.7915057915057917E-2</v>
      </c>
      <c r="W30" s="2">
        <f t="shared" si="7"/>
        <v>0.375</v>
      </c>
      <c r="X30" s="2">
        <f t="shared" si="8"/>
        <v>0.65217391304347827</v>
      </c>
      <c r="Y30" s="3">
        <f t="shared" si="9"/>
        <v>33.676499999999997</v>
      </c>
      <c r="Z30" s="3">
        <f t="shared" si="10"/>
        <v>58.567826086956522</v>
      </c>
      <c r="AA30" s="3">
        <f t="shared" si="11"/>
        <v>89.804000000000002</v>
      </c>
    </row>
    <row r="31" spans="1:27" hidden="1" x14ac:dyDescent="0.25">
      <c r="A31" s="1">
        <v>46052</v>
      </c>
      <c r="B31" t="s">
        <v>15</v>
      </c>
      <c r="C31">
        <v>4967.1800000000012</v>
      </c>
      <c r="D31">
        <v>742</v>
      </c>
      <c r="E31">
        <v>42</v>
      </c>
      <c r="F31">
        <v>27</v>
      </c>
      <c r="G31">
        <v>27</v>
      </c>
      <c r="H31" s="2">
        <f t="shared" si="0"/>
        <v>3.638814016172507E-2</v>
      </c>
      <c r="I31" s="2">
        <f t="shared" si="1"/>
        <v>0.6428571428571429</v>
      </c>
      <c r="J31" s="2">
        <f t="shared" si="2"/>
        <v>1</v>
      </c>
      <c r="K31" s="3">
        <f t="shared" si="3"/>
        <v>118.2661904761905</v>
      </c>
      <c r="L31" s="3">
        <f t="shared" si="4"/>
        <v>183.96962962962968</v>
      </c>
      <c r="M31" s="3">
        <f t="shared" si="5"/>
        <v>183.96962962962968</v>
      </c>
      <c r="O31" s="1">
        <v>46052</v>
      </c>
      <c r="P31" t="s">
        <v>16</v>
      </c>
      <c r="Q31">
        <v>984.34</v>
      </c>
      <c r="R31">
        <v>288</v>
      </c>
      <c r="S31">
        <v>51</v>
      </c>
      <c r="T31">
        <v>33</v>
      </c>
      <c r="U31">
        <v>30</v>
      </c>
      <c r="V31" s="2">
        <f t="shared" si="6"/>
        <v>0.10416666666666667</v>
      </c>
      <c r="W31" s="2">
        <f t="shared" si="7"/>
        <v>0.58823529411764708</v>
      </c>
      <c r="X31" s="2">
        <f t="shared" si="8"/>
        <v>0.90909090909090906</v>
      </c>
      <c r="Y31" s="3">
        <f t="shared" si="9"/>
        <v>19.30078431372549</v>
      </c>
      <c r="Z31" s="3">
        <f t="shared" si="10"/>
        <v>29.828484848484848</v>
      </c>
      <c r="AA31" s="3">
        <f t="shared" si="11"/>
        <v>32.811333333333337</v>
      </c>
    </row>
    <row r="32" spans="1:27" hidden="1" x14ac:dyDescent="0.25">
      <c r="A32" s="1">
        <v>46053</v>
      </c>
      <c r="B32" t="s">
        <v>15</v>
      </c>
      <c r="C32">
        <v>4864.8600000000006</v>
      </c>
      <c r="D32">
        <v>813</v>
      </c>
      <c r="E32">
        <v>42</v>
      </c>
      <c r="F32">
        <v>18</v>
      </c>
      <c r="G32">
        <v>19</v>
      </c>
      <c r="H32" s="2">
        <f t="shared" si="0"/>
        <v>2.3370233702337023E-2</v>
      </c>
      <c r="I32" s="2">
        <f t="shared" si="1"/>
        <v>0.45238095238095238</v>
      </c>
      <c r="J32" s="2">
        <f t="shared" si="2"/>
        <v>1.0555555555555556</v>
      </c>
      <c r="K32" s="3">
        <f t="shared" si="3"/>
        <v>115.83000000000001</v>
      </c>
      <c r="L32" s="3">
        <f t="shared" si="4"/>
        <v>270.27000000000004</v>
      </c>
      <c r="M32" s="3">
        <f t="shared" si="5"/>
        <v>256.04526315789479</v>
      </c>
      <c r="O32" s="1">
        <v>46053</v>
      </c>
      <c r="P32" t="s">
        <v>16</v>
      </c>
      <c r="Q32">
        <v>583.75</v>
      </c>
      <c r="R32">
        <v>151</v>
      </c>
      <c r="S32">
        <v>25</v>
      </c>
      <c r="T32">
        <v>12</v>
      </c>
      <c r="U32">
        <v>14</v>
      </c>
      <c r="V32" s="2">
        <f t="shared" si="6"/>
        <v>9.2715231788079472E-2</v>
      </c>
      <c r="W32" s="2">
        <f t="shared" si="7"/>
        <v>0.56000000000000005</v>
      </c>
      <c r="X32" s="2">
        <f t="shared" si="8"/>
        <v>1.1666666666666667</v>
      </c>
      <c r="Y32" s="3">
        <f t="shared" si="9"/>
        <v>23.35</v>
      </c>
      <c r="Z32" s="3">
        <f t="shared" si="10"/>
        <v>48.645833333333336</v>
      </c>
      <c r="AA32" s="3">
        <f t="shared" si="11"/>
        <v>41.696428571428569</v>
      </c>
    </row>
    <row r="33" spans="1:27" hidden="1" x14ac:dyDescent="0.25">
      <c r="A33" s="1">
        <v>46054</v>
      </c>
      <c r="B33" t="s">
        <v>15</v>
      </c>
      <c r="C33">
        <v>5325.46</v>
      </c>
      <c r="D33">
        <v>869</v>
      </c>
      <c r="E33">
        <v>32</v>
      </c>
      <c r="F33">
        <v>16</v>
      </c>
      <c r="G33">
        <v>18</v>
      </c>
      <c r="H33" s="2">
        <f t="shared" si="0"/>
        <v>2.0713463751438434E-2</v>
      </c>
      <c r="I33" s="2">
        <f t="shared" si="1"/>
        <v>0.5625</v>
      </c>
      <c r="J33" s="2">
        <f t="shared" si="2"/>
        <v>1.125</v>
      </c>
      <c r="K33" s="3">
        <f t="shared" si="3"/>
        <v>166.420625</v>
      </c>
      <c r="L33" s="3">
        <f t="shared" si="4"/>
        <v>332.84125</v>
      </c>
      <c r="M33" s="3">
        <f t="shared" si="5"/>
        <v>295.85888888888888</v>
      </c>
      <c r="O33" s="1">
        <v>46054</v>
      </c>
      <c r="P33" t="s">
        <v>16</v>
      </c>
      <c r="Q33">
        <v>574.97</v>
      </c>
      <c r="R33">
        <v>141</v>
      </c>
      <c r="S33">
        <v>20</v>
      </c>
      <c r="T33">
        <v>8</v>
      </c>
      <c r="U33">
        <v>13</v>
      </c>
      <c r="V33" s="2">
        <f t="shared" si="6"/>
        <v>9.2198581560283682E-2</v>
      </c>
      <c r="W33" s="2">
        <f t="shared" si="7"/>
        <v>0.65</v>
      </c>
      <c r="X33" s="2">
        <f t="shared" si="8"/>
        <v>1.625</v>
      </c>
      <c r="Y33" s="3">
        <f t="shared" si="9"/>
        <v>28.7485</v>
      </c>
      <c r="Z33" s="3">
        <f t="shared" si="10"/>
        <v>71.871250000000003</v>
      </c>
      <c r="AA33" s="3">
        <f t="shared" si="11"/>
        <v>44.228461538461538</v>
      </c>
    </row>
    <row r="34" spans="1:27" hidden="1" x14ac:dyDescent="0.25">
      <c r="A34" s="1">
        <v>46055</v>
      </c>
      <c r="B34" t="s">
        <v>15</v>
      </c>
      <c r="C34">
        <v>5643.64</v>
      </c>
      <c r="D34">
        <v>874</v>
      </c>
      <c r="E34">
        <v>35</v>
      </c>
      <c r="F34">
        <v>19</v>
      </c>
      <c r="G34">
        <v>24</v>
      </c>
      <c r="H34" s="2">
        <f t="shared" ref="H34:H65" si="12">G34/D34</f>
        <v>2.7459954233409609E-2</v>
      </c>
      <c r="I34" s="2">
        <f t="shared" ref="I34:I65" si="13">G34/E34</f>
        <v>0.68571428571428572</v>
      </c>
      <c r="J34" s="2">
        <f t="shared" ref="J34:J65" si="14">G34/F34</f>
        <v>1.263157894736842</v>
      </c>
      <c r="K34" s="3">
        <f t="shared" ref="K34:K65" si="15">C34/E34</f>
        <v>161.24685714285715</v>
      </c>
      <c r="L34" s="3">
        <f t="shared" ref="L34:L65" si="16">C34/F34</f>
        <v>297.03368421052636</v>
      </c>
      <c r="M34" s="3">
        <f t="shared" ref="M34:M65" si="17">C34/G34</f>
        <v>235.15166666666667</v>
      </c>
      <c r="O34" s="1">
        <v>46055</v>
      </c>
      <c r="P34" t="s">
        <v>16</v>
      </c>
      <c r="Q34">
        <v>841.21</v>
      </c>
      <c r="R34">
        <v>199</v>
      </c>
      <c r="S34">
        <v>29</v>
      </c>
      <c r="T34">
        <v>19</v>
      </c>
      <c r="U34">
        <v>25</v>
      </c>
      <c r="V34" s="2">
        <f t="shared" ref="V34:V65" si="18">U34/R34</f>
        <v>0.12562814070351758</v>
      </c>
      <c r="W34" s="2">
        <f t="shared" ref="W34:W65" si="19">U34/S34</f>
        <v>0.86206896551724133</v>
      </c>
      <c r="X34" s="2">
        <f t="shared" ref="X34:X65" si="20">U34/T34</f>
        <v>1.3157894736842106</v>
      </c>
      <c r="Y34" s="3">
        <f t="shared" ref="Y34:Y65" si="21">Q34/S34</f>
        <v>29.007241379310347</v>
      </c>
      <c r="Z34" s="3">
        <f t="shared" ref="Z34:Z65" si="22">Q34/T34</f>
        <v>44.274210526315791</v>
      </c>
      <c r="AA34" s="3">
        <f t="shared" ref="AA34:AA65" si="23">Q34/U34</f>
        <v>33.648400000000002</v>
      </c>
    </row>
    <row r="35" spans="1:27" hidden="1" x14ac:dyDescent="0.25">
      <c r="A35" s="1">
        <v>46056</v>
      </c>
      <c r="B35" t="s">
        <v>15</v>
      </c>
      <c r="C35">
        <v>6792.03</v>
      </c>
      <c r="D35">
        <v>966</v>
      </c>
      <c r="E35">
        <v>49</v>
      </c>
      <c r="F35">
        <v>17</v>
      </c>
      <c r="G35">
        <v>22</v>
      </c>
      <c r="H35" s="2">
        <f t="shared" si="12"/>
        <v>2.2774327122153208E-2</v>
      </c>
      <c r="I35" s="2">
        <f t="shared" si="13"/>
        <v>0.44897959183673469</v>
      </c>
      <c r="J35" s="2">
        <f t="shared" si="14"/>
        <v>1.2941176470588236</v>
      </c>
      <c r="K35" s="3">
        <f t="shared" si="15"/>
        <v>138.61285714285714</v>
      </c>
      <c r="L35" s="3">
        <f t="shared" si="16"/>
        <v>399.53117647058821</v>
      </c>
      <c r="M35" s="3">
        <f t="shared" si="17"/>
        <v>308.72863636363633</v>
      </c>
      <c r="O35" s="1">
        <v>46056</v>
      </c>
      <c r="P35" t="s">
        <v>16</v>
      </c>
      <c r="Q35">
        <v>1035.03</v>
      </c>
      <c r="R35">
        <v>250</v>
      </c>
      <c r="S35">
        <v>36</v>
      </c>
      <c r="T35">
        <v>21</v>
      </c>
      <c r="U35">
        <v>15</v>
      </c>
      <c r="V35" s="2">
        <f t="shared" si="18"/>
        <v>0.06</v>
      </c>
      <c r="W35" s="2">
        <f t="shared" si="19"/>
        <v>0.41666666666666669</v>
      </c>
      <c r="X35" s="2">
        <f t="shared" si="20"/>
        <v>0.7142857142857143</v>
      </c>
      <c r="Y35" s="3">
        <f t="shared" si="21"/>
        <v>28.750833333333333</v>
      </c>
      <c r="Z35" s="3">
        <f t="shared" si="22"/>
        <v>49.287142857142854</v>
      </c>
      <c r="AA35" s="3">
        <f t="shared" si="23"/>
        <v>69.001999999999995</v>
      </c>
    </row>
    <row r="36" spans="1:27" hidden="1" x14ac:dyDescent="0.25">
      <c r="A36" s="1">
        <v>46057</v>
      </c>
      <c r="B36" t="s">
        <v>15</v>
      </c>
      <c r="C36">
        <v>5358.6</v>
      </c>
      <c r="D36">
        <v>756</v>
      </c>
      <c r="E36">
        <v>37</v>
      </c>
      <c r="F36">
        <v>22</v>
      </c>
      <c r="G36">
        <v>27</v>
      </c>
      <c r="H36" s="2">
        <f t="shared" si="12"/>
        <v>3.5714285714285712E-2</v>
      </c>
      <c r="I36" s="2">
        <f t="shared" si="13"/>
        <v>0.72972972972972971</v>
      </c>
      <c r="J36" s="2">
        <f t="shared" si="14"/>
        <v>1.2272727272727273</v>
      </c>
      <c r="K36" s="3">
        <f t="shared" si="15"/>
        <v>144.82702702702704</v>
      </c>
      <c r="L36" s="3">
        <f t="shared" si="16"/>
        <v>243.57272727272729</v>
      </c>
      <c r="M36" s="3">
        <f t="shared" si="17"/>
        <v>198.46666666666667</v>
      </c>
      <c r="O36" s="1">
        <v>46057</v>
      </c>
      <c r="P36" t="s">
        <v>16</v>
      </c>
      <c r="Q36">
        <v>1101.71</v>
      </c>
      <c r="R36">
        <v>261</v>
      </c>
      <c r="S36">
        <v>35</v>
      </c>
      <c r="T36">
        <v>19</v>
      </c>
      <c r="U36">
        <v>20</v>
      </c>
      <c r="V36" s="2">
        <f t="shared" si="18"/>
        <v>7.662835249042145E-2</v>
      </c>
      <c r="W36" s="2">
        <f t="shared" si="19"/>
        <v>0.5714285714285714</v>
      </c>
      <c r="X36" s="2">
        <f t="shared" si="20"/>
        <v>1.0526315789473684</v>
      </c>
      <c r="Y36" s="3">
        <f t="shared" si="21"/>
        <v>31.477428571428572</v>
      </c>
      <c r="Z36" s="3">
        <f t="shared" si="22"/>
        <v>57.984736842105264</v>
      </c>
      <c r="AA36" s="3">
        <f t="shared" si="23"/>
        <v>55.085500000000003</v>
      </c>
    </row>
    <row r="37" spans="1:27" hidden="1" x14ac:dyDescent="0.25">
      <c r="A37" s="1">
        <v>46058</v>
      </c>
      <c r="B37" t="s">
        <v>15</v>
      </c>
      <c r="C37">
        <v>4925.7300000000005</v>
      </c>
      <c r="D37">
        <v>670</v>
      </c>
      <c r="E37">
        <v>40</v>
      </c>
      <c r="F37">
        <v>25</v>
      </c>
      <c r="G37">
        <v>22</v>
      </c>
      <c r="H37" s="2">
        <f t="shared" si="12"/>
        <v>3.2835820895522387E-2</v>
      </c>
      <c r="I37" s="2">
        <f t="shared" si="13"/>
        <v>0.55000000000000004</v>
      </c>
      <c r="J37" s="2">
        <f t="shared" si="14"/>
        <v>0.88</v>
      </c>
      <c r="K37" s="3">
        <f t="shared" si="15"/>
        <v>123.14325000000001</v>
      </c>
      <c r="L37" s="3">
        <f t="shared" si="16"/>
        <v>197.02920000000003</v>
      </c>
      <c r="M37" s="3">
        <f t="shared" si="17"/>
        <v>223.89681818181819</v>
      </c>
      <c r="O37" s="1">
        <v>46058</v>
      </c>
      <c r="P37" t="s">
        <v>16</v>
      </c>
      <c r="Q37">
        <v>909.36000000000013</v>
      </c>
      <c r="R37">
        <v>190</v>
      </c>
      <c r="S37">
        <v>19</v>
      </c>
      <c r="T37">
        <v>14</v>
      </c>
      <c r="U37">
        <v>11</v>
      </c>
      <c r="V37" s="2">
        <f t="shared" si="18"/>
        <v>5.7894736842105263E-2</v>
      </c>
      <c r="W37" s="2">
        <f t="shared" si="19"/>
        <v>0.57894736842105265</v>
      </c>
      <c r="X37" s="2">
        <f t="shared" si="20"/>
        <v>0.7857142857142857</v>
      </c>
      <c r="Y37" s="3">
        <f t="shared" si="21"/>
        <v>47.861052631578957</v>
      </c>
      <c r="Z37" s="3">
        <f t="shared" si="22"/>
        <v>64.954285714285717</v>
      </c>
      <c r="AA37" s="3">
        <f t="shared" si="23"/>
        <v>82.669090909090926</v>
      </c>
    </row>
    <row r="38" spans="1:27" hidden="1" x14ac:dyDescent="0.25">
      <c r="A38" s="1">
        <v>46059</v>
      </c>
      <c r="B38" t="s">
        <v>15</v>
      </c>
      <c r="C38">
        <v>4329.3</v>
      </c>
      <c r="D38">
        <v>581</v>
      </c>
      <c r="E38">
        <v>33</v>
      </c>
      <c r="F38">
        <v>16</v>
      </c>
      <c r="G38">
        <v>22</v>
      </c>
      <c r="H38" s="2">
        <f t="shared" si="12"/>
        <v>3.7865748709122203E-2</v>
      </c>
      <c r="I38" s="2">
        <f t="shared" si="13"/>
        <v>0.66666666666666663</v>
      </c>
      <c r="J38" s="2">
        <f t="shared" si="14"/>
        <v>1.375</v>
      </c>
      <c r="K38" s="3">
        <f t="shared" si="15"/>
        <v>131.19090909090909</v>
      </c>
      <c r="L38" s="3">
        <f t="shared" si="16"/>
        <v>270.58125000000001</v>
      </c>
      <c r="M38" s="3">
        <f t="shared" si="17"/>
        <v>196.78636363636363</v>
      </c>
      <c r="O38" s="1">
        <v>46059</v>
      </c>
      <c r="P38" t="s">
        <v>16</v>
      </c>
      <c r="Q38">
        <v>915.63</v>
      </c>
      <c r="R38">
        <v>192</v>
      </c>
      <c r="S38">
        <v>29</v>
      </c>
      <c r="T38">
        <v>12</v>
      </c>
      <c r="U38">
        <v>19</v>
      </c>
      <c r="V38" s="2">
        <f t="shared" si="18"/>
        <v>9.8958333333333329E-2</v>
      </c>
      <c r="W38" s="2">
        <f t="shared" si="19"/>
        <v>0.65517241379310343</v>
      </c>
      <c r="X38" s="2">
        <f t="shared" si="20"/>
        <v>1.5833333333333333</v>
      </c>
      <c r="Y38" s="3">
        <f t="shared" si="21"/>
        <v>31.57344827586207</v>
      </c>
      <c r="Z38" s="3">
        <f t="shared" si="22"/>
        <v>76.302499999999995</v>
      </c>
      <c r="AA38" s="3">
        <f t="shared" si="23"/>
        <v>48.191052631578948</v>
      </c>
    </row>
    <row r="39" spans="1:27" hidden="1" x14ac:dyDescent="0.25">
      <c r="A39" s="1">
        <v>46060</v>
      </c>
      <c r="B39" t="s">
        <v>15</v>
      </c>
      <c r="C39">
        <v>4379.4799999999996</v>
      </c>
      <c r="D39">
        <v>675</v>
      </c>
      <c r="E39">
        <v>32</v>
      </c>
      <c r="F39">
        <v>14</v>
      </c>
      <c r="G39">
        <v>15</v>
      </c>
      <c r="H39" s="2">
        <f t="shared" si="12"/>
        <v>2.2222222222222223E-2</v>
      </c>
      <c r="I39" s="2">
        <f t="shared" si="13"/>
        <v>0.46875</v>
      </c>
      <c r="J39" s="2">
        <f t="shared" si="14"/>
        <v>1.0714285714285714</v>
      </c>
      <c r="K39" s="3">
        <f t="shared" si="15"/>
        <v>136.85874999999999</v>
      </c>
      <c r="L39" s="3">
        <f t="shared" si="16"/>
        <v>312.82</v>
      </c>
      <c r="M39" s="3">
        <f t="shared" si="17"/>
        <v>291.96533333333332</v>
      </c>
      <c r="O39" s="1">
        <v>46060</v>
      </c>
      <c r="P39" t="s">
        <v>16</v>
      </c>
      <c r="Q39">
        <v>546.71</v>
      </c>
      <c r="R39">
        <v>130</v>
      </c>
      <c r="S39">
        <v>13</v>
      </c>
      <c r="T39">
        <v>8</v>
      </c>
      <c r="U39">
        <v>8</v>
      </c>
      <c r="V39" s="2">
        <f t="shared" si="18"/>
        <v>6.1538461538461542E-2</v>
      </c>
      <c r="W39" s="2">
        <f t="shared" si="19"/>
        <v>0.61538461538461542</v>
      </c>
      <c r="X39" s="2">
        <f t="shared" si="20"/>
        <v>1</v>
      </c>
      <c r="Y39" s="3">
        <f t="shared" si="21"/>
        <v>42.054615384615389</v>
      </c>
      <c r="Z39" s="3">
        <f t="shared" si="22"/>
        <v>68.338750000000005</v>
      </c>
      <c r="AA39" s="3">
        <f t="shared" si="23"/>
        <v>68.338750000000005</v>
      </c>
    </row>
    <row r="40" spans="1:27" hidden="1" x14ac:dyDescent="0.25">
      <c r="A40" s="1">
        <v>46061</v>
      </c>
      <c r="B40" t="s">
        <v>15</v>
      </c>
      <c r="C40">
        <v>4609.5200000000004</v>
      </c>
      <c r="D40">
        <v>694</v>
      </c>
      <c r="E40">
        <v>45</v>
      </c>
      <c r="F40">
        <v>21</v>
      </c>
      <c r="G40">
        <v>22</v>
      </c>
      <c r="H40" s="2">
        <f t="shared" si="12"/>
        <v>3.1700288184438041E-2</v>
      </c>
      <c r="I40" s="2">
        <f t="shared" si="13"/>
        <v>0.48888888888888887</v>
      </c>
      <c r="J40" s="2">
        <f t="shared" si="14"/>
        <v>1.0476190476190477</v>
      </c>
      <c r="K40" s="3">
        <f t="shared" si="15"/>
        <v>102.43377777777779</v>
      </c>
      <c r="L40" s="3">
        <f t="shared" si="16"/>
        <v>219.50095238095241</v>
      </c>
      <c r="M40" s="3">
        <f t="shared" si="17"/>
        <v>209.52363636363637</v>
      </c>
      <c r="O40" s="1">
        <v>46061</v>
      </c>
      <c r="P40" t="s">
        <v>16</v>
      </c>
      <c r="Q40">
        <v>762.88</v>
      </c>
      <c r="R40">
        <v>176</v>
      </c>
      <c r="S40">
        <v>20</v>
      </c>
      <c r="T40">
        <v>9</v>
      </c>
      <c r="U40">
        <v>8</v>
      </c>
      <c r="V40" s="2">
        <f t="shared" si="18"/>
        <v>4.5454545454545456E-2</v>
      </c>
      <c r="W40" s="2">
        <f t="shared" si="19"/>
        <v>0.4</v>
      </c>
      <c r="X40" s="2">
        <f t="shared" si="20"/>
        <v>0.88888888888888884</v>
      </c>
      <c r="Y40" s="3">
        <f t="shared" si="21"/>
        <v>38.143999999999998</v>
      </c>
      <c r="Z40" s="3">
        <f t="shared" si="22"/>
        <v>84.76444444444445</v>
      </c>
      <c r="AA40" s="3">
        <f t="shared" si="23"/>
        <v>95.36</v>
      </c>
    </row>
    <row r="41" spans="1:27" hidden="1" x14ac:dyDescent="0.25">
      <c r="A41" s="1">
        <v>46062</v>
      </c>
      <c r="B41" t="s">
        <v>15</v>
      </c>
      <c r="C41">
        <v>5320.0899999999992</v>
      </c>
      <c r="D41">
        <v>789</v>
      </c>
      <c r="E41">
        <v>43</v>
      </c>
      <c r="F41">
        <v>18</v>
      </c>
      <c r="G41">
        <v>24</v>
      </c>
      <c r="H41" s="2">
        <f t="shared" si="12"/>
        <v>3.0418250950570342E-2</v>
      </c>
      <c r="I41" s="2">
        <f t="shared" si="13"/>
        <v>0.55813953488372092</v>
      </c>
      <c r="J41" s="2">
        <f t="shared" si="14"/>
        <v>1.3333333333333333</v>
      </c>
      <c r="K41" s="3">
        <f t="shared" si="15"/>
        <v>123.72302325581394</v>
      </c>
      <c r="L41" s="3">
        <f t="shared" si="16"/>
        <v>295.56055555555554</v>
      </c>
      <c r="M41" s="3">
        <f t="shared" si="17"/>
        <v>221.67041666666663</v>
      </c>
      <c r="O41" s="1">
        <v>46062</v>
      </c>
      <c r="P41" t="s">
        <v>16</v>
      </c>
      <c r="Q41">
        <v>1301.99</v>
      </c>
      <c r="R41">
        <v>317</v>
      </c>
      <c r="S41">
        <v>67</v>
      </c>
      <c r="T41">
        <v>48</v>
      </c>
      <c r="U41">
        <v>31</v>
      </c>
      <c r="V41" s="2">
        <f t="shared" si="18"/>
        <v>9.7791798107255523E-2</v>
      </c>
      <c r="W41" s="2">
        <f t="shared" si="19"/>
        <v>0.46268656716417911</v>
      </c>
      <c r="X41" s="2">
        <f t="shared" si="20"/>
        <v>0.64583333333333337</v>
      </c>
      <c r="Y41" s="3">
        <f t="shared" si="21"/>
        <v>19.432686567164179</v>
      </c>
      <c r="Z41" s="3">
        <f t="shared" si="22"/>
        <v>27.124791666666667</v>
      </c>
      <c r="AA41" s="3">
        <f t="shared" si="23"/>
        <v>41.999677419354839</v>
      </c>
    </row>
    <row r="42" spans="1:27" hidden="1" x14ac:dyDescent="0.25">
      <c r="A42" s="1">
        <v>46063</v>
      </c>
      <c r="B42" t="s">
        <v>15</v>
      </c>
      <c r="C42">
        <v>5529.9900000000007</v>
      </c>
      <c r="D42">
        <v>766</v>
      </c>
      <c r="E42">
        <v>53</v>
      </c>
      <c r="F42">
        <v>23</v>
      </c>
      <c r="G42">
        <v>21</v>
      </c>
      <c r="H42" s="2">
        <f t="shared" si="12"/>
        <v>2.7415143603133161E-2</v>
      </c>
      <c r="I42" s="2">
        <f t="shared" si="13"/>
        <v>0.39622641509433965</v>
      </c>
      <c r="J42" s="2">
        <f t="shared" si="14"/>
        <v>0.91304347826086951</v>
      </c>
      <c r="K42" s="3">
        <f t="shared" si="15"/>
        <v>104.33943396226417</v>
      </c>
      <c r="L42" s="3">
        <f t="shared" si="16"/>
        <v>240.43434782608699</v>
      </c>
      <c r="M42" s="3">
        <f t="shared" si="17"/>
        <v>263.33285714285716</v>
      </c>
      <c r="O42" s="1">
        <v>46063</v>
      </c>
      <c r="P42" t="s">
        <v>16</v>
      </c>
      <c r="Q42">
        <v>1015.3</v>
      </c>
      <c r="R42">
        <v>289</v>
      </c>
      <c r="S42">
        <v>47</v>
      </c>
      <c r="T42">
        <v>30</v>
      </c>
      <c r="U42">
        <v>29</v>
      </c>
      <c r="V42" s="2">
        <f t="shared" si="18"/>
        <v>0.10034602076124567</v>
      </c>
      <c r="W42" s="2">
        <f t="shared" si="19"/>
        <v>0.61702127659574468</v>
      </c>
      <c r="X42" s="2">
        <f t="shared" si="20"/>
        <v>0.96666666666666667</v>
      </c>
      <c r="Y42" s="3">
        <f t="shared" si="21"/>
        <v>21.602127659574467</v>
      </c>
      <c r="Z42" s="3">
        <f t="shared" si="22"/>
        <v>33.843333333333334</v>
      </c>
      <c r="AA42" s="3">
        <f t="shared" si="23"/>
        <v>35.010344827586202</v>
      </c>
    </row>
    <row r="43" spans="1:27" hidden="1" x14ac:dyDescent="0.25">
      <c r="A43" s="1">
        <v>46064</v>
      </c>
      <c r="B43" t="s">
        <v>15</v>
      </c>
      <c r="C43">
        <v>5378.68</v>
      </c>
      <c r="D43">
        <v>814</v>
      </c>
      <c r="E43">
        <v>42</v>
      </c>
      <c r="F43">
        <v>23</v>
      </c>
      <c r="G43">
        <v>37</v>
      </c>
      <c r="H43" s="2">
        <f t="shared" si="12"/>
        <v>4.5454545454545456E-2</v>
      </c>
      <c r="I43" s="2">
        <f t="shared" si="13"/>
        <v>0.88095238095238093</v>
      </c>
      <c r="J43" s="2">
        <f t="shared" si="14"/>
        <v>1.6086956521739131</v>
      </c>
      <c r="K43" s="3">
        <f t="shared" si="15"/>
        <v>128.06380952380954</v>
      </c>
      <c r="L43" s="3">
        <f t="shared" si="16"/>
        <v>233.85565217391306</v>
      </c>
      <c r="M43" s="3">
        <f t="shared" si="17"/>
        <v>145.36972972972973</v>
      </c>
      <c r="O43" s="1">
        <v>46064</v>
      </c>
      <c r="P43" t="s">
        <v>16</v>
      </c>
      <c r="Q43">
        <v>1035.74</v>
      </c>
      <c r="R43">
        <v>307</v>
      </c>
      <c r="S43">
        <v>48</v>
      </c>
      <c r="T43">
        <v>31</v>
      </c>
      <c r="U43">
        <v>35</v>
      </c>
      <c r="V43" s="2">
        <f t="shared" si="18"/>
        <v>0.11400651465798045</v>
      </c>
      <c r="W43" s="2">
        <f t="shared" si="19"/>
        <v>0.72916666666666663</v>
      </c>
      <c r="X43" s="2">
        <f t="shared" si="20"/>
        <v>1.1290322580645162</v>
      </c>
      <c r="Y43" s="3">
        <f t="shared" si="21"/>
        <v>21.577916666666667</v>
      </c>
      <c r="Z43" s="3">
        <f t="shared" si="22"/>
        <v>33.410967741935487</v>
      </c>
      <c r="AA43" s="3">
        <f t="shared" si="23"/>
        <v>29.592571428571429</v>
      </c>
    </row>
    <row r="44" spans="1:27" hidden="1" x14ac:dyDescent="0.25">
      <c r="A44" s="1">
        <v>46065</v>
      </c>
      <c r="B44" t="s">
        <v>15</v>
      </c>
      <c r="C44">
        <v>5480.4800000000005</v>
      </c>
      <c r="D44">
        <v>794</v>
      </c>
      <c r="E44">
        <v>46</v>
      </c>
      <c r="F44">
        <v>23</v>
      </c>
      <c r="G44">
        <v>23</v>
      </c>
      <c r="H44" s="2">
        <f t="shared" si="12"/>
        <v>2.8967254408060455E-2</v>
      </c>
      <c r="I44" s="2">
        <f t="shared" si="13"/>
        <v>0.5</v>
      </c>
      <c r="J44" s="2">
        <f t="shared" si="14"/>
        <v>1</v>
      </c>
      <c r="K44" s="3">
        <f t="shared" si="15"/>
        <v>119.1408695652174</v>
      </c>
      <c r="L44" s="3">
        <f t="shared" si="16"/>
        <v>238.2817391304348</v>
      </c>
      <c r="M44" s="3">
        <f t="shared" si="17"/>
        <v>238.2817391304348</v>
      </c>
      <c r="O44" s="1">
        <v>46065</v>
      </c>
      <c r="P44" t="s">
        <v>16</v>
      </c>
      <c r="Q44">
        <v>790.91</v>
      </c>
      <c r="R44">
        <v>228</v>
      </c>
      <c r="S44">
        <v>29</v>
      </c>
      <c r="T44">
        <v>19</v>
      </c>
      <c r="U44">
        <v>18</v>
      </c>
      <c r="V44" s="2">
        <f t="shared" si="18"/>
        <v>7.8947368421052627E-2</v>
      </c>
      <c r="W44" s="2">
        <f t="shared" si="19"/>
        <v>0.62068965517241381</v>
      </c>
      <c r="X44" s="2">
        <f t="shared" si="20"/>
        <v>0.94736842105263153</v>
      </c>
      <c r="Y44" s="3">
        <f t="shared" si="21"/>
        <v>27.272758620689654</v>
      </c>
      <c r="Z44" s="3">
        <f t="shared" si="22"/>
        <v>41.626842105263158</v>
      </c>
      <c r="AA44" s="3">
        <f t="shared" si="23"/>
        <v>43.93944444444444</v>
      </c>
    </row>
    <row r="45" spans="1:27" hidden="1" x14ac:dyDescent="0.25">
      <c r="A45" s="1">
        <v>46066</v>
      </c>
      <c r="B45" t="s">
        <v>15</v>
      </c>
      <c r="C45">
        <v>5057.9500000000007</v>
      </c>
      <c r="D45">
        <v>710</v>
      </c>
      <c r="E45">
        <v>33</v>
      </c>
      <c r="F45">
        <v>17</v>
      </c>
      <c r="G45">
        <v>24</v>
      </c>
      <c r="H45" s="2">
        <f t="shared" si="12"/>
        <v>3.3802816901408447E-2</v>
      </c>
      <c r="I45" s="2">
        <f t="shared" si="13"/>
        <v>0.72727272727272729</v>
      </c>
      <c r="J45" s="2">
        <f t="shared" si="14"/>
        <v>1.411764705882353</v>
      </c>
      <c r="K45" s="3">
        <f t="shared" si="15"/>
        <v>153.27121212121213</v>
      </c>
      <c r="L45" s="3">
        <f t="shared" si="16"/>
        <v>297.52647058823533</v>
      </c>
      <c r="M45" s="3">
        <f t="shared" si="17"/>
        <v>210.7479166666667</v>
      </c>
      <c r="O45" s="1">
        <v>46066</v>
      </c>
      <c r="P45" t="s">
        <v>16</v>
      </c>
      <c r="Q45">
        <v>764.51</v>
      </c>
      <c r="R45">
        <v>211</v>
      </c>
      <c r="S45">
        <v>32</v>
      </c>
      <c r="T45">
        <v>18</v>
      </c>
      <c r="U45">
        <v>19</v>
      </c>
      <c r="V45" s="2">
        <f t="shared" si="18"/>
        <v>9.004739336492891E-2</v>
      </c>
      <c r="W45" s="2">
        <f t="shared" si="19"/>
        <v>0.59375</v>
      </c>
      <c r="X45" s="2">
        <f t="shared" si="20"/>
        <v>1.0555555555555556</v>
      </c>
      <c r="Y45" s="3">
        <f t="shared" si="21"/>
        <v>23.8909375</v>
      </c>
      <c r="Z45" s="3">
        <f t="shared" si="22"/>
        <v>42.472777777777779</v>
      </c>
      <c r="AA45" s="3">
        <f t="shared" si="23"/>
        <v>40.237368421052629</v>
      </c>
    </row>
    <row r="46" spans="1:27" hidden="1" x14ac:dyDescent="0.25">
      <c r="A46" s="1">
        <v>46067</v>
      </c>
      <c r="B46" t="s">
        <v>15</v>
      </c>
      <c r="C46">
        <v>4867.88</v>
      </c>
      <c r="D46">
        <v>750</v>
      </c>
      <c r="E46">
        <v>25</v>
      </c>
      <c r="F46">
        <v>15</v>
      </c>
      <c r="G46">
        <v>22</v>
      </c>
      <c r="H46" s="2">
        <f t="shared" si="12"/>
        <v>2.9333333333333333E-2</v>
      </c>
      <c r="I46" s="2">
        <f t="shared" si="13"/>
        <v>0.88</v>
      </c>
      <c r="J46" s="2">
        <f t="shared" si="14"/>
        <v>1.4666666666666666</v>
      </c>
      <c r="K46" s="3">
        <f t="shared" si="15"/>
        <v>194.71520000000001</v>
      </c>
      <c r="L46" s="3">
        <f t="shared" si="16"/>
        <v>324.52533333333332</v>
      </c>
      <c r="M46" s="3">
        <f t="shared" si="17"/>
        <v>221.26727272727274</v>
      </c>
      <c r="O46" s="1">
        <v>46067</v>
      </c>
      <c r="P46" t="s">
        <v>16</v>
      </c>
      <c r="Q46">
        <v>480.83000000000004</v>
      </c>
      <c r="R46">
        <v>140</v>
      </c>
      <c r="S46">
        <v>21</v>
      </c>
      <c r="T46">
        <v>9</v>
      </c>
      <c r="U46">
        <v>10</v>
      </c>
      <c r="V46" s="2">
        <f t="shared" si="18"/>
        <v>7.1428571428571425E-2</v>
      </c>
      <c r="W46" s="2">
        <f t="shared" si="19"/>
        <v>0.47619047619047616</v>
      </c>
      <c r="X46" s="2">
        <f t="shared" si="20"/>
        <v>1.1111111111111112</v>
      </c>
      <c r="Y46" s="3">
        <f t="shared" si="21"/>
        <v>22.896666666666668</v>
      </c>
      <c r="Z46" s="3">
        <f t="shared" si="22"/>
        <v>53.425555555555562</v>
      </c>
      <c r="AA46" s="3">
        <f t="shared" si="23"/>
        <v>48.083000000000006</v>
      </c>
    </row>
    <row r="47" spans="1:27" hidden="1" x14ac:dyDescent="0.25">
      <c r="A47" s="1">
        <v>46068</v>
      </c>
      <c r="B47" t="s">
        <v>15</v>
      </c>
      <c r="C47">
        <v>4416.4099999999989</v>
      </c>
      <c r="D47">
        <v>747</v>
      </c>
      <c r="E47">
        <v>50</v>
      </c>
      <c r="F47">
        <v>16</v>
      </c>
      <c r="G47">
        <v>12</v>
      </c>
      <c r="H47" s="2">
        <f t="shared" si="12"/>
        <v>1.6064257028112448E-2</v>
      </c>
      <c r="I47" s="2">
        <f t="shared" si="13"/>
        <v>0.24</v>
      </c>
      <c r="J47" s="2">
        <f t="shared" si="14"/>
        <v>0.75</v>
      </c>
      <c r="K47" s="3">
        <f t="shared" si="15"/>
        <v>88.328199999999981</v>
      </c>
      <c r="L47" s="3">
        <f t="shared" si="16"/>
        <v>276.02562499999993</v>
      </c>
      <c r="M47" s="3">
        <f t="shared" si="17"/>
        <v>368.03416666666658</v>
      </c>
      <c r="O47" s="1">
        <v>46068</v>
      </c>
      <c r="P47" t="s">
        <v>16</v>
      </c>
      <c r="Q47">
        <v>698.90000000000009</v>
      </c>
      <c r="R47">
        <v>175</v>
      </c>
      <c r="S47">
        <v>19</v>
      </c>
      <c r="T47">
        <v>12</v>
      </c>
      <c r="U47">
        <v>12</v>
      </c>
      <c r="V47" s="2">
        <f t="shared" si="18"/>
        <v>6.8571428571428575E-2</v>
      </c>
      <c r="W47" s="2">
        <f t="shared" si="19"/>
        <v>0.63157894736842102</v>
      </c>
      <c r="X47" s="2">
        <f t="shared" si="20"/>
        <v>1</v>
      </c>
      <c r="Y47" s="3">
        <f t="shared" si="21"/>
        <v>36.784210526315796</v>
      </c>
      <c r="Z47" s="3">
        <f t="shared" si="22"/>
        <v>58.241666666666674</v>
      </c>
      <c r="AA47" s="3">
        <f t="shared" si="23"/>
        <v>58.241666666666674</v>
      </c>
    </row>
    <row r="48" spans="1:27" hidden="1" x14ac:dyDescent="0.25">
      <c r="A48" s="1">
        <v>46069</v>
      </c>
      <c r="B48" t="s">
        <v>15</v>
      </c>
      <c r="C48">
        <v>4977.08</v>
      </c>
      <c r="D48">
        <v>779</v>
      </c>
      <c r="E48">
        <v>49</v>
      </c>
      <c r="F48">
        <v>31</v>
      </c>
      <c r="G48">
        <v>25</v>
      </c>
      <c r="H48" s="2">
        <f t="shared" si="12"/>
        <v>3.2092426187419767E-2</v>
      </c>
      <c r="I48" s="2">
        <f t="shared" si="13"/>
        <v>0.51020408163265307</v>
      </c>
      <c r="J48" s="2">
        <f t="shared" si="14"/>
        <v>0.80645161290322576</v>
      </c>
      <c r="K48" s="3">
        <f t="shared" si="15"/>
        <v>101.57306122448979</v>
      </c>
      <c r="L48" s="3">
        <f t="shared" si="16"/>
        <v>160.55096774193549</v>
      </c>
      <c r="M48" s="3">
        <f t="shared" si="17"/>
        <v>199.08320000000001</v>
      </c>
      <c r="O48" s="1">
        <v>46069</v>
      </c>
      <c r="P48" t="s">
        <v>16</v>
      </c>
      <c r="Q48">
        <v>717.65</v>
      </c>
      <c r="R48">
        <v>206</v>
      </c>
      <c r="S48">
        <v>22</v>
      </c>
      <c r="T48">
        <v>16</v>
      </c>
      <c r="U48">
        <v>17</v>
      </c>
      <c r="V48" s="2">
        <f t="shared" si="18"/>
        <v>8.2524271844660199E-2</v>
      </c>
      <c r="W48" s="2">
        <f t="shared" si="19"/>
        <v>0.77272727272727271</v>
      </c>
      <c r="X48" s="2">
        <f t="shared" si="20"/>
        <v>1.0625</v>
      </c>
      <c r="Y48" s="3">
        <f t="shared" si="21"/>
        <v>32.620454545454542</v>
      </c>
      <c r="Z48" s="3">
        <f t="shared" si="22"/>
        <v>44.853124999999999</v>
      </c>
      <c r="AA48" s="3">
        <f t="shared" si="23"/>
        <v>42.214705882352938</v>
      </c>
    </row>
    <row r="49" spans="1:27" hidden="1" x14ac:dyDescent="0.25">
      <c r="A49" s="1">
        <v>46070</v>
      </c>
      <c r="B49" t="s">
        <v>15</v>
      </c>
      <c r="C49">
        <v>5439.3499999999995</v>
      </c>
      <c r="D49">
        <v>791</v>
      </c>
      <c r="E49">
        <v>39</v>
      </c>
      <c r="F49">
        <v>21</v>
      </c>
      <c r="G49">
        <v>26</v>
      </c>
      <c r="H49" s="2">
        <f t="shared" si="12"/>
        <v>3.286978508217446E-2</v>
      </c>
      <c r="I49" s="2">
        <f t="shared" si="13"/>
        <v>0.66666666666666663</v>
      </c>
      <c r="J49" s="2">
        <f t="shared" si="14"/>
        <v>1.2380952380952381</v>
      </c>
      <c r="K49" s="3">
        <f t="shared" si="15"/>
        <v>139.47051282051279</v>
      </c>
      <c r="L49" s="3">
        <f t="shared" si="16"/>
        <v>259.01666666666665</v>
      </c>
      <c r="M49" s="3">
        <f t="shared" si="17"/>
        <v>209.20576923076922</v>
      </c>
      <c r="O49" s="1">
        <v>46070</v>
      </c>
      <c r="P49" t="s">
        <v>16</v>
      </c>
      <c r="Q49">
        <v>723.13</v>
      </c>
      <c r="R49">
        <v>230</v>
      </c>
      <c r="S49">
        <v>20</v>
      </c>
      <c r="T49">
        <v>12</v>
      </c>
      <c r="U49">
        <v>10</v>
      </c>
      <c r="V49" s="2">
        <f t="shared" si="18"/>
        <v>4.3478260869565216E-2</v>
      </c>
      <c r="W49" s="2">
        <f t="shared" si="19"/>
        <v>0.5</v>
      </c>
      <c r="X49" s="2">
        <f t="shared" si="20"/>
        <v>0.83333333333333337</v>
      </c>
      <c r="Y49" s="3">
        <f t="shared" si="21"/>
        <v>36.156500000000001</v>
      </c>
      <c r="Z49" s="3">
        <f t="shared" si="22"/>
        <v>60.260833333333331</v>
      </c>
      <c r="AA49" s="3">
        <f t="shared" si="23"/>
        <v>72.313000000000002</v>
      </c>
    </row>
    <row r="50" spans="1:27" hidden="1" x14ac:dyDescent="0.25">
      <c r="A50" s="1">
        <v>46071</v>
      </c>
      <c r="B50" t="s">
        <v>15</v>
      </c>
      <c r="C50">
        <v>5472.56</v>
      </c>
      <c r="D50">
        <v>784</v>
      </c>
      <c r="E50">
        <v>58</v>
      </c>
      <c r="F50">
        <v>36</v>
      </c>
      <c r="G50">
        <v>33</v>
      </c>
      <c r="H50" s="2">
        <f t="shared" si="12"/>
        <v>4.2091836734693876E-2</v>
      </c>
      <c r="I50" s="2">
        <f t="shared" si="13"/>
        <v>0.56896551724137934</v>
      </c>
      <c r="J50" s="2">
        <f t="shared" si="14"/>
        <v>0.91666666666666663</v>
      </c>
      <c r="K50" s="3">
        <f t="shared" si="15"/>
        <v>94.354482758620691</v>
      </c>
      <c r="L50" s="3">
        <f t="shared" si="16"/>
        <v>152.01555555555558</v>
      </c>
      <c r="M50" s="3">
        <f t="shared" si="17"/>
        <v>165.83515151515152</v>
      </c>
      <c r="O50" s="1">
        <v>46071</v>
      </c>
      <c r="P50" t="s">
        <v>16</v>
      </c>
      <c r="Q50">
        <v>945.62</v>
      </c>
      <c r="R50">
        <v>246</v>
      </c>
      <c r="S50">
        <v>30</v>
      </c>
      <c r="T50">
        <v>10</v>
      </c>
      <c r="U50">
        <v>9</v>
      </c>
      <c r="V50" s="2">
        <f t="shared" si="18"/>
        <v>3.6585365853658534E-2</v>
      </c>
      <c r="W50" s="2">
        <f t="shared" si="19"/>
        <v>0.3</v>
      </c>
      <c r="X50" s="2">
        <f t="shared" si="20"/>
        <v>0.9</v>
      </c>
      <c r="Y50" s="3">
        <f t="shared" si="21"/>
        <v>31.520666666666667</v>
      </c>
      <c r="Z50" s="3">
        <f t="shared" si="22"/>
        <v>94.561999999999998</v>
      </c>
      <c r="AA50" s="3">
        <f t="shared" si="23"/>
        <v>105.06888888888889</v>
      </c>
    </row>
    <row r="51" spans="1:27" hidden="1" x14ac:dyDescent="0.25">
      <c r="A51" s="1">
        <v>46072</v>
      </c>
      <c r="B51" t="s">
        <v>15</v>
      </c>
      <c r="C51">
        <v>4164.71</v>
      </c>
      <c r="D51">
        <v>594</v>
      </c>
      <c r="E51">
        <v>35</v>
      </c>
      <c r="F51">
        <v>18</v>
      </c>
      <c r="G51">
        <v>26</v>
      </c>
      <c r="H51" s="2">
        <f t="shared" si="12"/>
        <v>4.3771043771043773E-2</v>
      </c>
      <c r="I51" s="2">
        <f t="shared" si="13"/>
        <v>0.74285714285714288</v>
      </c>
      <c r="J51" s="2">
        <f t="shared" si="14"/>
        <v>1.4444444444444444</v>
      </c>
      <c r="K51" s="3">
        <f t="shared" si="15"/>
        <v>118.99171428571428</v>
      </c>
      <c r="L51" s="3">
        <f t="shared" si="16"/>
        <v>231.37277777777777</v>
      </c>
      <c r="M51" s="3">
        <f t="shared" si="17"/>
        <v>160.18115384615385</v>
      </c>
      <c r="O51" s="1">
        <v>46072</v>
      </c>
      <c r="P51" t="s">
        <v>16</v>
      </c>
      <c r="Q51">
        <v>921.19999999999993</v>
      </c>
      <c r="R51">
        <v>236</v>
      </c>
      <c r="S51">
        <v>33</v>
      </c>
      <c r="T51">
        <v>20</v>
      </c>
      <c r="U51">
        <v>24</v>
      </c>
      <c r="V51" s="2">
        <f t="shared" si="18"/>
        <v>0.10169491525423729</v>
      </c>
      <c r="W51" s="2">
        <f t="shared" si="19"/>
        <v>0.72727272727272729</v>
      </c>
      <c r="X51" s="2">
        <f t="shared" si="20"/>
        <v>1.2</v>
      </c>
      <c r="Y51" s="3">
        <f t="shared" si="21"/>
        <v>27.915151515151514</v>
      </c>
      <c r="Z51" s="3">
        <f t="shared" si="22"/>
        <v>46.059999999999995</v>
      </c>
      <c r="AA51" s="3">
        <f t="shared" si="23"/>
        <v>38.383333333333333</v>
      </c>
    </row>
    <row r="52" spans="1:27" hidden="1" x14ac:dyDescent="0.25">
      <c r="A52" s="1">
        <v>46073</v>
      </c>
      <c r="B52" t="s">
        <v>15</v>
      </c>
      <c r="C52">
        <v>4033.8</v>
      </c>
      <c r="D52">
        <v>605</v>
      </c>
      <c r="E52">
        <v>29</v>
      </c>
      <c r="F52">
        <v>11</v>
      </c>
      <c r="G52">
        <v>7</v>
      </c>
      <c r="H52" s="2">
        <f t="shared" si="12"/>
        <v>1.1570247933884297E-2</v>
      </c>
      <c r="I52" s="2">
        <f t="shared" si="13"/>
        <v>0.2413793103448276</v>
      </c>
      <c r="J52" s="2">
        <f t="shared" si="14"/>
        <v>0.63636363636363635</v>
      </c>
      <c r="K52" s="3">
        <f t="shared" si="15"/>
        <v>139.09655172413792</v>
      </c>
      <c r="L52" s="3">
        <f t="shared" si="16"/>
        <v>366.70909090909095</v>
      </c>
      <c r="M52" s="3">
        <f t="shared" si="17"/>
        <v>576.25714285714287</v>
      </c>
      <c r="O52" s="1">
        <v>46073</v>
      </c>
      <c r="P52" t="s">
        <v>16</v>
      </c>
      <c r="Q52">
        <v>558.58999999999992</v>
      </c>
      <c r="R52">
        <v>177</v>
      </c>
      <c r="S52">
        <v>20</v>
      </c>
      <c r="T52">
        <v>13</v>
      </c>
      <c r="U52">
        <v>13</v>
      </c>
      <c r="V52" s="2">
        <f t="shared" si="18"/>
        <v>7.3446327683615822E-2</v>
      </c>
      <c r="W52" s="2">
        <f t="shared" si="19"/>
        <v>0.65</v>
      </c>
      <c r="X52" s="2">
        <f t="shared" si="20"/>
        <v>1</v>
      </c>
      <c r="Y52" s="3">
        <f t="shared" si="21"/>
        <v>27.929499999999997</v>
      </c>
      <c r="Z52" s="3">
        <f t="shared" si="22"/>
        <v>42.968461538461533</v>
      </c>
      <c r="AA52" s="3">
        <f t="shared" si="23"/>
        <v>42.968461538461533</v>
      </c>
    </row>
    <row r="53" spans="1:27" hidden="1" x14ac:dyDescent="0.25">
      <c r="A53" s="1">
        <v>46074</v>
      </c>
      <c r="B53" t="s">
        <v>15</v>
      </c>
      <c r="C53">
        <v>3580.92</v>
      </c>
      <c r="D53">
        <v>616</v>
      </c>
      <c r="E53">
        <v>30</v>
      </c>
      <c r="F53">
        <v>13</v>
      </c>
      <c r="G53">
        <v>29</v>
      </c>
      <c r="H53" s="2">
        <f t="shared" si="12"/>
        <v>4.707792207792208E-2</v>
      </c>
      <c r="I53" s="2">
        <f t="shared" si="13"/>
        <v>0.96666666666666667</v>
      </c>
      <c r="J53" s="2">
        <f t="shared" si="14"/>
        <v>2.2307692307692308</v>
      </c>
      <c r="K53" s="3">
        <f t="shared" si="15"/>
        <v>119.364</v>
      </c>
      <c r="L53" s="3">
        <f t="shared" si="16"/>
        <v>275.45538461538462</v>
      </c>
      <c r="M53" s="3">
        <f t="shared" si="17"/>
        <v>123.48</v>
      </c>
      <c r="O53" s="1">
        <v>46074</v>
      </c>
      <c r="P53" t="s">
        <v>16</v>
      </c>
      <c r="Q53">
        <v>533.72</v>
      </c>
      <c r="R53">
        <v>151</v>
      </c>
      <c r="S53">
        <v>22</v>
      </c>
      <c r="T53">
        <v>11</v>
      </c>
      <c r="U53">
        <v>11</v>
      </c>
      <c r="V53" s="2">
        <f t="shared" si="18"/>
        <v>7.2847682119205295E-2</v>
      </c>
      <c r="W53" s="2">
        <f t="shared" si="19"/>
        <v>0.5</v>
      </c>
      <c r="X53" s="2">
        <f t="shared" si="20"/>
        <v>1</v>
      </c>
      <c r="Y53" s="3">
        <f t="shared" si="21"/>
        <v>24.26</v>
      </c>
      <c r="Z53" s="3">
        <f t="shared" si="22"/>
        <v>48.52</v>
      </c>
      <c r="AA53" s="3">
        <f t="shared" si="23"/>
        <v>48.52</v>
      </c>
    </row>
    <row r="54" spans="1:27" hidden="1" x14ac:dyDescent="0.25">
      <c r="A54" s="1">
        <v>46075</v>
      </c>
      <c r="B54" t="s">
        <v>15</v>
      </c>
      <c r="C54">
        <v>3972.18</v>
      </c>
      <c r="D54">
        <v>675</v>
      </c>
      <c r="E54">
        <v>21</v>
      </c>
      <c r="F54">
        <v>12</v>
      </c>
      <c r="G54">
        <v>12</v>
      </c>
      <c r="H54" s="2">
        <f t="shared" si="12"/>
        <v>1.7777777777777778E-2</v>
      </c>
      <c r="I54" s="2">
        <f t="shared" si="13"/>
        <v>0.5714285714285714</v>
      </c>
      <c r="J54" s="2">
        <f t="shared" si="14"/>
        <v>1</v>
      </c>
      <c r="K54" s="3">
        <f t="shared" si="15"/>
        <v>189.15142857142857</v>
      </c>
      <c r="L54" s="3">
        <f t="shared" si="16"/>
        <v>331.01499999999999</v>
      </c>
      <c r="M54" s="3">
        <f t="shared" si="17"/>
        <v>331.01499999999999</v>
      </c>
      <c r="O54" s="1">
        <v>46075</v>
      </c>
      <c r="P54" t="s">
        <v>16</v>
      </c>
      <c r="Q54">
        <v>654.58000000000004</v>
      </c>
      <c r="R54">
        <v>168</v>
      </c>
      <c r="S54">
        <v>13</v>
      </c>
      <c r="T54">
        <v>7</v>
      </c>
      <c r="U54">
        <v>10</v>
      </c>
      <c r="V54" s="2">
        <f t="shared" si="18"/>
        <v>5.9523809523809521E-2</v>
      </c>
      <c r="W54" s="2">
        <f t="shared" si="19"/>
        <v>0.76923076923076927</v>
      </c>
      <c r="X54" s="2">
        <f t="shared" si="20"/>
        <v>1.4285714285714286</v>
      </c>
      <c r="Y54" s="3">
        <f t="shared" si="21"/>
        <v>50.352307692307697</v>
      </c>
      <c r="Z54" s="3">
        <f t="shared" si="22"/>
        <v>93.511428571428581</v>
      </c>
      <c r="AA54" s="3">
        <f t="shared" si="23"/>
        <v>65.457999999999998</v>
      </c>
    </row>
    <row r="55" spans="1:27" hidden="1" x14ac:dyDescent="0.25">
      <c r="A55" s="1">
        <v>46076</v>
      </c>
      <c r="B55" t="s">
        <v>15</v>
      </c>
      <c r="C55">
        <v>4192.28</v>
      </c>
      <c r="D55">
        <v>687</v>
      </c>
      <c r="E55">
        <v>33</v>
      </c>
      <c r="F55">
        <v>20</v>
      </c>
      <c r="G55">
        <v>13</v>
      </c>
      <c r="H55" s="2">
        <f t="shared" si="12"/>
        <v>1.8922852983988356E-2</v>
      </c>
      <c r="I55" s="2">
        <f t="shared" si="13"/>
        <v>0.39393939393939392</v>
      </c>
      <c r="J55" s="2">
        <f t="shared" si="14"/>
        <v>0.65</v>
      </c>
      <c r="K55" s="3">
        <f t="shared" si="15"/>
        <v>127.03878787878787</v>
      </c>
      <c r="L55" s="3">
        <f t="shared" si="16"/>
        <v>209.61399999999998</v>
      </c>
      <c r="M55" s="3">
        <f t="shared" si="17"/>
        <v>322.48307692307691</v>
      </c>
      <c r="O55" s="1">
        <v>46076</v>
      </c>
      <c r="P55" t="s">
        <v>16</v>
      </c>
      <c r="Q55">
        <v>1016.4000000000001</v>
      </c>
      <c r="R55">
        <v>269</v>
      </c>
      <c r="S55">
        <v>35</v>
      </c>
      <c r="T55">
        <v>22</v>
      </c>
      <c r="U55">
        <v>22</v>
      </c>
      <c r="V55" s="2">
        <f t="shared" si="18"/>
        <v>8.1784386617100371E-2</v>
      </c>
      <c r="W55" s="2">
        <f t="shared" si="19"/>
        <v>0.62857142857142856</v>
      </c>
      <c r="X55" s="2">
        <f t="shared" si="20"/>
        <v>1</v>
      </c>
      <c r="Y55" s="3">
        <f t="shared" si="21"/>
        <v>29.040000000000003</v>
      </c>
      <c r="Z55" s="3">
        <f t="shared" si="22"/>
        <v>46.2</v>
      </c>
      <c r="AA55" s="3">
        <f t="shared" si="23"/>
        <v>46.2</v>
      </c>
    </row>
    <row r="56" spans="1:27" hidden="1" x14ac:dyDescent="0.25">
      <c r="A56" s="1">
        <v>46077</v>
      </c>
      <c r="B56" t="s">
        <v>15</v>
      </c>
      <c r="C56">
        <v>4752.62</v>
      </c>
      <c r="D56">
        <v>749</v>
      </c>
      <c r="E56">
        <v>39</v>
      </c>
      <c r="F56">
        <v>23</v>
      </c>
      <c r="G56">
        <v>17</v>
      </c>
      <c r="H56" s="2">
        <f t="shared" si="12"/>
        <v>2.2696929238985315E-2</v>
      </c>
      <c r="I56" s="2">
        <f t="shared" si="13"/>
        <v>0.4358974358974359</v>
      </c>
      <c r="J56" s="2">
        <f t="shared" si="14"/>
        <v>0.73913043478260865</v>
      </c>
      <c r="K56" s="3">
        <f t="shared" si="15"/>
        <v>121.86205128205128</v>
      </c>
      <c r="L56" s="3">
        <f t="shared" si="16"/>
        <v>206.63565217391303</v>
      </c>
      <c r="M56" s="3">
        <f t="shared" si="17"/>
        <v>279.56588235294117</v>
      </c>
      <c r="O56" s="1">
        <v>46077</v>
      </c>
      <c r="P56" t="s">
        <v>16</v>
      </c>
      <c r="Q56">
        <v>1166.44</v>
      </c>
      <c r="R56">
        <v>362</v>
      </c>
      <c r="S56">
        <v>48</v>
      </c>
      <c r="T56">
        <v>29</v>
      </c>
      <c r="U56">
        <v>25</v>
      </c>
      <c r="V56" s="2">
        <f t="shared" si="18"/>
        <v>6.9060773480662987E-2</v>
      </c>
      <c r="W56" s="2">
        <f t="shared" si="19"/>
        <v>0.52083333333333337</v>
      </c>
      <c r="X56" s="2">
        <f t="shared" si="20"/>
        <v>0.86206896551724133</v>
      </c>
      <c r="Y56" s="3">
        <f t="shared" si="21"/>
        <v>24.300833333333333</v>
      </c>
      <c r="Z56" s="3">
        <f t="shared" si="22"/>
        <v>40.222068965517245</v>
      </c>
      <c r="AA56" s="3">
        <f t="shared" si="23"/>
        <v>46.657600000000002</v>
      </c>
    </row>
    <row r="57" spans="1:27" hidden="1" x14ac:dyDescent="0.25">
      <c r="A57" s="1">
        <v>46078</v>
      </c>
      <c r="B57" t="s">
        <v>15</v>
      </c>
      <c r="C57">
        <v>4962.03</v>
      </c>
      <c r="D57">
        <v>766</v>
      </c>
      <c r="E57">
        <v>40</v>
      </c>
      <c r="F57">
        <v>21</v>
      </c>
      <c r="G57">
        <v>22</v>
      </c>
      <c r="H57" s="2">
        <f t="shared" si="12"/>
        <v>2.8720626631853787E-2</v>
      </c>
      <c r="I57" s="2">
        <f t="shared" si="13"/>
        <v>0.55000000000000004</v>
      </c>
      <c r="J57" s="2">
        <f t="shared" si="14"/>
        <v>1.0476190476190477</v>
      </c>
      <c r="K57" s="3">
        <f t="shared" si="15"/>
        <v>124.05074999999999</v>
      </c>
      <c r="L57" s="3">
        <f t="shared" si="16"/>
        <v>236.28714285714284</v>
      </c>
      <c r="M57" s="3">
        <f t="shared" si="17"/>
        <v>225.54681818181817</v>
      </c>
      <c r="O57" s="1">
        <v>46078</v>
      </c>
      <c r="P57" t="s">
        <v>16</v>
      </c>
      <c r="Q57">
        <v>1130.02</v>
      </c>
      <c r="R57">
        <v>263</v>
      </c>
      <c r="S57">
        <v>28</v>
      </c>
      <c r="T57">
        <v>16</v>
      </c>
      <c r="U57">
        <v>20</v>
      </c>
      <c r="V57" s="2">
        <f t="shared" si="18"/>
        <v>7.6045627376425853E-2</v>
      </c>
      <c r="W57" s="2">
        <f t="shared" si="19"/>
        <v>0.7142857142857143</v>
      </c>
      <c r="X57" s="2">
        <f t="shared" si="20"/>
        <v>1.25</v>
      </c>
      <c r="Y57" s="3">
        <f t="shared" si="21"/>
        <v>40.357857142857142</v>
      </c>
      <c r="Z57" s="3">
        <f t="shared" si="22"/>
        <v>70.626249999999999</v>
      </c>
      <c r="AA57" s="3">
        <f t="shared" si="23"/>
        <v>56.500999999999998</v>
      </c>
    </row>
    <row r="58" spans="1:27" hidden="1" x14ac:dyDescent="0.25">
      <c r="A58" s="1">
        <v>46079</v>
      </c>
      <c r="B58" t="s">
        <v>15</v>
      </c>
      <c r="C58">
        <v>4458.87</v>
      </c>
      <c r="D58">
        <v>655</v>
      </c>
      <c r="E58">
        <v>37</v>
      </c>
      <c r="F58">
        <v>16</v>
      </c>
      <c r="G58">
        <v>23</v>
      </c>
      <c r="H58" s="2">
        <f t="shared" si="12"/>
        <v>3.5114503816793895E-2</v>
      </c>
      <c r="I58" s="2">
        <f t="shared" si="13"/>
        <v>0.6216216216216216</v>
      </c>
      <c r="J58" s="2">
        <f t="shared" si="14"/>
        <v>1.4375</v>
      </c>
      <c r="K58" s="3">
        <f t="shared" si="15"/>
        <v>120.50999999999999</v>
      </c>
      <c r="L58" s="3">
        <f t="shared" si="16"/>
        <v>278.67937499999999</v>
      </c>
      <c r="M58" s="3">
        <f t="shared" si="17"/>
        <v>193.86391304347825</v>
      </c>
      <c r="O58" s="1">
        <v>46079</v>
      </c>
      <c r="P58" t="s">
        <v>16</v>
      </c>
      <c r="Q58">
        <v>791</v>
      </c>
      <c r="R58">
        <v>252</v>
      </c>
      <c r="S58">
        <v>34</v>
      </c>
      <c r="T58">
        <v>14</v>
      </c>
      <c r="U58">
        <v>18</v>
      </c>
      <c r="V58" s="2">
        <f t="shared" si="18"/>
        <v>7.1428571428571425E-2</v>
      </c>
      <c r="W58" s="2">
        <f t="shared" si="19"/>
        <v>0.52941176470588236</v>
      </c>
      <c r="X58" s="2">
        <f t="shared" si="20"/>
        <v>1.2857142857142858</v>
      </c>
      <c r="Y58" s="3">
        <f t="shared" si="21"/>
        <v>23.264705882352942</v>
      </c>
      <c r="Z58" s="3">
        <f t="shared" si="22"/>
        <v>56.5</v>
      </c>
      <c r="AA58" s="3">
        <f t="shared" si="23"/>
        <v>43.944444444444443</v>
      </c>
    </row>
    <row r="59" spans="1:27" hidden="1" x14ac:dyDescent="0.25">
      <c r="A59" s="1">
        <v>46080</v>
      </c>
      <c r="B59" t="s">
        <v>15</v>
      </c>
      <c r="C59">
        <v>4130.92</v>
      </c>
      <c r="D59">
        <v>613</v>
      </c>
      <c r="E59">
        <v>41</v>
      </c>
      <c r="F59">
        <v>23</v>
      </c>
      <c r="G59">
        <v>18</v>
      </c>
      <c r="H59" s="2">
        <f t="shared" si="12"/>
        <v>2.936378466557912E-2</v>
      </c>
      <c r="I59" s="2">
        <f t="shared" si="13"/>
        <v>0.43902439024390244</v>
      </c>
      <c r="J59" s="2">
        <f t="shared" si="14"/>
        <v>0.78260869565217395</v>
      </c>
      <c r="K59" s="3">
        <f t="shared" si="15"/>
        <v>100.75414634146341</v>
      </c>
      <c r="L59" s="3">
        <f t="shared" si="16"/>
        <v>179.60521739130436</v>
      </c>
      <c r="M59" s="3">
        <f t="shared" si="17"/>
        <v>229.49555555555557</v>
      </c>
      <c r="O59" s="1">
        <v>46080</v>
      </c>
      <c r="P59" t="s">
        <v>16</v>
      </c>
      <c r="Q59">
        <v>913.4</v>
      </c>
      <c r="R59">
        <v>236</v>
      </c>
      <c r="S59">
        <v>22</v>
      </c>
      <c r="T59">
        <v>12</v>
      </c>
      <c r="U59">
        <v>13</v>
      </c>
      <c r="V59" s="2">
        <f t="shared" si="18"/>
        <v>5.5084745762711863E-2</v>
      </c>
      <c r="W59" s="2">
        <f t="shared" si="19"/>
        <v>0.59090909090909094</v>
      </c>
      <c r="X59" s="2">
        <f t="shared" si="20"/>
        <v>1.0833333333333333</v>
      </c>
      <c r="Y59" s="3">
        <f t="shared" si="21"/>
        <v>41.518181818181816</v>
      </c>
      <c r="Z59" s="3">
        <f t="shared" si="22"/>
        <v>76.11666666666666</v>
      </c>
      <c r="AA59" s="3">
        <f t="shared" si="23"/>
        <v>70.261538461538464</v>
      </c>
    </row>
    <row r="60" spans="1:27" hidden="1" x14ac:dyDescent="0.25">
      <c r="A60" s="1">
        <v>46081</v>
      </c>
      <c r="B60" t="s">
        <v>15</v>
      </c>
      <c r="C60">
        <v>3733.87</v>
      </c>
      <c r="D60">
        <v>605</v>
      </c>
      <c r="E60">
        <v>41</v>
      </c>
      <c r="F60">
        <v>18</v>
      </c>
      <c r="G60">
        <v>20</v>
      </c>
      <c r="H60" s="2">
        <f t="shared" si="12"/>
        <v>3.3057851239669422E-2</v>
      </c>
      <c r="I60" s="2">
        <f t="shared" si="13"/>
        <v>0.48780487804878048</v>
      </c>
      <c r="J60" s="2">
        <f t="shared" si="14"/>
        <v>1.1111111111111112</v>
      </c>
      <c r="K60" s="3">
        <f t="shared" si="15"/>
        <v>91.07</v>
      </c>
      <c r="L60" s="3">
        <f t="shared" si="16"/>
        <v>207.4372222222222</v>
      </c>
      <c r="M60" s="3">
        <f t="shared" si="17"/>
        <v>186.6935</v>
      </c>
      <c r="O60" s="1">
        <v>46081</v>
      </c>
      <c r="P60" t="s">
        <v>16</v>
      </c>
      <c r="Q60">
        <v>538.5</v>
      </c>
      <c r="R60">
        <v>142</v>
      </c>
      <c r="S60">
        <v>18</v>
      </c>
      <c r="T60">
        <v>8</v>
      </c>
      <c r="U60">
        <v>11</v>
      </c>
      <c r="V60" s="2">
        <f t="shared" si="18"/>
        <v>7.746478873239436E-2</v>
      </c>
      <c r="W60" s="2">
        <f t="shared" si="19"/>
        <v>0.61111111111111116</v>
      </c>
      <c r="X60" s="2">
        <f t="shared" si="20"/>
        <v>1.375</v>
      </c>
      <c r="Y60" s="3">
        <f t="shared" si="21"/>
        <v>29.916666666666668</v>
      </c>
      <c r="Z60" s="3">
        <f t="shared" si="22"/>
        <v>67.3125</v>
      </c>
      <c r="AA60" s="3">
        <f t="shared" si="23"/>
        <v>48.954545454545453</v>
      </c>
    </row>
    <row r="61" spans="1:27" hidden="1" x14ac:dyDescent="0.25">
      <c r="A61" s="1">
        <v>46082</v>
      </c>
      <c r="B61" t="s">
        <v>15</v>
      </c>
      <c r="C61">
        <v>3710.7999999999997</v>
      </c>
      <c r="D61">
        <v>634</v>
      </c>
      <c r="E61">
        <v>36</v>
      </c>
      <c r="F61">
        <v>22</v>
      </c>
      <c r="G61">
        <v>23</v>
      </c>
      <c r="H61" s="2">
        <f t="shared" si="12"/>
        <v>3.6277602523659309E-2</v>
      </c>
      <c r="I61" s="2">
        <f t="shared" si="13"/>
        <v>0.63888888888888884</v>
      </c>
      <c r="J61" s="2">
        <f t="shared" si="14"/>
        <v>1.0454545454545454</v>
      </c>
      <c r="K61" s="3">
        <f t="shared" si="15"/>
        <v>103.07777777777777</v>
      </c>
      <c r="L61" s="3">
        <f t="shared" si="16"/>
        <v>168.67272727272726</v>
      </c>
      <c r="M61" s="3">
        <f t="shared" si="17"/>
        <v>161.33913043478259</v>
      </c>
      <c r="O61" s="1">
        <v>46082</v>
      </c>
      <c r="P61" t="s">
        <v>16</v>
      </c>
      <c r="Q61">
        <v>640.21</v>
      </c>
      <c r="R61">
        <v>162</v>
      </c>
      <c r="S61">
        <v>13</v>
      </c>
      <c r="T61">
        <v>7</v>
      </c>
      <c r="U61">
        <v>10</v>
      </c>
      <c r="V61" s="2">
        <f t="shared" si="18"/>
        <v>6.1728395061728392E-2</v>
      </c>
      <c r="W61" s="2">
        <f t="shared" si="19"/>
        <v>0.76923076923076927</v>
      </c>
      <c r="X61" s="2">
        <f t="shared" si="20"/>
        <v>1.4285714285714286</v>
      </c>
      <c r="Y61" s="3">
        <f t="shared" si="21"/>
        <v>49.246923076923082</v>
      </c>
      <c r="Z61" s="3">
        <f t="shared" si="22"/>
        <v>91.458571428571432</v>
      </c>
      <c r="AA61" s="3">
        <f t="shared" si="23"/>
        <v>64.021000000000001</v>
      </c>
    </row>
    <row r="62" spans="1:27" hidden="1" x14ac:dyDescent="0.25">
      <c r="A62" s="1">
        <v>46083</v>
      </c>
      <c r="B62" t="s">
        <v>15</v>
      </c>
      <c r="C62">
        <v>3829.69</v>
      </c>
      <c r="D62">
        <v>653</v>
      </c>
      <c r="E62">
        <v>32</v>
      </c>
      <c r="F62">
        <v>12</v>
      </c>
      <c r="G62">
        <v>20</v>
      </c>
      <c r="H62" s="2">
        <f t="shared" si="12"/>
        <v>3.0627871362940276E-2</v>
      </c>
      <c r="I62" s="2">
        <f t="shared" si="13"/>
        <v>0.625</v>
      </c>
      <c r="J62" s="2">
        <f t="shared" si="14"/>
        <v>1.6666666666666667</v>
      </c>
      <c r="K62" s="3">
        <f t="shared" si="15"/>
        <v>119.6778125</v>
      </c>
      <c r="L62" s="3">
        <f t="shared" si="16"/>
        <v>319.14083333333332</v>
      </c>
      <c r="M62" s="3">
        <f t="shared" si="17"/>
        <v>191.4845</v>
      </c>
      <c r="O62" s="1">
        <v>46083</v>
      </c>
      <c r="P62" t="s">
        <v>16</v>
      </c>
      <c r="Q62">
        <v>675.56</v>
      </c>
      <c r="R62">
        <v>221</v>
      </c>
      <c r="S62">
        <v>37</v>
      </c>
      <c r="T62">
        <v>22</v>
      </c>
      <c r="U62">
        <v>13</v>
      </c>
      <c r="V62" s="2">
        <f t="shared" si="18"/>
        <v>5.8823529411764705E-2</v>
      </c>
      <c r="W62" s="2">
        <f t="shared" si="19"/>
        <v>0.35135135135135137</v>
      </c>
      <c r="X62" s="2">
        <f t="shared" si="20"/>
        <v>0.59090909090909094</v>
      </c>
      <c r="Y62" s="3">
        <f t="shared" si="21"/>
        <v>18.258378378378378</v>
      </c>
      <c r="Z62" s="3">
        <f t="shared" si="22"/>
        <v>30.707272727272724</v>
      </c>
      <c r="AA62" s="3">
        <f t="shared" si="23"/>
        <v>51.966153846153844</v>
      </c>
    </row>
    <row r="63" spans="1:27" hidden="1" x14ac:dyDescent="0.25">
      <c r="A63" s="1">
        <v>46084</v>
      </c>
      <c r="B63" t="s">
        <v>15</v>
      </c>
      <c r="C63">
        <v>4178.6500000000005</v>
      </c>
      <c r="D63">
        <v>673</v>
      </c>
      <c r="E63">
        <v>32</v>
      </c>
      <c r="F63">
        <v>16</v>
      </c>
      <c r="G63">
        <v>18</v>
      </c>
      <c r="H63" s="2">
        <f t="shared" si="12"/>
        <v>2.6745913818722138E-2</v>
      </c>
      <c r="I63" s="2">
        <f t="shared" si="13"/>
        <v>0.5625</v>
      </c>
      <c r="J63" s="2">
        <f t="shared" si="14"/>
        <v>1.125</v>
      </c>
      <c r="K63" s="3">
        <f t="shared" si="15"/>
        <v>130.58281250000002</v>
      </c>
      <c r="L63" s="3">
        <f t="shared" si="16"/>
        <v>261.16562500000003</v>
      </c>
      <c r="M63" s="3">
        <f t="shared" si="17"/>
        <v>232.14722222222224</v>
      </c>
      <c r="O63" s="1">
        <v>46084</v>
      </c>
      <c r="P63" t="s">
        <v>16</v>
      </c>
      <c r="Q63">
        <v>866.3599999999999</v>
      </c>
      <c r="R63">
        <v>258</v>
      </c>
      <c r="S63">
        <v>26</v>
      </c>
      <c r="T63">
        <v>15</v>
      </c>
      <c r="U63">
        <v>19</v>
      </c>
      <c r="V63" s="2">
        <f t="shared" si="18"/>
        <v>7.3643410852713184E-2</v>
      </c>
      <c r="W63" s="2">
        <f t="shared" si="19"/>
        <v>0.73076923076923073</v>
      </c>
      <c r="X63" s="2">
        <f t="shared" si="20"/>
        <v>1.2666666666666666</v>
      </c>
      <c r="Y63" s="3">
        <f t="shared" si="21"/>
        <v>33.321538461538459</v>
      </c>
      <c r="Z63" s="3">
        <f t="shared" si="22"/>
        <v>57.757333333333328</v>
      </c>
      <c r="AA63" s="3">
        <f t="shared" si="23"/>
        <v>45.5978947368421</v>
      </c>
    </row>
    <row r="64" spans="1:27" hidden="1" x14ac:dyDescent="0.25">
      <c r="A64" s="1">
        <v>46085</v>
      </c>
      <c r="B64" t="s">
        <v>15</v>
      </c>
      <c r="C64">
        <v>4343.16</v>
      </c>
      <c r="D64">
        <v>690</v>
      </c>
      <c r="E64">
        <v>39</v>
      </c>
      <c r="F64">
        <v>20</v>
      </c>
      <c r="G64">
        <v>19</v>
      </c>
      <c r="H64" s="2">
        <f t="shared" si="12"/>
        <v>2.753623188405797E-2</v>
      </c>
      <c r="I64" s="2">
        <f t="shared" si="13"/>
        <v>0.48717948717948717</v>
      </c>
      <c r="J64" s="2">
        <f t="shared" si="14"/>
        <v>0.95</v>
      </c>
      <c r="K64" s="3">
        <f t="shared" si="15"/>
        <v>111.36307692307692</v>
      </c>
      <c r="L64" s="3">
        <f t="shared" si="16"/>
        <v>217.15799999999999</v>
      </c>
      <c r="M64" s="3">
        <f t="shared" si="17"/>
        <v>228.58736842105262</v>
      </c>
      <c r="O64" s="1">
        <v>46085</v>
      </c>
      <c r="P64" t="s">
        <v>16</v>
      </c>
      <c r="Q64">
        <v>1042.73</v>
      </c>
      <c r="R64">
        <v>270</v>
      </c>
      <c r="S64">
        <v>27</v>
      </c>
      <c r="T64">
        <v>17</v>
      </c>
      <c r="U64">
        <v>19</v>
      </c>
      <c r="V64" s="2">
        <f t="shared" si="18"/>
        <v>7.0370370370370375E-2</v>
      </c>
      <c r="W64" s="2">
        <f t="shared" si="19"/>
        <v>0.70370370370370372</v>
      </c>
      <c r="X64" s="2">
        <f t="shared" si="20"/>
        <v>1.1176470588235294</v>
      </c>
      <c r="Y64" s="3">
        <f t="shared" si="21"/>
        <v>38.619629629629628</v>
      </c>
      <c r="Z64" s="3">
        <f t="shared" si="22"/>
        <v>61.337058823529411</v>
      </c>
      <c r="AA64" s="3">
        <f t="shared" si="23"/>
        <v>54.880526315789474</v>
      </c>
    </row>
    <row r="65" spans="1:27" hidden="1" x14ac:dyDescent="0.25">
      <c r="A65" s="1">
        <v>46086</v>
      </c>
      <c r="B65" t="s">
        <v>15</v>
      </c>
      <c r="C65">
        <v>4208.7000000000007</v>
      </c>
      <c r="D65">
        <v>690</v>
      </c>
      <c r="E65">
        <v>39</v>
      </c>
      <c r="F65">
        <v>20</v>
      </c>
      <c r="G65">
        <v>25</v>
      </c>
      <c r="H65" s="2">
        <f t="shared" si="12"/>
        <v>3.6231884057971016E-2</v>
      </c>
      <c r="I65" s="2">
        <f t="shared" si="13"/>
        <v>0.64102564102564108</v>
      </c>
      <c r="J65" s="2">
        <f t="shared" si="14"/>
        <v>1.25</v>
      </c>
      <c r="K65" s="3">
        <f t="shared" si="15"/>
        <v>107.91538461538464</v>
      </c>
      <c r="L65" s="3">
        <f t="shared" si="16"/>
        <v>210.43500000000003</v>
      </c>
      <c r="M65" s="3">
        <f t="shared" si="17"/>
        <v>168.34800000000004</v>
      </c>
      <c r="O65" s="1">
        <v>46086</v>
      </c>
      <c r="P65" t="s">
        <v>16</v>
      </c>
      <c r="Q65">
        <v>714.46</v>
      </c>
      <c r="R65">
        <v>230</v>
      </c>
      <c r="S65">
        <v>29</v>
      </c>
      <c r="T65">
        <v>12</v>
      </c>
      <c r="U65">
        <v>18</v>
      </c>
      <c r="V65" s="2">
        <f t="shared" si="18"/>
        <v>7.8260869565217397E-2</v>
      </c>
      <c r="W65" s="2">
        <f t="shared" si="19"/>
        <v>0.62068965517241381</v>
      </c>
      <c r="X65" s="2">
        <f t="shared" si="20"/>
        <v>1.5</v>
      </c>
      <c r="Y65" s="3">
        <f t="shared" si="21"/>
        <v>24.636551724137931</v>
      </c>
      <c r="Z65" s="3">
        <f t="shared" si="22"/>
        <v>59.538333333333334</v>
      </c>
      <c r="AA65" s="3">
        <f t="shared" si="23"/>
        <v>39.692222222222227</v>
      </c>
    </row>
    <row r="66" spans="1:27" hidden="1" x14ac:dyDescent="0.25">
      <c r="A66" s="1">
        <v>46087</v>
      </c>
      <c r="B66" t="s">
        <v>15</v>
      </c>
      <c r="C66">
        <v>2842.6099999999997</v>
      </c>
      <c r="D66">
        <v>555</v>
      </c>
      <c r="E66">
        <v>28</v>
      </c>
      <c r="F66">
        <v>10</v>
      </c>
      <c r="G66">
        <v>16</v>
      </c>
      <c r="H66" s="2">
        <f t="shared" ref="H66:H97" si="24">G66/D66</f>
        <v>2.8828828828828829E-2</v>
      </c>
      <c r="I66" s="2">
        <f t="shared" ref="I66:I94" si="25">G66/E66</f>
        <v>0.5714285714285714</v>
      </c>
      <c r="J66" s="2">
        <f t="shared" ref="J66:J94" si="26">G66/F66</f>
        <v>1.6</v>
      </c>
      <c r="K66" s="3">
        <f t="shared" ref="K66:K94" si="27">C66/E66</f>
        <v>101.5217857142857</v>
      </c>
      <c r="L66" s="3">
        <f t="shared" ref="L66:L94" si="28">C66/F66</f>
        <v>284.26099999999997</v>
      </c>
      <c r="M66" s="3">
        <f t="shared" ref="M66:M94" si="29">C66/G66</f>
        <v>177.66312499999998</v>
      </c>
      <c r="O66" s="1">
        <v>46087</v>
      </c>
      <c r="P66" t="s">
        <v>16</v>
      </c>
      <c r="Q66">
        <v>629.01</v>
      </c>
      <c r="R66">
        <v>173</v>
      </c>
      <c r="S66">
        <v>14</v>
      </c>
      <c r="T66">
        <v>10</v>
      </c>
      <c r="U66">
        <v>12</v>
      </c>
      <c r="V66" s="2">
        <f t="shared" ref="V66:V97" si="30">U66/R66</f>
        <v>6.9364161849710976E-2</v>
      </c>
      <c r="W66" s="2">
        <f t="shared" ref="W66:W94" si="31">U66/S66</f>
        <v>0.8571428571428571</v>
      </c>
      <c r="X66" s="2">
        <f t="shared" ref="X66:X94" si="32">U66/T66</f>
        <v>1.2</v>
      </c>
      <c r="Y66" s="3">
        <f t="shared" ref="Y66:Y94" si="33">Q66/S66</f>
        <v>44.929285714285712</v>
      </c>
      <c r="Z66" s="3">
        <f t="shared" ref="Z66:Z94" si="34">Q66/T66</f>
        <v>62.900999999999996</v>
      </c>
      <c r="AA66" s="3">
        <f t="shared" ref="AA66:AA94" si="35">Q66/U66</f>
        <v>52.417499999999997</v>
      </c>
    </row>
    <row r="67" spans="1:27" hidden="1" x14ac:dyDescent="0.25">
      <c r="A67" s="1">
        <v>46088</v>
      </c>
      <c r="B67" t="s">
        <v>15</v>
      </c>
      <c r="C67">
        <v>3369.22</v>
      </c>
      <c r="D67">
        <v>648</v>
      </c>
      <c r="E67">
        <v>21</v>
      </c>
      <c r="F67">
        <v>11</v>
      </c>
      <c r="G67">
        <v>14</v>
      </c>
      <c r="H67" s="2">
        <f t="shared" si="24"/>
        <v>2.1604938271604937E-2</v>
      </c>
      <c r="I67" s="2">
        <f t="shared" si="25"/>
        <v>0.66666666666666663</v>
      </c>
      <c r="J67" s="2">
        <f t="shared" si="26"/>
        <v>1.2727272727272727</v>
      </c>
      <c r="K67" s="3">
        <f t="shared" si="27"/>
        <v>160.43904761904761</v>
      </c>
      <c r="L67" s="3">
        <f t="shared" si="28"/>
        <v>306.29272727272723</v>
      </c>
      <c r="M67" s="3">
        <f t="shared" si="29"/>
        <v>240.65857142857141</v>
      </c>
      <c r="O67" s="1">
        <v>46088</v>
      </c>
      <c r="P67" t="s">
        <v>16</v>
      </c>
      <c r="Q67">
        <v>528.82999999999993</v>
      </c>
      <c r="R67">
        <v>136</v>
      </c>
      <c r="S67">
        <v>20</v>
      </c>
      <c r="T67">
        <v>9</v>
      </c>
      <c r="U67">
        <v>17</v>
      </c>
      <c r="V67" s="2">
        <f t="shared" si="30"/>
        <v>0.125</v>
      </c>
      <c r="W67" s="2">
        <f t="shared" si="31"/>
        <v>0.85</v>
      </c>
      <c r="X67" s="2">
        <f t="shared" si="32"/>
        <v>1.8888888888888888</v>
      </c>
      <c r="Y67" s="3">
        <f t="shared" si="33"/>
        <v>26.441499999999998</v>
      </c>
      <c r="Z67" s="3">
        <f t="shared" si="34"/>
        <v>58.758888888888883</v>
      </c>
      <c r="AA67" s="3">
        <f t="shared" si="35"/>
        <v>31.107647058823524</v>
      </c>
    </row>
    <row r="68" spans="1:27" hidden="1" x14ac:dyDescent="0.25">
      <c r="A68" s="1">
        <v>46089</v>
      </c>
      <c r="B68" t="s">
        <v>15</v>
      </c>
      <c r="C68">
        <v>3718.8</v>
      </c>
      <c r="D68">
        <v>737</v>
      </c>
      <c r="E68">
        <v>23</v>
      </c>
      <c r="F68">
        <v>11</v>
      </c>
      <c r="G68">
        <v>19</v>
      </c>
      <c r="H68" s="2">
        <f t="shared" si="24"/>
        <v>2.5780189959294438E-2</v>
      </c>
      <c r="I68" s="2">
        <f t="shared" si="25"/>
        <v>0.82608695652173914</v>
      </c>
      <c r="J68" s="2">
        <f t="shared" si="26"/>
        <v>1.7272727272727273</v>
      </c>
      <c r="K68" s="3">
        <f t="shared" si="27"/>
        <v>161.68695652173915</v>
      </c>
      <c r="L68" s="3">
        <f t="shared" si="28"/>
        <v>338.07272727272726</v>
      </c>
      <c r="M68" s="3">
        <f t="shared" si="29"/>
        <v>195.72631578947369</v>
      </c>
      <c r="O68" s="1">
        <v>46089</v>
      </c>
      <c r="P68" t="s">
        <v>16</v>
      </c>
      <c r="Q68">
        <v>589.52</v>
      </c>
      <c r="R68">
        <v>142</v>
      </c>
      <c r="S68">
        <v>18</v>
      </c>
      <c r="T68">
        <v>8</v>
      </c>
      <c r="U68">
        <v>12</v>
      </c>
      <c r="V68" s="2">
        <f t="shared" si="30"/>
        <v>8.4507042253521125E-2</v>
      </c>
      <c r="W68" s="2">
        <f t="shared" si="31"/>
        <v>0.66666666666666663</v>
      </c>
      <c r="X68" s="2">
        <f t="shared" si="32"/>
        <v>1.5</v>
      </c>
      <c r="Y68" s="3">
        <f t="shared" si="33"/>
        <v>32.751111111111108</v>
      </c>
      <c r="Z68" s="3">
        <f t="shared" si="34"/>
        <v>73.69</v>
      </c>
      <c r="AA68" s="3">
        <f t="shared" si="35"/>
        <v>49.126666666666665</v>
      </c>
    </row>
    <row r="69" spans="1:27" hidden="1" x14ac:dyDescent="0.25">
      <c r="A69" s="1">
        <v>46090</v>
      </c>
      <c r="B69" t="s">
        <v>15</v>
      </c>
      <c r="C69">
        <v>3685.8099999999995</v>
      </c>
      <c r="D69">
        <v>705</v>
      </c>
      <c r="E69">
        <v>40</v>
      </c>
      <c r="F69">
        <v>26</v>
      </c>
      <c r="G69">
        <v>23</v>
      </c>
      <c r="H69" s="2">
        <f t="shared" si="24"/>
        <v>3.2624113475177303E-2</v>
      </c>
      <c r="I69" s="2">
        <f t="shared" si="25"/>
        <v>0.57499999999999996</v>
      </c>
      <c r="J69" s="2">
        <f t="shared" si="26"/>
        <v>0.88461538461538458</v>
      </c>
      <c r="K69" s="3">
        <f t="shared" si="27"/>
        <v>92.14524999999999</v>
      </c>
      <c r="L69" s="3">
        <f t="shared" si="28"/>
        <v>141.76192307692307</v>
      </c>
      <c r="M69" s="3">
        <f t="shared" si="29"/>
        <v>160.25260869565216</v>
      </c>
      <c r="O69" s="1">
        <v>46090</v>
      </c>
      <c r="P69" t="s">
        <v>16</v>
      </c>
      <c r="Q69">
        <v>875.77</v>
      </c>
      <c r="R69">
        <v>233</v>
      </c>
      <c r="S69">
        <v>30</v>
      </c>
      <c r="T69">
        <v>17</v>
      </c>
      <c r="U69">
        <v>16</v>
      </c>
      <c r="V69" s="2">
        <f t="shared" si="30"/>
        <v>6.8669527896995708E-2</v>
      </c>
      <c r="W69" s="2">
        <f t="shared" si="31"/>
        <v>0.53333333333333333</v>
      </c>
      <c r="X69" s="2">
        <f t="shared" si="32"/>
        <v>0.94117647058823528</v>
      </c>
      <c r="Y69" s="3">
        <f t="shared" si="33"/>
        <v>29.192333333333334</v>
      </c>
      <c r="Z69" s="3">
        <f t="shared" si="34"/>
        <v>51.515882352941176</v>
      </c>
      <c r="AA69" s="3">
        <f t="shared" si="35"/>
        <v>54.735624999999999</v>
      </c>
    </row>
    <row r="70" spans="1:27" hidden="1" x14ac:dyDescent="0.25">
      <c r="A70" s="1">
        <v>46091</v>
      </c>
      <c r="B70" t="s">
        <v>15</v>
      </c>
      <c r="C70">
        <v>4296.17</v>
      </c>
      <c r="D70">
        <v>727</v>
      </c>
      <c r="E70">
        <v>44</v>
      </c>
      <c r="F70">
        <v>16</v>
      </c>
      <c r="G70">
        <v>26</v>
      </c>
      <c r="H70" s="2">
        <f t="shared" si="24"/>
        <v>3.5763411279229711E-2</v>
      </c>
      <c r="I70" s="2">
        <f t="shared" si="25"/>
        <v>0.59090909090909094</v>
      </c>
      <c r="J70" s="2">
        <f t="shared" si="26"/>
        <v>1.625</v>
      </c>
      <c r="K70" s="3">
        <f t="shared" si="27"/>
        <v>97.640227272727273</v>
      </c>
      <c r="L70" s="3">
        <f t="shared" si="28"/>
        <v>268.510625</v>
      </c>
      <c r="M70" s="3">
        <f t="shared" si="29"/>
        <v>165.2373076923077</v>
      </c>
      <c r="O70" s="1">
        <v>46091</v>
      </c>
      <c r="P70" t="s">
        <v>16</v>
      </c>
      <c r="Q70">
        <v>741.83999999999992</v>
      </c>
      <c r="R70">
        <v>205</v>
      </c>
      <c r="S70">
        <v>28</v>
      </c>
      <c r="T70">
        <v>12</v>
      </c>
      <c r="U70">
        <v>14</v>
      </c>
      <c r="V70" s="2">
        <f t="shared" si="30"/>
        <v>6.8292682926829273E-2</v>
      </c>
      <c r="W70" s="2">
        <f t="shared" si="31"/>
        <v>0.5</v>
      </c>
      <c r="X70" s="2">
        <f t="shared" si="32"/>
        <v>1.1666666666666667</v>
      </c>
      <c r="Y70" s="3">
        <f t="shared" si="33"/>
        <v>26.494285714285713</v>
      </c>
      <c r="Z70" s="3">
        <f t="shared" si="34"/>
        <v>61.819999999999993</v>
      </c>
      <c r="AA70" s="3">
        <f t="shared" si="35"/>
        <v>52.988571428571426</v>
      </c>
    </row>
    <row r="71" spans="1:27" hidden="1" x14ac:dyDescent="0.25">
      <c r="A71" s="1">
        <v>46092</v>
      </c>
      <c r="B71" t="s">
        <v>15</v>
      </c>
      <c r="C71">
        <v>3796.3700000000008</v>
      </c>
      <c r="D71">
        <v>649</v>
      </c>
      <c r="E71">
        <v>41</v>
      </c>
      <c r="F71">
        <v>19</v>
      </c>
      <c r="G71">
        <v>19</v>
      </c>
      <c r="H71" s="2">
        <f t="shared" si="24"/>
        <v>2.9275808936825885E-2</v>
      </c>
      <c r="I71" s="2">
        <f t="shared" si="25"/>
        <v>0.46341463414634149</v>
      </c>
      <c r="J71" s="2">
        <f t="shared" si="26"/>
        <v>1</v>
      </c>
      <c r="K71" s="3">
        <f t="shared" si="27"/>
        <v>92.594390243902453</v>
      </c>
      <c r="L71" s="3">
        <f t="shared" si="28"/>
        <v>199.80894736842109</v>
      </c>
      <c r="M71" s="3">
        <f t="shared" si="29"/>
        <v>199.80894736842109</v>
      </c>
      <c r="O71" s="1">
        <v>46092</v>
      </c>
      <c r="P71" t="s">
        <v>16</v>
      </c>
      <c r="Q71">
        <v>850.56</v>
      </c>
      <c r="R71">
        <v>269</v>
      </c>
      <c r="S71">
        <v>34</v>
      </c>
      <c r="T71">
        <v>20</v>
      </c>
      <c r="U71">
        <v>24</v>
      </c>
      <c r="V71" s="2">
        <f t="shared" si="30"/>
        <v>8.9219330855018583E-2</v>
      </c>
      <c r="W71" s="2">
        <f t="shared" si="31"/>
        <v>0.70588235294117652</v>
      </c>
      <c r="X71" s="2">
        <f t="shared" si="32"/>
        <v>1.2</v>
      </c>
      <c r="Y71" s="3">
        <f t="shared" si="33"/>
        <v>25.016470588235293</v>
      </c>
      <c r="Z71" s="3">
        <f t="shared" si="34"/>
        <v>42.527999999999999</v>
      </c>
      <c r="AA71" s="3">
        <f t="shared" si="35"/>
        <v>35.44</v>
      </c>
    </row>
    <row r="72" spans="1:27" hidden="1" x14ac:dyDescent="0.25">
      <c r="A72" s="1">
        <v>46093</v>
      </c>
      <c r="B72" t="s">
        <v>15</v>
      </c>
      <c r="C72">
        <v>3837.6600000000008</v>
      </c>
      <c r="D72">
        <v>667</v>
      </c>
      <c r="E72">
        <v>45</v>
      </c>
      <c r="F72">
        <v>17</v>
      </c>
      <c r="G72">
        <v>16</v>
      </c>
      <c r="H72" s="2">
        <f t="shared" si="24"/>
        <v>2.3988005997001498E-2</v>
      </c>
      <c r="I72" s="2">
        <f t="shared" si="25"/>
        <v>0.35555555555555557</v>
      </c>
      <c r="J72" s="2">
        <f t="shared" si="26"/>
        <v>0.94117647058823528</v>
      </c>
      <c r="K72" s="3">
        <f t="shared" si="27"/>
        <v>85.28133333333335</v>
      </c>
      <c r="L72" s="3">
        <f t="shared" si="28"/>
        <v>225.74470588235297</v>
      </c>
      <c r="M72" s="3">
        <f t="shared" si="29"/>
        <v>239.85375000000005</v>
      </c>
      <c r="O72" s="1">
        <v>46093</v>
      </c>
      <c r="P72" t="s">
        <v>16</v>
      </c>
      <c r="Q72">
        <v>727.7</v>
      </c>
      <c r="R72">
        <v>234</v>
      </c>
      <c r="S72">
        <v>37</v>
      </c>
      <c r="T72">
        <v>21</v>
      </c>
      <c r="U72">
        <v>12</v>
      </c>
      <c r="V72" s="2">
        <f t="shared" si="30"/>
        <v>5.128205128205128E-2</v>
      </c>
      <c r="W72" s="2">
        <f t="shared" si="31"/>
        <v>0.32432432432432434</v>
      </c>
      <c r="X72" s="2">
        <f t="shared" si="32"/>
        <v>0.5714285714285714</v>
      </c>
      <c r="Y72" s="3">
        <f t="shared" si="33"/>
        <v>19.66756756756757</v>
      </c>
      <c r="Z72" s="3">
        <f t="shared" si="34"/>
        <v>34.652380952380952</v>
      </c>
      <c r="AA72" s="3">
        <f t="shared" si="35"/>
        <v>60.641666666666673</v>
      </c>
    </row>
    <row r="73" spans="1:27" hidden="1" x14ac:dyDescent="0.25">
      <c r="A73" s="1">
        <v>46094</v>
      </c>
      <c r="B73" t="s">
        <v>15</v>
      </c>
      <c r="C73">
        <v>3584.9900000000002</v>
      </c>
      <c r="D73">
        <v>619</v>
      </c>
      <c r="E73">
        <v>22</v>
      </c>
      <c r="F73">
        <v>17</v>
      </c>
      <c r="G73">
        <v>15</v>
      </c>
      <c r="H73" s="2">
        <f t="shared" si="24"/>
        <v>2.4232633279483037E-2</v>
      </c>
      <c r="I73" s="2">
        <f t="shared" si="25"/>
        <v>0.68181818181818177</v>
      </c>
      <c r="J73" s="2">
        <f t="shared" si="26"/>
        <v>0.88235294117647056</v>
      </c>
      <c r="K73" s="3">
        <f t="shared" si="27"/>
        <v>162.95409090909092</v>
      </c>
      <c r="L73" s="3">
        <f t="shared" si="28"/>
        <v>210.88176470588238</v>
      </c>
      <c r="M73" s="3">
        <f t="shared" si="29"/>
        <v>238.99933333333334</v>
      </c>
      <c r="O73" s="1">
        <v>46094</v>
      </c>
      <c r="P73" t="s">
        <v>16</v>
      </c>
      <c r="Q73">
        <v>491.9</v>
      </c>
      <c r="R73">
        <v>190</v>
      </c>
      <c r="S73">
        <v>31</v>
      </c>
      <c r="T73">
        <v>16</v>
      </c>
      <c r="U73">
        <v>22</v>
      </c>
      <c r="V73" s="2">
        <f t="shared" si="30"/>
        <v>0.11578947368421053</v>
      </c>
      <c r="W73" s="2">
        <f t="shared" si="31"/>
        <v>0.70967741935483875</v>
      </c>
      <c r="X73" s="2">
        <f t="shared" si="32"/>
        <v>1.375</v>
      </c>
      <c r="Y73" s="3">
        <f t="shared" si="33"/>
        <v>15.86774193548387</v>
      </c>
      <c r="Z73" s="3">
        <f t="shared" si="34"/>
        <v>30.743749999999999</v>
      </c>
      <c r="AA73" s="3">
        <f t="shared" si="35"/>
        <v>22.359090909090909</v>
      </c>
    </row>
    <row r="74" spans="1:27" hidden="1" x14ac:dyDescent="0.25">
      <c r="A74" s="1">
        <v>46095</v>
      </c>
      <c r="B74" t="s">
        <v>15</v>
      </c>
      <c r="C74">
        <v>3471.85</v>
      </c>
      <c r="D74">
        <v>665</v>
      </c>
      <c r="E74">
        <v>26</v>
      </c>
      <c r="F74">
        <v>11</v>
      </c>
      <c r="G74">
        <v>12</v>
      </c>
      <c r="H74" s="2">
        <f t="shared" si="24"/>
        <v>1.8045112781954888E-2</v>
      </c>
      <c r="I74" s="2">
        <f t="shared" si="25"/>
        <v>0.46153846153846156</v>
      </c>
      <c r="J74" s="2">
        <f t="shared" si="26"/>
        <v>1.0909090909090908</v>
      </c>
      <c r="K74" s="3">
        <f t="shared" si="27"/>
        <v>133.53269230769232</v>
      </c>
      <c r="L74" s="3">
        <f t="shared" si="28"/>
        <v>315.62272727272727</v>
      </c>
      <c r="M74" s="3">
        <f t="shared" si="29"/>
        <v>289.32083333333333</v>
      </c>
      <c r="O74" s="1">
        <v>46095</v>
      </c>
      <c r="P74" t="s">
        <v>16</v>
      </c>
      <c r="Q74">
        <v>333.02</v>
      </c>
      <c r="R74">
        <v>116</v>
      </c>
      <c r="S74">
        <v>17</v>
      </c>
      <c r="T74">
        <v>6</v>
      </c>
      <c r="U74">
        <v>11</v>
      </c>
      <c r="V74" s="2">
        <f t="shared" si="30"/>
        <v>9.4827586206896547E-2</v>
      </c>
      <c r="W74" s="2">
        <f t="shared" si="31"/>
        <v>0.6470588235294118</v>
      </c>
      <c r="X74" s="2">
        <f t="shared" si="32"/>
        <v>1.8333333333333333</v>
      </c>
      <c r="Y74" s="3">
        <f t="shared" si="33"/>
        <v>19.589411764705883</v>
      </c>
      <c r="Z74" s="3">
        <f t="shared" si="34"/>
        <v>55.50333333333333</v>
      </c>
      <c r="AA74" s="3">
        <f t="shared" si="35"/>
        <v>30.274545454545454</v>
      </c>
    </row>
    <row r="75" spans="1:27" x14ac:dyDescent="0.25">
      <c r="A75" s="4">
        <v>46096</v>
      </c>
      <c r="B75" s="5" t="s">
        <v>15</v>
      </c>
      <c r="C75" s="5">
        <v>3643.8499999999995</v>
      </c>
      <c r="D75" s="5">
        <v>692</v>
      </c>
      <c r="E75" s="5">
        <v>36</v>
      </c>
      <c r="F75" s="5">
        <v>17</v>
      </c>
      <c r="G75" s="5">
        <v>22</v>
      </c>
      <c r="H75" s="6">
        <f t="shared" si="24"/>
        <v>3.1791907514450865E-2</v>
      </c>
      <c r="I75" s="6">
        <f t="shared" si="25"/>
        <v>0.61111111111111116</v>
      </c>
      <c r="J75" s="6">
        <f t="shared" si="26"/>
        <v>1.2941176470588236</v>
      </c>
      <c r="K75" s="7">
        <f t="shared" si="27"/>
        <v>101.21805555555554</v>
      </c>
      <c r="L75" s="7">
        <f t="shared" si="28"/>
        <v>214.34411764705879</v>
      </c>
      <c r="M75" s="7">
        <f t="shared" si="29"/>
        <v>165.62954545454542</v>
      </c>
      <c r="N75" s="5"/>
      <c r="O75" s="8">
        <v>46096</v>
      </c>
      <c r="P75" s="5" t="s">
        <v>16</v>
      </c>
      <c r="Q75" s="5">
        <v>518.06999999999994</v>
      </c>
      <c r="R75" s="5">
        <v>159</v>
      </c>
      <c r="S75" s="5">
        <v>22</v>
      </c>
      <c r="T75" s="5">
        <v>11</v>
      </c>
      <c r="U75" s="5">
        <v>11</v>
      </c>
      <c r="V75" s="6">
        <f t="shared" si="30"/>
        <v>6.9182389937106917E-2</v>
      </c>
      <c r="W75" s="6">
        <f t="shared" si="31"/>
        <v>0.5</v>
      </c>
      <c r="X75" s="6">
        <f t="shared" si="32"/>
        <v>1</v>
      </c>
      <c r="Y75" s="7">
        <f t="shared" si="33"/>
        <v>23.548636363636362</v>
      </c>
      <c r="Z75" s="7">
        <f t="shared" si="34"/>
        <v>47.097272727272724</v>
      </c>
      <c r="AA75" s="9">
        <f t="shared" si="35"/>
        <v>47.097272727272724</v>
      </c>
    </row>
    <row r="76" spans="1:27" x14ac:dyDescent="0.25">
      <c r="A76" s="10">
        <v>46097</v>
      </c>
      <c r="B76" t="s">
        <v>15</v>
      </c>
      <c r="C76">
        <v>3666.1899999999991</v>
      </c>
      <c r="D76">
        <v>670</v>
      </c>
      <c r="E76">
        <v>37</v>
      </c>
      <c r="F76">
        <v>20</v>
      </c>
      <c r="G76">
        <v>22</v>
      </c>
      <c r="H76" s="11">
        <f t="shared" si="24"/>
        <v>3.2835820895522387E-2</v>
      </c>
      <c r="I76" s="11">
        <f t="shared" si="25"/>
        <v>0.59459459459459463</v>
      </c>
      <c r="J76" s="11">
        <f t="shared" si="26"/>
        <v>1.1000000000000001</v>
      </c>
      <c r="K76" s="3">
        <f t="shared" si="27"/>
        <v>99.086216216216187</v>
      </c>
      <c r="L76" s="3">
        <f t="shared" si="28"/>
        <v>183.30949999999996</v>
      </c>
      <c r="M76" s="3">
        <f t="shared" si="29"/>
        <v>166.64499999999995</v>
      </c>
      <c r="O76" s="1">
        <v>46097</v>
      </c>
      <c r="P76" t="s">
        <v>16</v>
      </c>
      <c r="Q76">
        <v>741.85</v>
      </c>
      <c r="R76">
        <v>239</v>
      </c>
      <c r="S76">
        <v>32</v>
      </c>
      <c r="T76">
        <v>19</v>
      </c>
      <c r="U76">
        <v>21</v>
      </c>
      <c r="V76" s="11">
        <f t="shared" si="30"/>
        <v>8.7866108786610872E-2</v>
      </c>
      <c r="W76" s="11">
        <f t="shared" si="31"/>
        <v>0.65625</v>
      </c>
      <c r="X76" s="11">
        <f t="shared" si="32"/>
        <v>1.1052631578947369</v>
      </c>
      <c r="Y76" s="3">
        <f t="shared" si="33"/>
        <v>23.182812500000001</v>
      </c>
      <c r="Z76" s="3">
        <f t="shared" si="34"/>
        <v>39.044736842105266</v>
      </c>
      <c r="AA76" s="12">
        <f t="shared" si="35"/>
        <v>35.326190476190476</v>
      </c>
    </row>
    <row r="77" spans="1:27" x14ac:dyDescent="0.25">
      <c r="A77" s="10">
        <v>46098</v>
      </c>
      <c r="B77" t="s">
        <v>15</v>
      </c>
      <c r="C77">
        <v>3870.17</v>
      </c>
      <c r="D77">
        <v>675</v>
      </c>
      <c r="E77">
        <v>31</v>
      </c>
      <c r="F77">
        <v>16</v>
      </c>
      <c r="G77">
        <v>25</v>
      </c>
      <c r="H77" s="11">
        <f t="shared" si="24"/>
        <v>3.7037037037037035E-2</v>
      </c>
      <c r="I77" s="11">
        <f t="shared" si="25"/>
        <v>0.80645161290322576</v>
      </c>
      <c r="J77" s="11">
        <f t="shared" si="26"/>
        <v>1.5625</v>
      </c>
      <c r="K77" s="3">
        <f t="shared" si="27"/>
        <v>124.8441935483871</v>
      </c>
      <c r="L77" s="3">
        <f t="shared" si="28"/>
        <v>241.885625</v>
      </c>
      <c r="M77" s="3">
        <f t="shared" si="29"/>
        <v>154.80680000000001</v>
      </c>
      <c r="O77" s="1">
        <v>46098</v>
      </c>
      <c r="P77" t="s">
        <v>16</v>
      </c>
      <c r="Q77">
        <v>709.85</v>
      </c>
      <c r="R77">
        <v>228</v>
      </c>
      <c r="S77">
        <v>27</v>
      </c>
      <c r="T77">
        <v>12</v>
      </c>
      <c r="U77">
        <v>12</v>
      </c>
      <c r="V77" s="11">
        <f t="shared" si="30"/>
        <v>5.2631578947368418E-2</v>
      </c>
      <c r="W77" s="11">
        <f t="shared" si="31"/>
        <v>0.44444444444444442</v>
      </c>
      <c r="X77" s="11">
        <f t="shared" si="32"/>
        <v>1</v>
      </c>
      <c r="Y77" s="3">
        <f t="shared" si="33"/>
        <v>26.290740740740741</v>
      </c>
      <c r="Z77" s="3">
        <f t="shared" si="34"/>
        <v>59.154166666666669</v>
      </c>
      <c r="AA77" s="12">
        <f t="shared" si="35"/>
        <v>59.154166666666669</v>
      </c>
    </row>
    <row r="78" spans="1:27" x14ac:dyDescent="0.25">
      <c r="A78" s="10">
        <v>46099</v>
      </c>
      <c r="B78" t="s">
        <v>15</v>
      </c>
      <c r="C78">
        <v>4195.3500000000004</v>
      </c>
      <c r="D78">
        <v>689</v>
      </c>
      <c r="E78">
        <v>37</v>
      </c>
      <c r="F78">
        <v>23</v>
      </c>
      <c r="G78">
        <v>25</v>
      </c>
      <c r="H78" s="11">
        <f t="shared" si="24"/>
        <v>3.6284470246734396E-2</v>
      </c>
      <c r="I78" s="11">
        <f t="shared" si="25"/>
        <v>0.67567567567567566</v>
      </c>
      <c r="J78" s="11">
        <f t="shared" si="26"/>
        <v>1.0869565217391304</v>
      </c>
      <c r="K78" s="3">
        <f t="shared" si="27"/>
        <v>113.38783783783785</v>
      </c>
      <c r="L78" s="3">
        <f t="shared" si="28"/>
        <v>182.40652173913045</v>
      </c>
      <c r="M78" s="3">
        <f t="shared" si="29"/>
        <v>167.81400000000002</v>
      </c>
      <c r="O78" s="1">
        <v>46099</v>
      </c>
      <c r="P78" t="s">
        <v>16</v>
      </c>
      <c r="Q78">
        <v>645.23</v>
      </c>
      <c r="R78">
        <v>229</v>
      </c>
      <c r="S78">
        <v>29</v>
      </c>
      <c r="T78">
        <v>10</v>
      </c>
      <c r="U78">
        <v>20</v>
      </c>
      <c r="V78" s="11">
        <f t="shared" si="30"/>
        <v>8.7336244541484712E-2</v>
      </c>
      <c r="W78" s="11">
        <f t="shared" si="31"/>
        <v>0.68965517241379315</v>
      </c>
      <c r="X78" s="11">
        <f t="shared" si="32"/>
        <v>2</v>
      </c>
      <c r="Y78" s="3">
        <f t="shared" si="33"/>
        <v>22.249310344827588</v>
      </c>
      <c r="Z78" s="3">
        <f t="shared" si="34"/>
        <v>64.522999999999996</v>
      </c>
      <c r="AA78" s="12">
        <f t="shared" si="35"/>
        <v>32.261499999999998</v>
      </c>
    </row>
    <row r="79" spans="1:27" x14ac:dyDescent="0.25">
      <c r="A79" s="10">
        <v>46100</v>
      </c>
      <c r="B79" t="s">
        <v>15</v>
      </c>
      <c r="C79">
        <v>2762.1900000000005</v>
      </c>
      <c r="D79">
        <v>538</v>
      </c>
      <c r="E79">
        <v>25</v>
      </c>
      <c r="F79">
        <v>13</v>
      </c>
      <c r="G79">
        <v>13</v>
      </c>
      <c r="H79" s="11">
        <f t="shared" si="24"/>
        <v>2.4163568773234202E-2</v>
      </c>
      <c r="I79" s="11">
        <f t="shared" si="25"/>
        <v>0.52</v>
      </c>
      <c r="J79" s="11">
        <f t="shared" si="26"/>
        <v>1</v>
      </c>
      <c r="K79" s="3">
        <f t="shared" si="27"/>
        <v>110.48760000000001</v>
      </c>
      <c r="L79" s="3">
        <f t="shared" si="28"/>
        <v>212.47615384615389</v>
      </c>
      <c r="M79" s="3">
        <f t="shared" si="29"/>
        <v>212.47615384615389</v>
      </c>
      <c r="O79" s="1">
        <v>46100</v>
      </c>
      <c r="P79" t="s">
        <v>16</v>
      </c>
      <c r="Q79">
        <v>678.36</v>
      </c>
      <c r="R79">
        <v>208</v>
      </c>
      <c r="S79">
        <v>31</v>
      </c>
      <c r="T79">
        <v>15</v>
      </c>
      <c r="U79">
        <v>19</v>
      </c>
      <c r="V79" s="11">
        <f t="shared" si="30"/>
        <v>9.1346153846153841E-2</v>
      </c>
      <c r="W79" s="11">
        <f t="shared" si="31"/>
        <v>0.61290322580645162</v>
      </c>
      <c r="X79" s="11">
        <f t="shared" si="32"/>
        <v>1.2666666666666666</v>
      </c>
      <c r="Y79" s="3">
        <f t="shared" si="33"/>
        <v>21.882580645161291</v>
      </c>
      <c r="Z79" s="3">
        <f t="shared" si="34"/>
        <v>45.224000000000004</v>
      </c>
      <c r="AA79" s="12">
        <f t="shared" si="35"/>
        <v>35.70315789473684</v>
      </c>
    </row>
    <row r="80" spans="1:27" x14ac:dyDescent="0.25">
      <c r="A80" s="10">
        <v>46101</v>
      </c>
      <c r="B80" t="s">
        <v>15</v>
      </c>
      <c r="C80">
        <v>2740.7200000000003</v>
      </c>
      <c r="D80">
        <v>555</v>
      </c>
      <c r="E80">
        <v>25</v>
      </c>
      <c r="F80">
        <v>16</v>
      </c>
      <c r="G80">
        <v>8</v>
      </c>
      <c r="H80" s="11">
        <f t="shared" si="24"/>
        <v>1.4414414414414415E-2</v>
      </c>
      <c r="I80" s="11">
        <f t="shared" si="25"/>
        <v>0.32</v>
      </c>
      <c r="J80" s="11">
        <f t="shared" si="26"/>
        <v>0.5</v>
      </c>
      <c r="K80" s="3">
        <f t="shared" si="27"/>
        <v>109.62880000000001</v>
      </c>
      <c r="L80" s="3">
        <f t="shared" si="28"/>
        <v>171.29500000000002</v>
      </c>
      <c r="M80" s="3">
        <f t="shared" si="29"/>
        <v>342.59000000000003</v>
      </c>
      <c r="O80" s="1">
        <v>46101</v>
      </c>
      <c r="P80" t="s">
        <v>16</v>
      </c>
      <c r="Q80">
        <v>687.75</v>
      </c>
      <c r="R80">
        <v>199</v>
      </c>
      <c r="S80">
        <v>33</v>
      </c>
      <c r="T80">
        <v>21</v>
      </c>
      <c r="U80">
        <v>21</v>
      </c>
      <c r="V80" s="11">
        <f t="shared" si="30"/>
        <v>0.10552763819095477</v>
      </c>
      <c r="W80" s="11">
        <f t="shared" si="31"/>
        <v>0.63636363636363635</v>
      </c>
      <c r="X80" s="11">
        <f t="shared" si="32"/>
        <v>1</v>
      </c>
      <c r="Y80" s="3">
        <f t="shared" si="33"/>
        <v>20.84090909090909</v>
      </c>
      <c r="Z80" s="3">
        <f t="shared" si="34"/>
        <v>32.75</v>
      </c>
      <c r="AA80" s="12">
        <f t="shared" si="35"/>
        <v>32.75</v>
      </c>
    </row>
    <row r="81" spans="1:27" x14ac:dyDescent="0.25">
      <c r="A81" s="10">
        <v>46102</v>
      </c>
      <c r="B81" t="s">
        <v>15</v>
      </c>
      <c r="C81">
        <v>2692.3899999999994</v>
      </c>
      <c r="D81">
        <v>574</v>
      </c>
      <c r="E81">
        <v>32</v>
      </c>
      <c r="F81">
        <v>15</v>
      </c>
      <c r="G81">
        <v>14</v>
      </c>
      <c r="H81" s="11">
        <f t="shared" si="24"/>
        <v>2.4390243902439025E-2</v>
      </c>
      <c r="I81" s="11">
        <f t="shared" si="25"/>
        <v>0.4375</v>
      </c>
      <c r="J81" s="11">
        <f t="shared" si="26"/>
        <v>0.93333333333333335</v>
      </c>
      <c r="K81" s="3">
        <f t="shared" si="27"/>
        <v>84.137187499999982</v>
      </c>
      <c r="L81" s="3">
        <f t="shared" si="28"/>
        <v>179.49266666666662</v>
      </c>
      <c r="M81" s="3">
        <f t="shared" si="29"/>
        <v>192.31357142857138</v>
      </c>
      <c r="O81" s="1">
        <v>46102</v>
      </c>
      <c r="P81" t="s">
        <v>16</v>
      </c>
      <c r="Q81">
        <v>459.73</v>
      </c>
      <c r="R81">
        <v>131</v>
      </c>
      <c r="S81">
        <v>20</v>
      </c>
      <c r="T81">
        <v>12</v>
      </c>
      <c r="U81">
        <v>15</v>
      </c>
      <c r="V81" s="11">
        <f t="shared" si="30"/>
        <v>0.11450381679389313</v>
      </c>
      <c r="W81" s="11">
        <f t="shared" si="31"/>
        <v>0.75</v>
      </c>
      <c r="X81" s="11">
        <f t="shared" si="32"/>
        <v>1.25</v>
      </c>
      <c r="Y81" s="3">
        <f t="shared" si="33"/>
        <v>22.986499999999999</v>
      </c>
      <c r="Z81" s="3">
        <f t="shared" si="34"/>
        <v>38.310833333333335</v>
      </c>
      <c r="AA81" s="12">
        <f t="shared" si="35"/>
        <v>30.648666666666667</v>
      </c>
    </row>
    <row r="82" spans="1:27" x14ac:dyDescent="0.25">
      <c r="A82" s="10">
        <v>46103</v>
      </c>
      <c r="B82" t="s">
        <v>15</v>
      </c>
      <c r="C82">
        <v>2877.8100000000004</v>
      </c>
      <c r="D82">
        <v>646</v>
      </c>
      <c r="E82">
        <v>30</v>
      </c>
      <c r="F82">
        <v>13</v>
      </c>
      <c r="G82">
        <v>16</v>
      </c>
      <c r="H82" s="11">
        <f t="shared" si="24"/>
        <v>2.4767801857585141E-2</v>
      </c>
      <c r="I82" s="11">
        <f t="shared" si="25"/>
        <v>0.53333333333333333</v>
      </c>
      <c r="J82" s="11">
        <f t="shared" si="26"/>
        <v>1.2307692307692308</v>
      </c>
      <c r="K82" s="3">
        <f t="shared" si="27"/>
        <v>95.927000000000007</v>
      </c>
      <c r="L82" s="3">
        <f t="shared" si="28"/>
        <v>221.37000000000003</v>
      </c>
      <c r="M82" s="3">
        <f t="shared" si="29"/>
        <v>179.86312500000003</v>
      </c>
      <c r="O82" s="1">
        <v>46103</v>
      </c>
      <c r="P82" t="s">
        <v>16</v>
      </c>
      <c r="Q82">
        <v>501.69999999999993</v>
      </c>
      <c r="R82">
        <v>164</v>
      </c>
      <c r="S82">
        <v>20</v>
      </c>
      <c r="T82">
        <v>13</v>
      </c>
      <c r="U82">
        <v>7</v>
      </c>
      <c r="V82" s="11">
        <f t="shared" si="30"/>
        <v>4.2682926829268296E-2</v>
      </c>
      <c r="W82" s="11">
        <f t="shared" si="31"/>
        <v>0.35</v>
      </c>
      <c r="X82" s="11">
        <f t="shared" si="32"/>
        <v>0.53846153846153844</v>
      </c>
      <c r="Y82" s="3">
        <f t="shared" si="33"/>
        <v>25.084999999999997</v>
      </c>
      <c r="Z82" s="3">
        <f t="shared" si="34"/>
        <v>38.592307692307685</v>
      </c>
      <c r="AA82" s="12">
        <f t="shared" si="35"/>
        <v>71.671428571428564</v>
      </c>
    </row>
    <row r="83" spans="1:27" x14ac:dyDescent="0.25">
      <c r="A83" s="10">
        <v>46104</v>
      </c>
      <c r="B83" t="s">
        <v>15</v>
      </c>
      <c r="C83">
        <v>3204.0499999999993</v>
      </c>
      <c r="D83">
        <v>628</v>
      </c>
      <c r="E83">
        <v>42</v>
      </c>
      <c r="F83">
        <v>23</v>
      </c>
      <c r="G83">
        <v>25</v>
      </c>
      <c r="H83" s="11">
        <f t="shared" si="24"/>
        <v>3.9808917197452227E-2</v>
      </c>
      <c r="I83" s="11">
        <f t="shared" si="25"/>
        <v>0.59523809523809523</v>
      </c>
      <c r="J83" s="11">
        <f t="shared" si="26"/>
        <v>1.0869565217391304</v>
      </c>
      <c r="K83" s="3">
        <f t="shared" si="27"/>
        <v>76.286904761904751</v>
      </c>
      <c r="L83" s="3">
        <f t="shared" si="28"/>
        <v>139.3065217391304</v>
      </c>
      <c r="M83" s="3">
        <f t="shared" si="29"/>
        <v>128.16199999999998</v>
      </c>
      <c r="O83" s="1">
        <v>46104</v>
      </c>
      <c r="P83" t="s">
        <v>16</v>
      </c>
      <c r="Q83">
        <v>577.52</v>
      </c>
      <c r="R83">
        <v>217</v>
      </c>
      <c r="S83">
        <v>32</v>
      </c>
      <c r="T83">
        <v>22</v>
      </c>
      <c r="U83">
        <v>23</v>
      </c>
      <c r="V83" s="11">
        <f t="shared" si="30"/>
        <v>0.10599078341013825</v>
      </c>
      <c r="W83" s="11">
        <f t="shared" si="31"/>
        <v>0.71875</v>
      </c>
      <c r="X83" s="11">
        <f t="shared" si="32"/>
        <v>1.0454545454545454</v>
      </c>
      <c r="Y83" s="3">
        <f t="shared" si="33"/>
        <v>18.047499999999999</v>
      </c>
      <c r="Z83" s="3">
        <f t="shared" si="34"/>
        <v>26.25090909090909</v>
      </c>
      <c r="AA83" s="12">
        <f t="shared" si="35"/>
        <v>25.109565217391303</v>
      </c>
    </row>
    <row r="84" spans="1:27" x14ac:dyDescent="0.25">
      <c r="A84" s="13">
        <v>46105</v>
      </c>
      <c r="B84" s="14" t="s">
        <v>15</v>
      </c>
      <c r="C84" s="14">
        <v>2997.16</v>
      </c>
      <c r="D84" s="14">
        <v>616</v>
      </c>
      <c r="E84" s="14">
        <v>36</v>
      </c>
      <c r="F84" s="14">
        <v>15</v>
      </c>
      <c r="G84" s="14">
        <v>22</v>
      </c>
      <c r="H84" s="15">
        <f t="shared" si="24"/>
        <v>3.5714285714285712E-2</v>
      </c>
      <c r="I84" s="15">
        <f t="shared" si="25"/>
        <v>0.61111111111111116</v>
      </c>
      <c r="J84" s="15">
        <f t="shared" si="26"/>
        <v>1.4666666666666666</v>
      </c>
      <c r="K84" s="16">
        <f t="shared" si="27"/>
        <v>83.254444444444445</v>
      </c>
      <c r="L84" s="16">
        <f t="shared" si="28"/>
        <v>199.81066666666666</v>
      </c>
      <c r="M84" s="16">
        <f t="shared" si="29"/>
        <v>136.23454545454544</v>
      </c>
      <c r="N84" s="14"/>
      <c r="O84" s="17">
        <v>46105</v>
      </c>
      <c r="P84" s="14" t="s">
        <v>16</v>
      </c>
      <c r="Q84" s="14">
        <v>677.05</v>
      </c>
      <c r="R84" s="14">
        <v>238</v>
      </c>
      <c r="S84" s="14">
        <v>23</v>
      </c>
      <c r="T84" s="14">
        <v>15</v>
      </c>
      <c r="U84" s="14">
        <v>19</v>
      </c>
      <c r="V84" s="15">
        <f t="shared" si="30"/>
        <v>7.9831932773109238E-2</v>
      </c>
      <c r="W84" s="15">
        <f t="shared" si="31"/>
        <v>0.82608695652173914</v>
      </c>
      <c r="X84" s="15">
        <f t="shared" si="32"/>
        <v>1.2666666666666666</v>
      </c>
      <c r="Y84" s="16">
        <f t="shared" si="33"/>
        <v>29.436956521739127</v>
      </c>
      <c r="Z84" s="16">
        <f t="shared" si="34"/>
        <v>45.136666666666663</v>
      </c>
      <c r="AA84" s="18">
        <f t="shared" si="35"/>
        <v>35.63421052631579</v>
      </c>
    </row>
    <row r="85" spans="1:27" x14ac:dyDescent="0.25">
      <c r="A85" s="4">
        <v>46106</v>
      </c>
      <c r="B85" s="5" t="s">
        <v>15</v>
      </c>
      <c r="C85" s="5">
        <v>3116.23</v>
      </c>
      <c r="D85" s="5">
        <v>622</v>
      </c>
      <c r="E85" s="5">
        <v>19</v>
      </c>
      <c r="F85" s="5">
        <v>10</v>
      </c>
      <c r="G85" s="5">
        <v>17</v>
      </c>
      <c r="H85" s="6">
        <f t="shared" si="24"/>
        <v>2.7331189710610933E-2</v>
      </c>
      <c r="I85" s="6">
        <f t="shared" si="25"/>
        <v>0.89473684210526316</v>
      </c>
      <c r="J85" s="6">
        <f t="shared" si="26"/>
        <v>1.7</v>
      </c>
      <c r="K85" s="7">
        <f t="shared" si="27"/>
        <v>164.01210526315791</v>
      </c>
      <c r="L85" s="7">
        <f t="shared" si="28"/>
        <v>311.62299999999999</v>
      </c>
      <c r="M85" s="7">
        <f t="shared" si="29"/>
        <v>183.30764705882353</v>
      </c>
      <c r="N85" s="5"/>
      <c r="O85" s="8">
        <v>46106</v>
      </c>
      <c r="P85" s="5" t="s">
        <v>16</v>
      </c>
      <c r="Q85" s="5">
        <v>669.59999999999991</v>
      </c>
      <c r="R85" s="5">
        <v>202</v>
      </c>
      <c r="S85" s="5">
        <v>13</v>
      </c>
      <c r="T85" s="5">
        <v>10</v>
      </c>
      <c r="U85" s="5">
        <v>23</v>
      </c>
      <c r="V85" s="6">
        <f t="shared" si="30"/>
        <v>0.11386138613861387</v>
      </c>
      <c r="W85" s="6">
        <f t="shared" si="31"/>
        <v>1.7692307692307692</v>
      </c>
      <c r="X85" s="6">
        <f t="shared" si="32"/>
        <v>2.2999999999999998</v>
      </c>
      <c r="Y85" s="7">
        <f t="shared" si="33"/>
        <v>51.507692307692302</v>
      </c>
      <c r="Z85" s="7">
        <f t="shared" si="34"/>
        <v>66.959999999999994</v>
      </c>
      <c r="AA85" s="9">
        <f t="shared" si="35"/>
        <v>29.113043478260867</v>
      </c>
    </row>
    <row r="86" spans="1:27" x14ac:dyDescent="0.25">
      <c r="A86" s="10">
        <v>46107</v>
      </c>
      <c r="B86" t="s">
        <v>15</v>
      </c>
      <c r="C86">
        <v>2926.29</v>
      </c>
      <c r="D86">
        <v>590</v>
      </c>
      <c r="E86">
        <v>13</v>
      </c>
      <c r="F86">
        <v>7</v>
      </c>
      <c r="G86">
        <v>15</v>
      </c>
      <c r="H86" s="11">
        <f t="shared" si="24"/>
        <v>2.5423728813559324E-2</v>
      </c>
      <c r="I86" s="11">
        <f t="shared" si="25"/>
        <v>1.1538461538461537</v>
      </c>
      <c r="J86" s="11">
        <f t="shared" si="26"/>
        <v>2.1428571428571428</v>
      </c>
      <c r="K86" s="3">
        <f t="shared" si="27"/>
        <v>225.09923076923076</v>
      </c>
      <c r="L86" s="3">
        <f t="shared" si="28"/>
        <v>418.04142857142858</v>
      </c>
      <c r="M86" s="3">
        <f t="shared" si="29"/>
        <v>195.08599999999998</v>
      </c>
      <c r="O86" s="1">
        <v>46107</v>
      </c>
      <c r="P86" t="s">
        <v>16</v>
      </c>
      <c r="Q86">
        <v>598.32999999999993</v>
      </c>
      <c r="R86">
        <v>208</v>
      </c>
      <c r="S86">
        <v>17</v>
      </c>
      <c r="T86">
        <v>13</v>
      </c>
      <c r="U86">
        <v>12</v>
      </c>
      <c r="V86" s="11">
        <f t="shared" si="30"/>
        <v>5.7692307692307696E-2</v>
      </c>
      <c r="W86" s="11">
        <f t="shared" si="31"/>
        <v>0.70588235294117652</v>
      </c>
      <c r="X86" s="11">
        <f t="shared" si="32"/>
        <v>0.92307692307692313</v>
      </c>
      <c r="Y86" s="3">
        <f t="shared" si="33"/>
        <v>35.195882352941169</v>
      </c>
      <c r="Z86" s="3">
        <f t="shared" si="34"/>
        <v>46.02538461538461</v>
      </c>
      <c r="AA86" s="12">
        <f t="shared" si="35"/>
        <v>49.860833333333325</v>
      </c>
    </row>
    <row r="87" spans="1:27" x14ac:dyDescent="0.25">
      <c r="A87" s="10">
        <v>46108</v>
      </c>
      <c r="B87" t="s">
        <v>15</v>
      </c>
      <c r="C87">
        <v>2721.88</v>
      </c>
      <c r="D87">
        <v>564</v>
      </c>
      <c r="E87">
        <v>15</v>
      </c>
      <c r="F87">
        <v>7</v>
      </c>
      <c r="G87">
        <v>11</v>
      </c>
      <c r="H87" s="11">
        <f t="shared" si="24"/>
        <v>1.9503546099290781E-2</v>
      </c>
      <c r="I87" s="11">
        <f t="shared" si="25"/>
        <v>0.73333333333333328</v>
      </c>
      <c r="J87" s="11">
        <f t="shared" si="26"/>
        <v>1.5714285714285714</v>
      </c>
      <c r="K87" s="3">
        <f t="shared" si="27"/>
        <v>181.45866666666669</v>
      </c>
      <c r="L87" s="3">
        <f t="shared" si="28"/>
        <v>388.84000000000003</v>
      </c>
      <c r="M87" s="3">
        <f t="shared" si="29"/>
        <v>247.44363636363639</v>
      </c>
      <c r="O87" s="1">
        <v>46108</v>
      </c>
      <c r="P87" t="s">
        <v>16</v>
      </c>
      <c r="Q87">
        <v>520.89</v>
      </c>
      <c r="R87">
        <v>189</v>
      </c>
      <c r="S87">
        <v>11</v>
      </c>
      <c r="T87">
        <v>9</v>
      </c>
      <c r="U87">
        <v>11</v>
      </c>
      <c r="V87" s="11">
        <f t="shared" si="30"/>
        <v>5.8201058201058198E-2</v>
      </c>
      <c r="W87" s="11">
        <f t="shared" si="31"/>
        <v>1</v>
      </c>
      <c r="X87" s="11">
        <f t="shared" si="32"/>
        <v>1.2222222222222223</v>
      </c>
      <c r="Y87" s="3">
        <f t="shared" si="33"/>
        <v>47.353636363636362</v>
      </c>
      <c r="Z87" s="3">
        <f t="shared" si="34"/>
        <v>57.876666666666665</v>
      </c>
      <c r="AA87" s="12">
        <f t="shared" si="35"/>
        <v>47.353636363636362</v>
      </c>
    </row>
    <row r="88" spans="1:27" x14ac:dyDescent="0.25">
      <c r="A88" s="10">
        <v>46109</v>
      </c>
      <c r="B88" t="s">
        <v>15</v>
      </c>
      <c r="C88">
        <v>2500.42</v>
      </c>
      <c r="D88">
        <v>561</v>
      </c>
      <c r="E88">
        <v>11</v>
      </c>
      <c r="F88">
        <v>4</v>
      </c>
      <c r="G88">
        <v>10</v>
      </c>
      <c r="H88" s="11">
        <f t="shared" si="24"/>
        <v>1.7825311942959002E-2</v>
      </c>
      <c r="I88" s="11">
        <f t="shared" si="25"/>
        <v>0.90909090909090906</v>
      </c>
      <c r="J88" s="11">
        <f t="shared" si="26"/>
        <v>2.5</v>
      </c>
      <c r="K88" s="3">
        <f t="shared" si="27"/>
        <v>227.31090909090909</v>
      </c>
      <c r="L88" s="3">
        <f t="shared" si="28"/>
        <v>625.10500000000002</v>
      </c>
      <c r="M88" s="3">
        <f t="shared" si="29"/>
        <v>250.042</v>
      </c>
      <c r="O88" s="1">
        <v>46109</v>
      </c>
      <c r="P88" t="s">
        <v>16</v>
      </c>
      <c r="Q88">
        <v>487.59000000000003</v>
      </c>
      <c r="R88">
        <v>111</v>
      </c>
      <c r="S88">
        <v>4</v>
      </c>
      <c r="T88">
        <v>2</v>
      </c>
      <c r="U88">
        <v>4</v>
      </c>
      <c r="V88" s="11">
        <f t="shared" si="30"/>
        <v>3.6036036036036036E-2</v>
      </c>
      <c r="W88" s="11">
        <f t="shared" si="31"/>
        <v>1</v>
      </c>
      <c r="X88" s="11">
        <f t="shared" si="32"/>
        <v>2</v>
      </c>
      <c r="Y88" s="3">
        <f t="shared" si="33"/>
        <v>121.89750000000001</v>
      </c>
      <c r="Z88" s="3">
        <f t="shared" si="34"/>
        <v>243.79500000000002</v>
      </c>
      <c r="AA88" s="12">
        <f t="shared" si="35"/>
        <v>121.89750000000001</v>
      </c>
    </row>
    <row r="89" spans="1:27" x14ac:dyDescent="0.25">
      <c r="A89" s="10">
        <v>46110</v>
      </c>
      <c r="B89" t="s">
        <v>15</v>
      </c>
      <c r="C89">
        <v>2515.9700000000003</v>
      </c>
      <c r="D89">
        <v>582</v>
      </c>
      <c r="E89">
        <v>15</v>
      </c>
      <c r="F89">
        <v>9</v>
      </c>
      <c r="G89">
        <v>9</v>
      </c>
      <c r="H89" s="11">
        <f t="shared" si="24"/>
        <v>1.5463917525773196E-2</v>
      </c>
      <c r="I89" s="11">
        <f t="shared" si="25"/>
        <v>0.6</v>
      </c>
      <c r="J89" s="11">
        <f t="shared" si="26"/>
        <v>1</v>
      </c>
      <c r="K89" s="3">
        <f t="shared" si="27"/>
        <v>167.73133333333334</v>
      </c>
      <c r="L89" s="3">
        <f t="shared" si="28"/>
        <v>279.55222222222227</v>
      </c>
      <c r="M89" s="3">
        <f t="shared" si="29"/>
        <v>279.55222222222227</v>
      </c>
      <c r="O89" s="1">
        <v>46110</v>
      </c>
      <c r="P89" t="s">
        <v>16</v>
      </c>
      <c r="Q89">
        <v>633.24</v>
      </c>
      <c r="R89">
        <v>226</v>
      </c>
      <c r="S89">
        <v>27</v>
      </c>
      <c r="T89">
        <v>20</v>
      </c>
      <c r="U89">
        <v>16</v>
      </c>
      <c r="V89" s="11">
        <f t="shared" si="30"/>
        <v>7.0796460176991149E-2</v>
      </c>
      <c r="W89" s="11">
        <f t="shared" si="31"/>
        <v>0.59259259259259256</v>
      </c>
      <c r="X89" s="11">
        <f t="shared" si="32"/>
        <v>0.8</v>
      </c>
      <c r="Y89" s="3">
        <f t="shared" si="33"/>
        <v>23.453333333333333</v>
      </c>
      <c r="Z89" s="3">
        <f t="shared" si="34"/>
        <v>31.661999999999999</v>
      </c>
      <c r="AA89" s="12">
        <f t="shared" si="35"/>
        <v>39.577500000000001</v>
      </c>
    </row>
    <row r="90" spans="1:27" x14ac:dyDescent="0.25">
      <c r="A90" s="10">
        <v>46111</v>
      </c>
      <c r="B90" t="s">
        <v>15</v>
      </c>
      <c r="C90">
        <v>2855.6499999999992</v>
      </c>
      <c r="D90">
        <v>623</v>
      </c>
      <c r="E90">
        <v>10</v>
      </c>
      <c r="F90">
        <v>5</v>
      </c>
      <c r="G90">
        <v>8</v>
      </c>
      <c r="H90" s="11">
        <f t="shared" si="24"/>
        <v>1.2841091492776886E-2</v>
      </c>
      <c r="I90" s="11">
        <f t="shared" si="25"/>
        <v>0.8</v>
      </c>
      <c r="J90" s="11">
        <f t="shared" si="26"/>
        <v>1.6</v>
      </c>
      <c r="K90" s="3">
        <f t="shared" si="27"/>
        <v>285.56499999999994</v>
      </c>
      <c r="L90" s="3">
        <f t="shared" si="28"/>
        <v>571.12999999999988</v>
      </c>
      <c r="M90" s="3">
        <f t="shared" si="29"/>
        <v>356.9562499999999</v>
      </c>
      <c r="O90" s="1">
        <v>46111</v>
      </c>
      <c r="P90" t="s">
        <v>16</v>
      </c>
      <c r="Q90">
        <v>741.34</v>
      </c>
      <c r="R90">
        <v>212</v>
      </c>
      <c r="S90">
        <v>21</v>
      </c>
      <c r="T90">
        <v>13</v>
      </c>
      <c r="U90">
        <v>13</v>
      </c>
      <c r="V90" s="11">
        <f t="shared" si="30"/>
        <v>6.1320754716981132E-2</v>
      </c>
      <c r="W90" s="11">
        <f t="shared" si="31"/>
        <v>0.61904761904761907</v>
      </c>
      <c r="X90" s="11">
        <f t="shared" si="32"/>
        <v>1</v>
      </c>
      <c r="Y90" s="3">
        <f t="shared" si="33"/>
        <v>35.301904761904765</v>
      </c>
      <c r="Z90" s="3">
        <f t="shared" si="34"/>
        <v>57.026153846153846</v>
      </c>
      <c r="AA90" s="12">
        <f t="shared" si="35"/>
        <v>57.026153846153846</v>
      </c>
    </row>
    <row r="91" spans="1:27" x14ac:dyDescent="0.25">
      <c r="A91" s="10">
        <v>46112</v>
      </c>
      <c r="B91" t="s">
        <v>15</v>
      </c>
      <c r="C91">
        <v>2678.68</v>
      </c>
      <c r="D91">
        <v>585</v>
      </c>
      <c r="E91">
        <v>15</v>
      </c>
      <c r="F91">
        <v>12</v>
      </c>
      <c r="G91">
        <v>13</v>
      </c>
      <c r="H91" s="11">
        <f t="shared" si="24"/>
        <v>2.2222222222222223E-2</v>
      </c>
      <c r="I91" s="11">
        <f t="shared" si="25"/>
        <v>0.8666666666666667</v>
      </c>
      <c r="J91" s="11">
        <f t="shared" si="26"/>
        <v>1.0833333333333333</v>
      </c>
      <c r="K91" s="3">
        <f t="shared" si="27"/>
        <v>178.57866666666666</v>
      </c>
      <c r="L91" s="3">
        <f t="shared" si="28"/>
        <v>223.22333333333333</v>
      </c>
      <c r="M91" s="3">
        <f t="shared" si="29"/>
        <v>206.05230769230769</v>
      </c>
      <c r="O91" s="1">
        <v>46112</v>
      </c>
      <c r="P91" t="s">
        <v>16</v>
      </c>
      <c r="Q91">
        <v>535.87</v>
      </c>
      <c r="R91">
        <v>166</v>
      </c>
      <c r="S91">
        <v>7</v>
      </c>
      <c r="T91">
        <v>5</v>
      </c>
      <c r="U91">
        <v>12</v>
      </c>
      <c r="V91" s="11">
        <f t="shared" si="30"/>
        <v>7.2289156626506021E-2</v>
      </c>
      <c r="W91" s="11">
        <f t="shared" si="31"/>
        <v>1.7142857142857142</v>
      </c>
      <c r="X91" s="11">
        <f t="shared" si="32"/>
        <v>2.4</v>
      </c>
      <c r="Y91" s="3">
        <f t="shared" si="33"/>
        <v>76.55285714285715</v>
      </c>
      <c r="Z91" s="3">
        <f t="shared" si="34"/>
        <v>107.17400000000001</v>
      </c>
      <c r="AA91" s="12">
        <f t="shared" si="35"/>
        <v>44.655833333333334</v>
      </c>
    </row>
    <row r="92" spans="1:27" x14ac:dyDescent="0.25">
      <c r="A92" s="10">
        <v>46113</v>
      </c>
      <c r="B92" t="s">
        <v>15</v>
      </c>
      <c r="C92">
        <v>2584.9500000000007</v>
      </c>
      <c r="D92">
        <v>565</v>
      </c>
      <c r="E92">
        <v>14</v>
      </c>
      <c r="F92">
        <v>10</v>
      </c>
      <c r="G92">
        <v>12</v>
      </c>
      <c r="H92" s="11">
        <f t="shared" si="24"/>
        <v>2.1238938053097345E-2</v>
      </c>
      <c r="I92" s="11">
        <f t="shared" si="25"/>
        <v>0.8571428571428571</v>
      </c>
      <c r="J92" s="11">
        <f t="shared" si="26"/>
        <v>1.2</v>
      </c>
      <c r="K92" s="3">
        <f t="shared" si="27"/>
        <v>184.63928571428576</v>
      </c>
      <c r="L92" s="3">
        <f t="shared" si="28"/>
        <v>258.49500000000006</v>
      </c>
      <c r="M92" s="3">
        <f t="shared" si="29"/>
        <v>215.41250000000005</v>
      </c>
      <c r="O92" s="1">
        <v>46113</v>
      </c>
      <c r="P92" t="s">
        <v>16</v>
      </c>
      <c r="Q92">
        <v>1119.58</v>
      </c>
      <c r="R92">
        <v>419</v>
      </c>
      <c r="S92">
        <v>28</v>
      </c>
      <c r="T92">
        <v>16</v>
      </c>
      <c r="U92">
        <v>22</v>
      </c>
      <c r="V92" s="11">
        <f t="shared" si="30"/>
        <v>5.2505966587112173E-2</v>
      </c>
      <c r="W92" s="11">
        <f t="shared" si="31"/>
        <v>0.7857142857142857</v>
      </c>
      <c r="X92" s="11">
        <f t="shared" si="32"/>
        <v>1.375</v>
      </c>
      <c r="Y92" s="3">
        <f t="shared" si="33"/>
        <v>39.984999999999999</v>
      </c>
      <c r="Z92" s="3">
        <f t="shared" si="34"/>
        <v>69.973749999999995</v>
      </c>
      <c r="AA92" s="12">
        <f t="shared" si="35"/>
        <v>50.889999999999993</v>
      </c>
    </row>
    <row r="93" spans="1:27" x14ac:dyDescent="0.25">
      <c r="A93" s="10">
        <v>46114</v>
      </c>
      <c r="B93" t="s">
        <v>15</v>
      </c>
      <c r="C93">
        <v>2273.2699999999995</v>
      </c>
      <c r="D93">
        <v>498</v>
      </c>
      <c r="E93">
        <v>4</v>
      </c>
      <c r="F93">
        <v>2</v>
      </c>
      <c r="G93">
        <v>7</v>
      </c>
      <c r="H93" s="11">
        <f t="shared" si="24"/>
        <v>1.4056224899598393E-2</v>
      </c>
      <c r="I93" s="11">
        <f t="shared" si="25"/>
        <v>1.75</v>
      </c>
      <c r="J93" s="11">
        <f t="shared" si="26"/>
        <v>3.5</v>
      </c>
      <c r="K93" s="3">
        <f t="shared" si="27"/>
        <v>568.31749999999988</v>
      </c>
      <c r="L93" s="3">
        <f t="shared" si="28"/>
        <v>1136.6349999999998</v>
      </c>
      <c r="M93" s="3">
        <f t="shared" si="29"/>
        <v>324.75285714285707</v>
      </c>
      <c r="O93" s="1">
        <v>46114</v>
      </c>
      <c r="P93" t="s">
        <v>16</v>
      </c>
      <c r="Q93">
        <v>526.41999999999996</v>
      </c>
      <c r="R93">
        <v>146</v>
      </c>
      <c r="S93">
        <v>12</v>
      </c>
      <c r="T93">
        <v>11</v>
      </c>
      <c r="U93">
        <v>18</v>
      </c>
      <c r="V93" s="11">
        <f t="shared" si="30"/>
        <v>0.12328767123287671</v>
      </c>
      <c r="W93" s="11">
        <f t="shared" si="31"/>
        <v>1.5</v>
      </c>
      <c r="X93" s="11">
        <f t="shared" si="32"/>
        <v>1.6363636363636365</v>
      </c>
      <c r="Y93" s="3">
        <f t="shared" si="33"/>
        <v>43.868333333333332</v>
      </c>
      <c r="Z93" s="3">
        <f t="shared" si="34"/>
        <v>47.856363636363632</v>
      </c>
      <c r="AA93" s="12">
        <f t="shared" si="35"/>
        <v>29.245555555555555</v>
      </c>
    </row>
    <row r="94" spans="1:27" ht="15.75" thickBot="1" x14ac:dyDescent="0.3">
      <c r="A94" s="10">
        <v>46115</v>
      </c>
      <c r="B94" t="s">
        <v>15</v>
      </c>
      <c r="C94">
        <v>2462.46</v>
      </c>
      <c r="D94">
        <v>554</v>
      </c>
      <c r="E94">
        <v>10</v>
      </c>
      <c r="F94">
        <v>5</v>
      </c>
      <c r="G94">
        <v>12</v>
      </c>
      <c r="H94" s="11">
        <f t="shared" si="24"/>
        <v>2.1660649819494584E-2</v>
      </c>
      <c r="I94" s="11">
        <f t="shared" si="25"/>
        <v>1.2</v>
      </c>
      <c r="J94" s="11">
        <f t="shared" si="26"/>
        <v>2.4</v>
      </c>
      <c r="K94" s="3">
        <f t="shared" si="27"/>
        <v>246.24600000000001</v>
      </c>
      <c r="L94" s="3">
        <f t="shared" si="28"/>
        <v>492.49200000000002</v>
      </c>
      <c r="M94" s="3">
        <f t="shared" si="29"/>
        <v>205.20500000000001</v>
      </c>
      <c r="O94" s="1">
        <v>46115</v>
      </c>
      <c r="P94" t="s">
        <v>16</v>
      </c>
      <c r="Q94">
        <v>319.58000000000004</v>
      </c>
      <c r="R94">
        <v>118</v>
      </c>
      <c r="S94">
        <v>11</v>
      </c>
      <c r="T94">
        <v>6</v>
      </c>
      <c r="U94">
        <v>5</v>
      </c>
      <c r="V94" s="11">
        <f t="shared" si="30"/>
        <v>4.2372881355932202E-2</v>
      </c>
      <c r="W94" s="11">
        <f t="shared" si="31"/>
        <v>0.45454545454545453</v>
      </c>
      <c r="X94" s="11">
        <f t="shared" si="32"/>
        <v>0.83333333333333337</v>
      </c>
      <c r="Y94" s="3">
        <f t="shared" si="33"/>
        <v>29.052727272727278</v>
      </c>
      <c r="Z94" s="3">
        <f t="shared" si="34"/>
        <v>53.263333333333343</v>
      </c>
      <c r="AA94" s="12">
        <f t="shared" si="35"/>
        <v>63.916000000000011</v>
      </c>
    </row>
    <row r="95" spans="1:27" ht="15.75" thickBot="1" x14ac:dyDescent="0.3">
      <c r="A95" s="19" t="s">
        <v>17</v>
      </c>
      <c r="B95" s="20"/>
      <c r="C95" s="21">
        <f>(SUM(C85:C94)-SUM(C75:C84))/SUM(C75:C84)</f>
        <v>-0.18419914560176029</v>
      </c>
      <c r="D95" s="21">
        <f t="shared" ref="D95:AA95" si="36">(SUM(D85:D94)-SUM(D75:D84))/SUM(D75:D84)</f>
        <v>-8.5787044405538762E-2</v>
      </c>
      <c r="E95" s="21">
        <f t="shared" si="36"/>
        <v>-0.61933534743202412</v>
      </c>
      <c r="F95" s="21">
        <f t="shared" si="36"/>
        <v>-0.58479532163742687</v>
      </c>
      <c r="G95" s="23">
        <f t="shared" si="36"/>
        <v>-0.40625</v>
      </c>
      <c r="H95" s="22">
        <f t="shared" si="36"/>
        <v>-0.34408610028694719</v>
      </c>
      <c r="I95" s="22">
        <f t="shared" si="36"/>
        <v>0.71161966239116203</v>
      </c>
      <c r="J95" s="22">
        <f t="shared" si="36"/>
        <v>0.66034287145156778</v>
      </c>
      <c r="K95" s="22">
        <f t="shared" si="36"/>
        <v>1.4331967425927017</v>
      </c>
      <c r="L95" s="22">
        <f t="shared" si="36"/>
        <v>1.4182272637144844</v>
      </c>
      <c r="M95" s="23">
        <f t="shared" si="36"/>
        <v>0.33428868979756871</v>
      </c>
      <c r="N95" s="21"/>
      <c r="O95" s="21">
        <f t="shared" si="36"/>
        <v>2.1691738701315604E-4</v>
      </c>
      <c r="P95" s="21" t="e">
        <f t="shared" si="36"/>
        <v>#DIV/0!</v>
      </c>
      <c r="Q95" s="21">
        <f t="shared" si="36"/>
        <v>-7.2081986603433016E-3</v>
      </c>
      <c r="R95" s="21">
        <f t="shared" si="36"/>
        <v>-7.4552683896620276E-3</v>
      </c>
      <c r="S95" s="21">
        <f t="shared" si="36"/>
        <v>-0.43866171003717475</v>
      </c>
      <c r="T95" s="21">
        <f t="shared" si="36"/>
        <v>-0.3</v>
      </c>
      <c r="U95" s="23">
        <f t="shared" si="36"/>
        <v>-0.19047619047619047</v>
      </c>
      <c r="V95" s="22">
        <f t="shared" si="36"/>
        <v>-0.17748353553555332</v>
      </c>
      <c r="W95" s="22">
        <f t="shared" si="36"/>
        <v>0.6398051814995378</v>
      </c>
      <c r="X95" s="22">
        <f t="shared" si="36"/>
        <v>0.26301854280722348</v>
      </c>
      <c r="Y95" s="22">
        <f t="shared" si="36"/>
        <v>1.158710444365068</v>
      </c>
      <c r="Z95" s="22">
        <f t="shared" si="36"/>
        <v>0.79234469470162017</v>
      </c>
      <c r="AA95" s="24">
        <f t="shared" si="36"/>
        <v>0.31621549197606091</v>
      </c>
    </row>
  </sheetData>
  <autoFilter ref="A1:M1" xr:uid="{AA4FFD0C-AF2C-48DE-8E49-3A7DDF2B6D62}">
    <sortState xmlns:xlrd2="http://schemas.microsoft.com/office/spreadsheetml/2017/richdata2" ref="A2:M189">
      <sortCondition ref="B1"/>
    </sortState>
  </autoFilter>
  <conditionalFormatting sqref="H2:H9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94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2:V9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A9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C9C382185F5A48831EF0DEF0FBCC55" ma:contentTypeVersion="3" ma:contentTypeDescription="Create a new document." ma:contentTypeScope="" ma:versionID="84bd2c1bee452fc166e66008213c60ce">
  <xsd:schema xmlns:xsd="http://www.w3.org/2001/XMLSchema" xmlns:xs="http://www.w3.org/2001/XMLSchema" xmlns:p="http://schemas.microsoft.com/office/2006/metadata/properties" xmlns:ns2="b8e5cc5a-99a2-4eca-a104-9984d73d9b2d" targetNamespace="http://schemas.microsoft.com/office/2006/metadata/properties" ma:root="true" ma:fieldsID="b617e15ef73f2f6e73fe8fb8240b7adb" ns2:_="">
    <xsd:import namespace="b8e5cc5a-99a2-4eca-a104-9984d73d9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5cc5a-99a2-4eca-a104-9984d73d9b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A4D90C-3FE8-4D13-ABA4-78B7CEC7D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e5cc5a-99a2-4eca-a104-9984d73d9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9B70AD-0B69-47E2-BFA4-5638B3A9C8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9CEDF5-1E10-4ECE-AFBA-A42B37E08EBE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8e5cc5a-99a2-4eca-a104-9984d73d9b2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Richard</dc:creator>
  <cp:keywords/>
  <dc:description/>
  <cp:lastModifiedBy>Richard Williams</cp:lastModifiedBy>
  <cp:revision/>
  <dcterms:created xsi:type="dcterms:W3CDTF">2026-04-06T19:56:35Z</dcterms:created>
  <dcterms:modified xsi:type="dcterms:W3CDTF">2026-04-08T20:05:02Z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0x01010067C9C382185F5A48831EF0DEF0FBCC55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2026-04-06T19:57:48Z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fa8e30ee-8ac3-40cb-9598-6637b3396013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10, 3, 0, 1</vt:lpwstr>
  </property>
</Properties>
</file>