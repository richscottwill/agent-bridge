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S" sheetId="2" state="visible" r:id="rId2"/>
    <sheet xmlns:r="http://schemas.openxmlformats.org/officeDocument/2006/relationships" name="UK" sheetId="3" state="visible" r:id="rId3"/>
    <sheet xmlns:r="http://schemas.openxmlformats.org/officeDocument/2006/relationships" name="DE" sheetId="4" state="visible" r:id="rId4"/>
    <sheet xmlns:r="http://schemas.openxmlformats.org/officeDocument/2006/relationships" name="FR" sheetId="5" state="visible" r:id="rId5"/>
    <sheet xmlns:r="http://schemas.openxmlformats.org/officeDocument/2006/relationships" name="IT" sheetId="6" state="visible" r:id="rId6"/>
    <sheet xmlns:r="http://schemas.openxmlformats.org/officeDocument/2006/relationships" name="ES" sheetId="7" state="visible" r:id="rId7"/>
    <sheet xmlns:r="http://schemas.openxmlformats.org/officeDocument/2006/relationships" name="CA" sheetId="8" state="visible" r:id="rId8"/>
    <sheet xmlns:r="http://schemas.openxmlformats.org/officeDocument/2006/relationships" name="JP" sheetId="9" state="visible" r:id="rId9"/>
    <sheet xmlns:r="http://schemas.openxmlformats.org/officeDocument/2006/relationships" name="MX" sheetId="10" state="visible" r:id="rId10"/>
    <sheet xmlns:r="http://schemas.openxmlformats.org/officeDocument/2006/relationships" name="AU" sheetId="11" state="visible" r:id="rId11"/>
    <sheet xmlns:r="http://schemas.openxmlformats.org/officeDocument/2006/relationships" name="_Data" sheetId="12" state="hidden" r:id="rId12"/>
  </sheets>
  <definedNames/>
  <calcPr calcId="191028" fullCalcOnLoad="1"/>
</workbook>
</file>

<file path=xl/styles.xml><?xml version="1.0" encoding="utf-8"?>
<styleSheet xmlns="http://schemas.openxmlformats.org/spreadsheetml/2006/main">
  <numFmts count="5">
    <numFmt numFmtId="164" formatCode="\$#,##0"/>
    <numFmt numFmtId="165" formatCode="\$#,##0.00"/>
    <numFmt numFmtId="166" formatCode="\+0.0&quot;%&quot;;\-0.0&quot;%&quot;"/>
    <numFmt numFmtId="167" formatCode="\+0.0%;\-0.0%"/>
    <numFmt numFmtId="168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FF1F4E79"/>
      <sz val="18"/>
    </font>
    <font>
      <name val="Calibri"/>
      <color rgb="FF95A5A6"/>
      <sz val="11"/>
    </font>
    <font>
      <name val="Calibri"/>
      <color rgb="FF95A5A6"/>
      <sz val="9"/>
    </font>
    <font>
      <name val="Calibri"/>
      <b val="1"/>
      <color rgb="FF1F4E79"/>
      <sz val="20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498DB"/>
      <sz val="16"/>
    </font>
    <font>
      <name val="Calibri"/>
      <b val="1"/>
      <color rgb="FF1F4E79"/>
      <sz val="12"/>
    </font>
    <font>
      <name val="Calibri"/>
      <i val="1"/>
      <color rgb="FFF39C12"/>
      <sz val="10"/>
    </font>
    <font>
      <name val="Calibri"/>
      <b val="1"/>
      <color rgb="FF2ECC71"/>
      <sz val="16"/>
    </font>
    <font>
      <name val="Calibri"/>
      <b val="1"/>
      <color rgb="FFE67E22"/>
      <sz val="16"/>
    </font>
    <font>
      <name val="Calibri"/>
      <b val="1"/>
      <color rgb="FFE74C3C"/>
      <sz val="16"/>
    </font>
    <font>
      <name val="Calibri"/>
      <b val="1"/>
      <color rgb="FF1ABC9C"/>
      <sz val="16"/>
    </font>
    <font>
      <name val="Calibri"/>
      <b val="1"/>
      <color rgb="FFC0392B"/>
      <sz val="16"/>
    </font>
    <font>
      <name val="Calibri"/>
      <b val="1"/>
      <color rgb="FFF1C40F"/>
      <sz val="16"/>
    </font>
    <font>
      <name val="Calibri"/>
      <b val="1"/>
      <color rgb="FF9B59B6"/>
      <sz val="16"/>
    </font>
    <font>
      <name val="Calibri"/>
      <b val="1"/>
      <color rgb="FFD35400"/>
      <sz val="16"/>
    </font>
    <font>
      <name val="Calibri"/>
      <b val="1"/>
      <color rgb="FF16A085"/>
      <sz val="16"/>
    </font>
  </fonts>
  <fills count="16">
    <fill>
      <patternFill/>
    </fill>
    <fill>
      <patternFill patternType="gray125"/>
    </fill>
    <fill>
      <patternFill patternType="solid">
        <fgColor rgb="FFE8F0FE"/>
        <bgColor rgb="FFE8F0FE"/>
      </patternFill>
    </fill>
    <fill>
      <patternFill patternType="solid">
        <fgColor rgb="FF2C3E6B"/>
        <bgColor rgb="FF2C3E6B"/>
      </patternFill>
    </fill>
    <fill>
      <patternFill patternType="solid">
        <fgColor rgb="FFEDF2F9"/>
        <bgColor rgb="FFEDF2F9"/>
      </patternFill>
    </fill>
    <fill>
      <patternFill patternType="solid">
        <fgColor rgb="FF3498DB"/>
        <bgColor rgb="FF3498DB"/>
      </patternFill>
    </fill>
    <fill>
      <patternFill patternType="solid">
        <fgColor rgb="FFFFF9E6"/>
        <bgColor rgb="FFFFF9E6"/>
      </patternFill>
    </fill>
    <fill>
      <patternFill patternType="solid">
        <fgColor rgb="FF2ECC71"/>
        <bgColor rgb="FF2ECC71"/>
      </patternFill>
    </fill>
    <fill>
      <patternFill patternType="solid">
        <fgColor rgb="FFE67E22"/>
        <bgColor rgb="FFE67E22"/>
      </patternFill>
    </fill>
    <fill>
      <patternFill patternType="solid">
        <fgColor rgb="FFE74C3C"/>
        <bgColor rgb="FFE74C3C"/>
      </patternFill>
    </fill>
    <fill>
      <patternFill patternType="solid">
        <fgColor rgb="FF1ABC9C"/>
        <bgColor rgb="FF1ABC9C"/>
      </patternFill>
    </fill>
    <fill>
      <patternFill patternType="solid">
        <fgColor rgb="FFC0392B"/>
        <bgColor rgb="FFC0392B"/>
      </patternFill>
    </fill>
    <fill>
      <patternFill patternType="solid">
        <fgColor rgb="FFF1C40F"/>
        <bgColor rgb="FFF1C40F"/>
      </patternFill>
    </fill>
    <fill>
      <patternFill patternType="solid">
        <fgColor rgb="FF9B59B6"/>
        <bgColor rgb="FF9B59B6"/>
      </patternFill>
    </fill>
    <fill>
      <patternFill patternType="solid">
        <fgColor rgb="FFD35400"/>
        <bgColor rgb="FFD35400"/>
      </patternFill>
    </fill>
    <fill>
      <patternFill patternType="solid">
        <fgColor rgb="FF16A085"/>
        <bgColor rgb="FF16A085"/>
      </patternFill>
    </fill>
  </fills>
  <borders count="8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/>
      <bottom style="medium">
        <color rgb="FF1F4E79"/>
      </bottom>
      <diagonal/>
    </border>
    <border>
      <left/>
      <right/>
      <top/>
      <bottom style="thin">
        <color rgb="FFDEE2E6"/>
      </bottom>
      <diagonal/>
    </border>
    <border>
      <left/>
      <right/>
      <top style="thin">
        <color rgb="FFB8CCE4"/>
      </top>
      <bottom/>
      <diagonal/>
    </border>
    <border>
      <left/>
      <right style="thin">
        <color rgb="FFB8CCE4"/>
      </right>
      <top style="thin">
        <color rgb="FFB8CCE4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0" fillId="2" borderId="1" pivotButton="0" quotePrefix="0" xfId="0"/>
    <xf numFmtId="0" fontId="5" fillId="3" borderId="4" applyAlignment="1" pivotButton="0" quotePrefix="0" xfId="0">
      <alignment horizontal="center" vertical="center" wrapText="1"/>
    </xf>
    <xf numFmtId="0" fontId="6" fillId="0" borderId="5" pivotButton="0" quotePrefix="0" xfId="0"/>
    <xf numFmtId="3" fontId="6" fillId="0" borderId="5" pivotButton="0" quotePrefix="0" xfId="0"/>
    <xf numFmtId="164" fontId="6" fillId="0" borderId="5" pivotButton="0" quotePrefix="0" xfId="0"/>
    <xf numFmtId="165" fontId="6" fillId="0" borderId="5" pivotButton="0" quotePrefix="0" xfId="0"/>
    <xf numFmtId="166" fontId="6" fillId="0" borderId="5" pivotButton="0" quotePrefix="0" xfId="0"/>
    <xf numFmtId="0" fontId="6" fillId="4" borderId="5" pivotButton="0" quotePrefix="0" xfId="0"/>
    <xf numFmtId="3" fontId="6" fillId="4" borderId="5" pivotButton="0" quotePrefix="0" xfId="0"/>
    <xf numFmtId="164" fontId="6" fillId="4" borderId="5" pivotButton="0" quotePrefix="0" xfId="0"/>
    <xf numFmtId="165" fontId="6" fillId="4" borderId="5" pivotButton="0" quotePrefix="0" xfId="0"/>
    <xf numFmtId="166" fontId="6" fillId="4" borderId="5" pivotButton="0" quotePrefix="0" xfId="0"/>
    <xf numFmtId="0" fontId="5" fillId="5" borderId="4" applyAlignment="1" pivotButton="0" quotePrefix="0" xfId="0">
      <alignment horizontal="center" vertical="center" wrapText="1"/>
    </xf>
    <xf numFmtId="0" fontId="9" fillId="6" borderId="5" pivotButton="0" quotePrefix="0" xfId="0"/>
    <xf numFmtId="3" fontId="9" fillId="6" borderId="5" pivotButton="0" quotePrefix="0" xfId="0"/>
    <xf numFmtId="167" fontId="9" fillId="6" borderId="5" pivotButton="0" quotePrefix="0" xfId="0"/>
    <xf numFmtId="168" fontId="9" fillId="6" borderId="5" pivotButton="0" quotePrefix="0" xfId="0"/>
    <xf numFmtId="9" fontId="9" fillId="6" borderId="5" pivotButton="0" quotePrefix="0" xfId="0"/>
    <xf numFmtId="167" fontId="6" fillId="0" borderId="5" pivotButton="0" quotePrefix="0" xfId="0"/>
    <xf numFmtId="168" fontId="6" fillId="0" borderId="5" pivotButton="0" quotePrefix="0" xfId="0"/>
    <xf numFmtId="9" fontId="6" fillId="0" borderId="5" pivotButton="0" quotePrefix="0" xfId="0"/>
    <xf numFmtId="167" fontId="6" fillId="4" borderId="5" pivotButton="0" quotePrefix="0" xfId="0"/>
    <xf numFmtId="168" fontId="6" fillId="4" borderId="5" pivotButton="0" quotePrefix="0" xfId="0"/>
    <xf numFmtId="9" fontId="6" fillId="4" borderId="5" pivotButton="0" quotePrefix="0" xfId="0"/>
    <xf numFmtId="0" fontId="5" fillId="14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8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3" fontId="9" fillId="6" borderId="5" applyAlignment="1" pivotButton="0" quotePrefix="0" xfId="0">
      <alignment horizontal="left" vertical="center"/>
    </xf>
    <xf numFmtId="167" fontId="9" fillId="6" borderId="5" applyAlignment="1" pivotButton="0" quotePrefix="0" xfId="0">
      <alignment horizontal="left" vertical="center"/>
    </xf>
    <xf numFmtId="168" fontId="9" fillId="6" borderId="5" applyAlignment="1" pivotButton="0" quotePrefix="0" xfId="0">
      <alignment horizontal="left" vertical="center"/>
    </xf>
    <xf numFmtId="9" fontId="9" fillId="6" borderId="5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3" fontId="6" fillId="0" borderId="5" applyAlignment="1" pivotButton="0" quotePrefix="0" xfId="0">
      <alignment horizontal="left" vertical="center"/>
    </xf>
    <xf numFmtId="167" fontId="6" fillId="0" borderId="5" applyAlignment="1" pivotButton="0" quotePrefix="0" xfId="0">
      <alignment horizontal="left" vertical="center"/>
    </xf>
    <xf numFmtId="168" fontId="6" fillId="0" borderId="5" applyAlignment="1" pivotButton="0" quotePrefix="0" xfId="0">
      <alignment horizontal="left" vertical="center"/>
    </xf>
    <xf numFmtId="9" fontId="6" fillId="0" borderId="5" applyAlignment="1" pivotButton="0" quotePrefix="0" xfId="0">
      <alignment horizontal="left" vertical="center"/>
    </xf>
    <xf numFmtId="0" fontId="6" fillId="4" borderId="5" applyAlignment="1" pivotButton="0" quotePrefix="0" xfId="0">
      <alignment horizontal="left" vertical="center"/>
    </xf>
    <xf numFmtId="3" fontId="6" fillId="4" borderId="5" applyAlignment="1" pivotButton="0" quotePrefix="0" xfId="0">
      <alignment horizontal="left" vertical="center"/>
    </xf>
    <xf numFmtId="167" fontId="6" fillId="4" borderId="5" applyAlignment="1" pivotButton="0" quotePrefix="0" xfId="0">
      <alignment horizontal="left" vertical="center"/>
    </xf>
    <xf numFmtId="168" fontId="6" fillId="4" borderId="5" applyAlignment="1" pivotButton="0" quotePrefix="0" xfId="0">
      <alignment horizontal="left" vertical="center"/>
    </xf>
    <xf numFmtId="9" fontId="6" fillId="4" borderId="5" applyAlignment="1" pivotButton="0" quotePrefix="0" xfId="0">
      <alignment horizontal="left" vertical="center"/>
    </xf>
    <xf numFmtId="164" fontId="6" fillId="0" borderId="5" applyAlignment="1" pivotButton="0" quotePrefix="0" xfId="0">
      <alignment horizontal="left" vertical="center"/>
    </xf>
    <xf numFmtId="165" fontId="6" fillId="0" borderId="5" applyAlignment="1" pivotButton="0" quotePrefix="0" xfId="0">
      <alignment horizontal="left" vertical="center"/>
    </xf>
    <xf numFmtId="164" fontId="6" fillId="4" borderId="5" applyAlignment="1" pivotButton="0" quotePrefix="0" xfId="0">
      <alignment horizontal="left" vertical="center"/>
    </xf>
    <xf numFmtId="165" fontId="6" fillId="4" borderId="5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5" fillId="12" borderId="4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 wrapText="1"/>
    </xf>
    <xf numFmtId="0" fontId="5" fillId="11" borderId="4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5" fillId="1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5" fillId="9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5" fillId="8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5" fillId="7" borderId="4" applyAlignment="1" pivotButton="0" quotePrefix="0" xfId="0">
      <alignment horizontal="left" vertical="center" wrapText="1"/>
    </xf>
    <xf numFmtId="0" fontId="1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1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YTD Registrations by Market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Dashboard!B9</f>
              <strCache>
                <ptCount val="1"/>
                <pt idx="0">
                  <v>YTD Regs</v>
                </pt>
              </strCache>
            </strRef>
          </tx>
          <spPr>
            <a:solidFill xmlns:a="http://schemas.openxmlformats.org/drawingml/2006/main">
              <a:srgbClr val="4A9EFF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Dashboard!$A$10:$A$19</f>
              <strCache>
                <ptCount val="10"/>
                <pt idx="0">
                  <v>US</v>
                </pt>
                <pt idx="1">
                  <v>UK</v>
                </pt>
                <pt idx="2">
                  <v>DE</v>
                </pt>
                <pt idx="3">
                  <v>FR</v>
                </pt>
                <pt idx="4">
                  <v>IT</v>
                </pt>
                <pt idx="5">
                  <v>ES</v>
                </pt>
                <pt idx="6">
                  <v>CA</v>
                </pt>
                <pt idx="7">
                  <v>JP</v>
                </pt>
                <pt idx="8">
                  <v>MX</v>
                </pt>
                <pt idx="9">
                  <v>AU</v>
                </pt>
              </strCache>
            </strRef>
          </cat>
          <val>
            <numRef>
              <f>Dashboard!$B$10:$B$19</f>
              <numCache>
                <formatCode>#,##0</formatCode>
                <ptCount val="10"/>
                <pt idx="0">
                  <v>125537</v>
                </pt>
                <pt idx="1">
                  <v>21270</v>
                </pt>
                <pt idx="2">
                  <v>20651</v>
                </pt>
                <pt idx="3">
                  <v>15876</v>
                </pt>
                <pt idx="4">
                  <v>18802</v>
                </pt>
                <pt idx="5">
                  <v>9148</v>
                </pt>
                <pt idx="6">
                  <v>10416</v>
                </pt>
                <pt idx="7">
                  <v>9293</v>
                </pt>
                <pt idx="8">
                  <v>4379</v>
                </pt>
                <pt idx="9">
                  <v>3590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Market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Registrations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US!$C$36:$C$87</f>
              <numCache>
                <formatCode>#,##0</formatCode>
                <ptCount val="52"/>
                <pt idx="0">
                  <v>8107</v>
                </pt>
                <pt idx="1">
                  <v>9060</v>
                </pt>
                <pt idx="2">
                  <v>9133</v>
                </pt>
                <pt idx="3">
                  <v>8517</v>
                </pt>
                <pt idx="4">
                  <v>8827</v>
                </pt>
                <pt idx="5">
                  <v>8852</v>
                </pt>
                <pt idx="6">
                  <v>7727</v>
                </pt>
                <pt idx="7">
                  <v>7948</v>
                </pt>
                <pt idx="8">
                  <v>8007</v>
                </pt>
                <pt idx="9">
                  <v>7535</v>
                </pt>
                <pt idx="10">
                  <v>8281</v>
                </pt>
                <pt idx="11">
                  <v>8129</v>
                </pt>
                <pt idx="12">
                  <v>8619</v>
                </pt>
                <pt idx="13">
                  <v>7559</v>
                </pt>
                <pt idx="14">
                  <v>9236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US!$F$36:$F$87</f>
              <numCache>
                <formatCode>#,##0</formatCode>
                <ptCount val="52"/>
                <pt idx="15">
                  <v>7769</v>
                </pt>
                <pt idx="16">
                  <v>7769</v>
                </pt>
                <pt idx="17">
                  <v>6207</v>
                </pt>
                <pt idx="18">
                  <v>6207</v>
                </pt>
                <pt idx="19">
                  <v>6207</v>
                </pt>
                <pt idx="20">
                  <v>6207</v>
                </pt>
                <pt idx="21">
                  <v>6207</v>
                </pt>
                <pt idx="22">
                  <v>7473</v>
                </pt>
                <pt idx="23">
                  <v>7473</v>
                </pt>
                <pt idx="24">
                  <v>7473</v>
                </pt>
                <pt idx="25">
                  <v>7473</v>
                </pt>
                <pt idx="26">
                  <v>6432</v>
                </pt>
                <pt idx="27">
                  <v>6432</v>
                </pt>
                <pt idx="28">
                  <v>6432</v>
                </pt>
                <pt idx="29">
                  <v>6432</v>
                </pt>
                <pt idx="30">
                  <v>6432</v>
                </pt>
                <pt idx="31">
                  <v>7708</v>
                </pt>
                <pt idx="32">
                  <v>7708</v>
                </pt>
                <pt idx="33">
                  <v>7708</v>
                </pt>
                <pt idx="34">
                  <v>7708</v>
                </pt>
                <pt idx="35">
                  <v>7615</v>
                </pt>
                <pt idx="36">
                  <v>7615</v>
                </pt>
                <pt idx="37">
                  <v>7615</v>
                </pt>
                <pt idx="38">
                  <v>7615</v>
                </pt>
                <pt idx="39">
                  <v>6523</v>
                </pt>
                <pt idx="40">
                  <v>6523</v>
                </pt>
                <pt idx="41">
                  <v>6523</v>
                </pt>
                <pt idx="42">
                  <v>6523</v>
                </pt>
                <pt idx="43">
                  <v>6523</v>
                </pt>
                <pt idx="44">
                  <v>6695</v>
                </pt>
                <pt idx="45">
                  <v>6695</v>
                </pt>
                <pt idx="46">
                  <v>6695</v>
                </pt>
                <pt idx="47">
                  <v>6695</v>
                </pt>
                <pt idx="48">
                  <v>6676</v>
                </pt>
                <pt idx="49">
                  <v>6676</v>
                </pt>
                <pt idx="50">
                  <v>6676</v>
                </pt>
                <pt idx="51">
                  <v>6676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US!$E$36:$E$87</f>
              <numCache>
                <formatCode>\$#,##0.00</formatCode>
                <ptCount val="52"/>
                <pt idx="0">
                  <v>69.01000000000001</v>
                </pt>
                <pt idx="1">
                  <v>70.56999999999999</v>
                </pt>
                <pt idx="2">
                  <v>67.41</v>
                </pt>
                <pt idx="3">
                  <v>70.33</v>
                </pt>
                <pt idx="4">
                  <v>68.72</v>
                </pt>
                <pt idx="5">
                  <v>79.23999999999999</v>
                </pt>
                <pt idx="6">
                  <v>92.94</v>
                </pt>
                <pt idx="7">
                  <v>83.91</v>
                </pt>
                <pt idx="8">
                  <v>81.90000000000001</v>
                </pt>
                <pt idx="9">
                  <v>79.56999999999999</v>
                </pt>
                <pt idx="10">
                  <v>77.93000000000001</v>
                </pt>
                <pt idx="11">
                  <v>73.63</v>
                </pt>
                <pt idx="12">
                  <v>67.63</v>
                </pt>
                <pt idx="13">
                  <v>88.34</v>
                </pt>
                <pt idx="14">
                  <v>73.44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UK!$C$36:$C$87</f>
              <numCache>
                <formatCode>#,##0</formatCode>
                <ptCount val="52"/>
                <pt idx="0">
                  <v>1005</v>
                </pt>
                <pt idx="1">
                  <v>1540</v>
                </pt>
                <pt idx="2">
                  <v>1769</v>
                </pt>
                <pt idx="3">
                  <v>1598</v>
                </pt>
                <pt idx="4">
                  <v>1325</v>
                </pt>
                <pt idx="5">
                  <v>1422</v>
                </pt>
                <pt idx="6">
                  <v>1369</v>
                </pt>
                <pt idx="7">
                  <v>1329</v>
                </pt>
                <pt idx="8">
                  <v>1457</v>
                </pt>
                <pt idx="9">
                  <v>1388</v>
                </pt>
                <pt idx="10">
                  <v>1351</v>
                </pt>
                <pt idx="11">
                  <v>1326</v>
                </pt>
                <pt idx="12">
                  <v>1480</v>
                </pt>
                <pt idx="13">
                  <v>1458</v>
                </pt>
                <pt idx="14">
                  <v>1453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UK!F35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UK!$F$36:$F$87</f>
              <numCache>
                <formatCode>#,##0</formatCode>
                <ptCount val="52"/>
                <pt idx="15">
                  <v>1123</v>
                </pt>
                <pt idx="16">
                  <v>1123</v>
                </pt>
                <pt idx="17">
                  <v>872</v>
                </pt>
                <pt idx="18">
                  <v>872</v>
                </pt>
                <pt idx="19">
                  <v>872</v>
                </pt>
                <pt idx="20">
                  <v>872</v>
                </pt>
                <pt idx="21">
                  <v>872</v>
                </pt>
                <pt idx="22">
                  <v>1057</v>
                </pt>
                <pt idx="23">
                  <v>1057</v>
                </pt>
                <pt idx="24">
                  <v>1057</v>
                </pt>
                <pt idx="25">
                  <v>1057</v>
                </pt>
                <pt idx="26">
                  <v>949</v>
                </pt>
                <pt idx="27">
                  <v>949</v>
                </pt>
                <pt idx="28">
                  <v>949</v>
                </pt>
                <pt idx="29">
                  <v>949</v>
                </pt>
                <pt idx="30">
                  <v>949</v>
                </pt>
                <pt idx="31">
                  <v>1034</v>
                </pt>
                <pt idx="32">
                  <v>1034</v>
                </pt>
                <pt idx="33">
                  <v>1034</v>
                </pt>
                <pt idx="34">
                  <v>1034</v>
                </pt>
                <pt idx="35">
                  <v>1396</v>
                </pt>
                <pt idx="36">
                  <v>1396</v>
                </pt>
                <pt idx="37">
                  <v>1396</v>
                </pt>
                <pt idx="38">
                  <v>1396</v>
                </pt>
                <pt idx="39">
                  <v>1255</v>
                </pt>
                <pt idx="40">
                  <v>1255</v>
                </pt>
                <pt idx="41">
                  <v>1255</v>
                </pt>
                <pt idx="42">
                  <v>1255</v>
                </pt>
                <pt idx="43">
                  <v>1255</v>
                </pt>
                <pt idx="44">
                  <v>1558</v>
                </pt>
                <pt idx="45">
                  <v>1558</v>
                </pt>
                <pt idx="46">
                  <v>1558</v>
                </pt>
                <pt idx="47">
                  <v>1558</v>
                </pt>
                <pt idx="48">
                  <v>1004</v>
                </pt>
                <pt idx="49">
                  <v>1004</v>
                </pt>
                <pt idx="50">
                  <v>1004</v>
                </pt>
                <pt idx="51">
                  <v>1004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UK!$E$36:$E$87</f>
              <numCache>
                <formatCode>\$#,##0.00</formatCode>
                <ptCount val="52"/>
                <pt idx="0">
                  <v>60.17</v>
                </pt>
                <pt idx="1">
                  <v>76.58</v>
                </pt>
                <pt idx="2">
                  <v>79.92</v>
                </pt>
                <pt idx="3">
                  <v>77.28</v>
                </pt>
                <pt idx="4">
                  <v>59.56</v>
                </pt>
                <pt idx="5">
                  <v>63.34</v>
                </pt>
                <pt idx="6">
                  <v>69.01000000000001</v>
                </pt>
                <pt idx="7">
                  <v>72.12</v>
                </pt>
                <pt idx="8">
                  <v>71.79000000000001</v>
                </pt>
                <pt idx="9">
                  <v>68.8</v>
                </pt>
                <pt idx="10">
                  <v>64.98999999999999</v>
                </pt>
                <pt idx="11">
                  <v>67.79000000000001</v>
                </pt>
                <pt idx="12">
                  <v>57.83</v>
                </pt>
                <pt idx="13">
                  <v>58.47</v>
                </pt>
                <pt idx="14">
                  <v>62.54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DE!$C$36:$C$87</f>
              <numCache>
                <formatCode>#,##0</formatCode>
                <ptCount val="52"/>
                <pt idx="0">
                  <v>1079</v>
                </pt>
                <pt idx="1">
                  <v>1686</v>
                </pt>
                <pt idx="2">
                  <v>1717</v>
                </pt>
                <pt idx="3">
                  <v>1744</v>
                </pt>
                <pt idx="4">
                  <v>1430</v>
                </pt>
                <pt idx="5">
                  <v>1478</v>
                </pt>
                <pt idx="6">
                  <v>1504</v>
                </pt>
                <pt idx="7">
                  <v>1412</v>
                </pt>
                <pt idx="8">
                  <v>1364</v>
                </pt>
                <pt idx="9">
                  <v>1393</v>
                </pt>
                <pt idx="10">
                  <v>1493</v>
                </pt>
                <pt idx="11">
                  <v>1192</v>
                </pt>
                <pt idx="12">
                  <v>634</v>
                </pt>
                <pt idx="13">
                  <v>1315</v>
                </pt>
                <pt idx="14">
                  <v>1210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DE!F35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DE!$F$36:$F$87</f>
              <numCache>
                <formatCode>#,##0</formatCode>
                <ptCount val="52"/>
                <pt idx="15">
                  <v>1437</v>
                </pt>
                <pt idx="16">
                  <v>1437</v>
                </pt>
                <pt idx="17">
                  <v>1147</v>
                </pt>
                <pt idx="18">
                  <v>1147</v>
                </pt>
                <pt idx="19">
                  <v>1147</v>
                </pt>
                <pt idx="20">
                  <v>1147</v>
                </pt>
                <pt idx="21">
                  <v>1147</v>
                </pt>
                <pt idx="22">
                  <v>1453</v>
                </pt>
                <pt idx="23">
                  <v>1453</v>
                </pt>
                <pt idx="24">
                  <v>1453</v>
                </pt>
                <pt idx="25">
                  <v>1453</v>
                </pt>
                <pt idx="26">
                  <v>1365</v>
                </pt>
                <pt idx="27">
                  <v>1365</v>
                </pt>
                <pt idx="28">
                  <v>1365</v>
                </pt>
                <pt idx="29">
                  <v>1365</v>
                </pt>
                <pt idx="30">
                  <v>1365</v>
                </pt>
                <pt idx="31">
                  <v>1264</v>
                </pt>
                <pt idx="32">
                  <v>1264</v>
                </pt>
                <pt idx="33">
                  <v>1264</v>
                </pt>
                <pt idx="34">
                  <v>1264</v>
                </pt>
                <pt idx="35">
                  <v>1561</v>
                </pt>
                <pt idx="36">
                  <v>1561</v>
                </pt>
                <pt idx="37">
                  <v>1561</v>
                </pt>
                <pt idx="38">
                  <v>1561</v>
                </pt>
                <pt idx="39">
                  <v>1352</v>
                </pt>
                <pt idx="40">
                  <v>1352</v>
                </pt>
                <pt idx="41">
                  <v>1352</v>
                </pt>
                <pt idx="42">
                  <v>1352</v>
                </pt>
                <pt idx="43">
                  <v>1352</v>
                </pt>
                <pt idx="44">
                  <v>1744</v>
                </pt>
                <pt idx="45">
                  <v>1744</v>
                </pt>
                <pt idx="46">
                  <v>1744</v>
                </pt>
                <pt idx="47">
                  <v>1744</v>
                </pt>
                <pt idx="48">
                  <v>1232</v>
                </pt>
                <pt idx="49">
                  <v>1232</v>
                </pt>
                <pt idx="50">
                  <v>1232</v>
                </pt>
                <pt idx="51">
                  <v>1232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DE!$E$36:$E$87</f>
              <numCache>
                <formatCode>\$#,##0.00</formatCode>
                <ptCount val="52"/>
                <pt idx="0">
                  <v>105.23</v>
                </pt>
                <pt idx="1">
                  <v>115.5</v>
                </pt>
                <pt idx="2">
                  <v>142.73</v>
                </pt>
                <pt idx="3">
                  <v>135.11</v>
                </pt>
                <pt idx="4">
                  <v>88.69</v>
                </pt>
                <pt idx="5">
                  <v>104.66</v>
                </pt>
                <pt idx="6">
                  <v>106.32</v>
                </pt>
                <pt idx="7">
                  <v>114.79</v>
                </pt>
                <pt idx="8">
                  <v>140.37</v>
                </pt>
                <pt idx="9">
                  <v>113.36</v>
                </pt>
                <pt idx="10">
                  <v>114.18</v>
                </pt>
                <pt idx="11">
                  <v>116.05</v>
                </pt>
                <pt idx="12">
                  <v>172.9</v>
                </pt>
                <pt idx="13">
                  <v>77.88</v>
                </pt>
                <pt idx="14">
                  <v>93.09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FR!$C$36:$C$87</f>
              <numCache>
                <formatCode>#,##0</formatCode>
                <ptCount val="52"/>
                <pt idx="0">
                  <v>657</v>
                </pt>
                <pt idx="1">
                  <v>1116</v>
                </pt>
                <pt idx="2">
                  <v>1051</v>
                </pt>
                <pt idx="3">
                  <v>1075</v>
                </pt>
                <pt idx="4">
                  <v>1051</v>
                </pt>
                <pt idx="5">
                  <v>1013</v>
                </pt>
                <pt idx="6">
                  <v>1083</v>
                </pt>
                <pt idx="7">
                  <v>1121</v>
                </pt>
                <pt idx="8">
                  <v>1095</v>
                </pt>
                <pt idx="9">
                  <v>1075</v>
                </pt>
                <pt idx="10">
                  <v>1195</v>
                </pt>
                <pt idx="11">
                  <v>1140</v>
                </pt>
                <pt idx="12">
                  <v>1170</v>
                </pt>
                <pt idx="13">
                  <v>1148</v>
                </pt>
                <pt idx="14">
                  <v>886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FR!F35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FR!$F$36:$F$87</f>
              <numCache>
                <formatCode>#,##0</formatCode>
                <ptCount val="52"/>
                <pt idx="15">
                  <v>1029</v>
                </pt>
                <pt idx="16">
                  <v>1029</v>
                </pt>
                <pt idx="17">
                  <v>754</v>
                </pt>
                <pt idx="18">
                  <v>754</v>
                </pt>
                <pt idx="19">
                  <v>754</v>
                </pt>
                <pt idx="20">
                  <v>754</v>
                </pt>
                <pt idx="21">
                  <v>754</v>
                </pt>
                <pt idx="22">
                  <v>1034</v>
                </pt>
                <pt idx="23">
                  <v>1034</v>
                </pt>
                <pt idx="24">
                  <v>1034</v>
                </pt>
                <pt idx="25">
                  <v>1034</v>
                </pt>
                <pt idx="26">
                  <v>857</v>
                </pt>
                <pt idx="27">
                  <v>857</v>
                </pt>
                <pt idx="28">
                  <v>857</v>
                </pt>
                <pt idx="29">
                  <v>857</v>
                </pt>
                <pt idx="30">
                  <v>857</v>
                </pt>
                <pt idx="31">
                  <v>917</v>
                </pt>
                <pt idx="32">
                  <v>917</v>
                </pt>
                <pt idx="33">
                  <v>917</v>
                </pt>
                <pt idx="34">
                  <v>917</v>
                </pt>
                <pt idx="35">
                  <v>1303</v>
                </pt>
                <pt idx="36">
                  <v>1303</v>
                </pt>
                <pt idx="37">
                  <v>1303</v>
                </pt>
                <pt idx="38">
                  <v>1303</v>
                </pt>
                <pt idx="39">
                  <v>1045</v>
                </pt>
                <pt idx="40">
                  <v>1045</v>
                </pt>
                <pt idx="41">
                  <v>1045</v>
                </pt>
                <pt idx="42">
                  <v>1045</v>
                </pt>
                <pt idx="43">
                  <v>1045</v>
                </pt>
                <pt idx="44">
                  <v>1336</v>
                </pt>
                <pt idx="45">
                  <v>1336</v>
                </pt>
                <pt idx="46">
                  <v>1336</v>
                </pt>
                <pt idx="47">
                  <v>1336</v>
                </pt>
                <pt idx="48">
                  <v>910</v>
                </pt>
                <pt idx="49">
                  <v>910</v>
                </pt>
                <pt idx="50">
                  <v>910</v>
                </pt>
                <pt idx="51">
                  <v>910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FR!$E$36:$E$87</f>
              <numCache>
                <formatCode>\$#,##0.00</formatCode>
                <ptCount val="52"/>
                <pt idx="0">
                  <v>46.04</v>
                </pt>
                <pt idx="1">
                  <v>42.72</v>
                </pt>
                <pt idx="2">
                  <v>67.23999999999999</v>
                </pt>
                <pt idx="3">
                  <v>65.08</v>
                </pt>
                <pt idx="4">
                  <v>61.29</v>
                </pt>
                <pt idx="5">
                  <v>57.11</v>
                </pt>
                <pt idx="6">
                  <v>57.43</v>
                </pt>
                <pt idx="7">
                  <v>62.24</v>
                </pt>
                <pt idx="8">
                  <v>70.66</v>
                </pt>
                <pt idx="9">
                  <v>73.37</v>
                </pt>
                <pt idx="10">
                  <v>59.97</v>
                </pt>
                <pt idx="11">
                  <v>53.34</v>
                </pt>
                <pt idx="12">
                  <v>59.26</v>
                </pt>
                <pt idx="13">
                  <v>57.72</v>
                </pt>
                <pt idx="14">
                  <v>68.59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IT!$C$36:$C$87</f>
              <numCache>
                <formatCode>#,##0</formatCode>
                <ptCount val="52"/>
                <pt idx="0">
                  <v>722</v>
                </pt>
                <pt idx="1">
                  <v>1301</v>
                </pt>
                <pt idx="2">
                  <v>1372</v>
                </pt>
                <pt idx="3">
                  <v>1319</v>
                </pt>
                <pt idx="4">
                  <v>1365</v>
                </pt>
                <pt idx="5">
                  <v>1340</v>
                </pt>
                <pt idx="6">
                  <v>1271</v>
                </pt>
                <pt idx="7">
                  <v>1303</v>
                </pt>
                <pt idx="8">
                  <v>1327</v>
                </pt>
                <pt idx="9">
                  <v>1150</v>
                </pt>
                <pt idx="10">
                  <v>1439</v>
                </pt>
                <pt idx="11">
                  <v>1244</v>
                </pt>
                <pt idx="12">
                  <v>1339</v>
                </pt>
                <pt idx="13">
                  <v>1320</v>
                </pt>
                <pt idx="14">
                  <v>990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IT!F35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IT!$F$36:$F$87</f>
              <numCache>
                <formatCode>#,##0</formatCode>
                <ptCount val="52"/>
                <pt idx="15">
                  <v>1260</v>
                </pt>
                <pt idx="16">
                  <v>1260</v>
                </pt>
                <pt idx="17">
                  <v>1071</v>
                </pt>
                <pt idx="18">
                  <v>1071</v>
                </pt>
                <pt idx="19">
                  <v>1071</v>
                </pt>
                <pt idx="20">
                  <v>1071</v>
                </pt>
                <pt idx="21">
                  <v>1071</v>
                </pt>
                <pt idx="22">
                  <v>1236</v>
                </pt>
                <pt idx="23">
                  <v>1236</v>
                </pt>
                <pt idx="24">
                  <v>1236</v>
                </pt>
                <pt idx="25">
                  <v>1236</v>
                </pt>
                <pt idx="26">
                  <v>1057</v>
                </pt>
                <pt idx="27">
                  <v>1057</v>
                </pt>
                <pt idx="28">
                  <v>1057</v>
                </pt>
                <pt idx="29">
                  <v>1057</v>
                </pt>
                <pt idx="30">
                  <v>1057</v>
                </pt>
                <pt idx="31">
                  <v>960</v>
                </pt>
                <pt idx="32">
                  <v>960</v>
                </pt>
                <pt idx="33">
                  <v>960</v>
                </pt>
                <pt idx="34">
                  <v>960</v>
                </pt>
                <pt idx="35">
                  <v>1470</v>
                </pt>
                <pt idx="36">
                  <v>1470</v>
                </pt>
                <pt idx="37">
                  <v>1470</v>
                </pt>
                <pt idx="38">
                  <v>1470</v>
                </pt>
                <pt idx="39">
                  <v>1282</v>
                </pt>
                <pt idx="40">
                  <v>1282</v>
                </pt>
                <pt idx="41">
                  <v>1282</v>
                </pt>
                <pt idx="42">
                  <v>1282</v>
                </pt>
                <pt idx="43">
                  <v>1282</v>
                </pt>
                <pt idx="44">
                  <v>1612</v>
                </pt>
                <pt idx="45">
                  <v>1612</v>
                </pt>
                <pt idx="46">
                  <v>1612</v>
                </pt>
                <pt idx="47">
                  <v>1612</v>
                </pt>
                <pt idx="48">
                  <v>1172</v>
                </pt>
                <pt idx="49">
                  <v>1172</v>
                </pt>
                <pt idx="50">
                  <v>1172</v>
                </pt>
                <pt idx="51">
                  <v>1172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IT!$E$36:$E$87</f>
              <numCache>
                <formatCode>\$#,##0.00</formatCode>
                <ptCount val="52"/>
                <pt idx="0">
                  <v>56.46</v>
                </pt>
                <pt idx="1">
                  <v>58.89</v>
                </pt>
                <pt idx="2">
                  <v>87.7</v>
                </pt>
                <pt idx="3">
                  <v>87.8</v>
                </pt>
                <pt idx="4">
                  <v>61.19</v>
                </pt>
                <pt idx="5">
                  <v>57.69</v>
                </pt>
                <pt idx="6">
                  <v>74.75</v>
                </pt>
                <pt idx="7">
                  <v>78.8</v>
                </pt>
                <pt idx="8">
                  <v>74.09</v>
                </pt>
                <pt idx="9">
                  <v>85.95</v>
                </pt>
                <pt idx="10">
                  <v>64.95</v>
                </pt>
                <pt idx="11">
                  <v>62.44</v>
                </pt>
                <pt idx="12">
                  <v>72.53</v>
                </pt>
                <pt idx="13">
                  <v>71.98999999999999</v>
                </pt>
                <pt idx="14">
                  <v>100.67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ES!$C$36:$C$87</f>
              <numCache>
                <formatCode>#,##0</formatCode>
                <ptCount val="52"/>
                <pt idx="0">
                  <v>390</v>
                </pt>
                <pt idx="1">
                  <v>506</v>
                </pt>
                <pt idx="2">
                  <v>679</v>
                </pt>
                <pt idx="3">
                  <v>665</v>
                </pt>
                <pt idx="4">
                  <v>676</v>
                </pt>
                <pt idx="5">
                  <v>635</v>
                </pt>
                <pt idx="6">
                  <v>646</v>
                </pt>
                <pt idx="7">
                  <v>622</v>
                </pt>
                <pt idx="8">
                  <v>639</v>
                </pt>
                <pt idx="9">
                  <v>634</v>
                </pt>
                <pt idx="10">
                  <v>711</v>
                </pt>
                <pt idx="11">
                  <v>641</v>
                </pt>
                <pt idx="12">
                  <v>631</v>
                </pt>
                <pt idx="13">
                  <v>474</v>
                </pt>
                <pt idx="14">
                  <v>599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ES!F35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ES!$F$36:$F$87</f>
              <numCache>
                <formatCode>#,##0</formatCode>
                <ptCount val="52"/>
                <pt idx="15">
                  <v>491</v>
                </pt>
                <pt idx="16">
                  <v>491</v>
                </pt>
                <pt idx="17">
                  <v>469</v>
                </pt>
                <pt idx="18">
                  <v>469</v>
                </pt>
                <pt idx="19">
                  <v>469</v>
                </pt>
                <pt idx="20">
                  <v>469</v>
                </pt>
                <pt idx="21">
                  <v>469</v>
                </pt>
                <pt idx="22">
                  <v>615</v>
                </pt>
                <pt idx="23">
                  <v>615</v>
                </pt>
                <pt idx="24">
                  <v>615</v>
                </pt>
                <pt idx="25">
                  <v>615</v>
                </pt>
                <pt idx="26">
                  <v>524</v>
                </pt>
                <pt idx="27">
                  <v>524</v>
                </pt>
                <pt idx="28">
                  <v>524</v>
                </pt>
                <pt idx="29">
                  <v>524</v>
                </pt>
                <pt idx="30">
                  <v>524</v>
                </pt>
                <pt idx="31">
                  <v>474</v>
                </pt>
                <pt idx="32">
                  <v>474</v>
                </pt>
                <pt idx="33">
                  <v>474</v>
                </pt>
                <pt idx="34">
                  <v>474</v>
                </pt>
                <pt idx="35">
                  <v>715</v>
                </pt>
                <pt idx="36">
                  <v>715</v>
                </pt>
                <pt idx="37">
                  <v>715</v>
                </pt>
                <pt idx="38">
                  <v>715</v>
                </pt>
                <pt idx="39">
                  <v>650</v>
                </pt>
                <pt idx="40">
                  <v>650</v>
                </pt>
                <pt idx="41">
                  <v>650</v>
                </pt>
                <pt idx="42">
                  <v>650</v>
                </pt>
                <pt idx="43">
                  <v>650</v>
                </pt>
                <pt idx="44">
                  <v>847</v>
                </pt>
                <pt idx="45">
                  <v>847</v>
                </pt>
                <pt idx="46">
                  <v>847</v>
                </pt>
                <pt idx="47">
                  <v>847</v>
                </pt>
                <pt idx="48">
                  <v>473</v>
                </pt>
                <pt idx="49">
                  <v>473</v>
                </pt>
                <pt idx="50">
                  <v>473</v>
                </pt>
                <pt idx="51">
                  <v>473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ES!$E$36:$E$87</f>
              <numCache>
                <formatCode>\$#,##0.00</formatCode>
                <ptCount val="52"/>
                <pt idx="0">
                  <v>54.91</v>
                </pt>
                <pt idx="1">
                  <v>75.95</v>
                </pt>
                <pt idx="2">
                  <v>60.12</v>
                </pt>
                <pt idx="3">
                  <v>49.42</v>
                </pt>
                <pt idx="4">
                  <v>48.76</v>
                </pt>
                <pt idx="5">
                  <v>51.35</v>
                </pt>
                <pt idx="6">
                  <v>54.77</v>
                </pt>
                <pt idx="7">
                  <v>59.77</v>
                </pt>
                <pt idx="8">
                  <v>63.39</v>
                </pt>
                <pt idx="9">
                  <v>68.70999999999999</v>
                </pt>
                <pt idx="10">
                  <v>56.63</v>
                </pt>
                <pt idx="11">
                  <v>50.96</v>
                </pt>
                <pt idx="12">
                  <v>60.48</v>
                </pt>
                <pt idx="13">
                  <v>63.82</v>
                </pt>
                <pt idx="14">
                  <v>67.3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CA!$C$36:$C$87</f>
              <numCache>
                <formatCode>#,##0</formatCode>
                <ptCount val="52"/>
                <pt idx="0">
                  <v>612</v>
                </pt>
                <pt idx="1">
                  <v>641</v>
                </pt>
                <pt idx="2">
                  <v>716</v>
                </pt>
                <pt idx="3">
                  <v>743</v>
                </pt>
                <pt idx="4">
                  <v>750</v>
                </pt>
                <pt idx="5">
                  <v>729</v>
                </pt>
                <pt idx="6">
                  <v>699</v>
                </pt>
                <pt idx="7">
                  <v>688</v>
                </pt>
                <pt idx="8">
                  <v>689</v>
                </pt>
                <pt idx="9">
                  <v>642</v>
                </pt>
                <pt idx="10">
                  <v>744</v>
                </pt>
                <pt idx="11">
                  <v>676</v>
                </pt>
                <pt idx="12">
                  <v>773</v>
                </pt>
                <pt idx="13">
                  <v>634</v>
                </pt>
                <pt idx="14">
                  <v>680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CA!F35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CA!$F$36:$F$87</f>
              <numCache>
                <formatCode>#,##0</formatCode>
                <ptCount val="52"/>
                <pt idx="15">
                  <v>612</v>
                </pt>
                <pt idx="16">
                  <v>612</v>
                </pt>
                <pt idx="17">
                  <v>544</v>
                </pt>
                <pt idx="18">
                  <v>544</v>
                </pt>
                <pt idx="19">
                  <v>544</v>
                </pt>
                <pt idx="20">
                  <v>544</v>
                </pt>
                <pt idx="21">
                  <v>544</v>
                </pt>
                <pt idx="22">
                  <v>674</v>
                </pt>
                <pt idx="23">
                  <v>674</v>
                </pt>
                <pt idx="24">
                  <v>674</v>
                </pt>
                <pt idx="25">
                  <v>674</v>
                </pt>
                <pt idx="26">
                  <v>613</v>
                </pt>
                <pt idx="27">
                  <v>613</v>
                </pt>
                <pt idx="28">
                  <v>613</v>
                </pt>
                <pt idx="29">
                  <v>613</v>
                </pt>
                <pt idx="30">
                  <v>613</v>
                </pt>
                <pt idx="31">
                  <v>737</v>
                </pt>
                <pt idx="32">
                  <v>737</v>
                </pt>
                <pt idx="33">
                  <v>737</v>
                </pt>
                <pt idx="34">
                  <v>737</v>
                </pt>
                <pt idx="35">
                  <v>824</v>
                </pt>
                <pt idx="36">
                  <v>824</v>
                </pt>
                <pt idx="37">
                  <v>824</v>
                </pt>
                <pt idx="38">
                  <v>824</v>
                </pt>
                <pt idx="39">
                  <v>710</v>
                </pt>
                <pt idx="40">
                  <v>710</v>
                </pt>
                <pt idx="41">
                  <v>710</v>
                </pt>
                <pt idx="42">
                  <v>710</v>
                </pt>
                <pt idx="43">
                  <v>710</v>
                </pt>
                <pt idx="44">
                  <v>720</v>
                </pt>
                <pt idx="45">
                  <v>720</v>
                </pt>
                <pt idx="46">
                  <v>720</v>
                </pt>
                <pt idx="47">
                  <v>720</v>
                </pt>
                <pt idx="48">
                  <v>644</v>
                </pt>
                <pt idx="49">
                  <v>644</v>
                </pt>
                <pt idx="50">
                  <v>644</v>
                </pt>
                <pt idx="51">
                  <v>644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CA!$E$36:$E$87</f>
              <numCache>
                <formatCode>\$#,##0.00</formatCode>
                <ptCount val="52"/>
                <pt idx="0">
                  <v>85.84</v>
                </pt>
                <pt idx="1">
                  <v>85.93000000000001</v>
                </pt>
                <pt idx="2">
                  <v>76.72</v>
                </pt>
                <pt idx="3">
                  <v>70.67</v>
                </pt>
                <pt idx="4">
                  <v>67.81999999999999</v>
                </pt>
                <pt idx="5">
                  <v>70.87</v>
                </pt>
                <pt idx="6">
                  <v>71.81</v>
                </pt>
                <pt idx="7">
                  <v>77.75</v>
                </pt>
                <pt idx="8">
                  <v>75.88</v>
                </pt>
                <pt idx="9">
                  <v>78.63</v>
                </pt>
                <pt idx="10">
                  <v>69.95999999999999</v>
                </pt>
                <pt idx="11">
                  <v>78.12</v>
                </pt>
                <pt idx="12">
                  <v>67.27</v>
                </pt>
                <pt idx="13">
                  <v>80.06</v>
                </pt>
                <pt idx="14">
                  <v>83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JP!$C$36:$C$87</f>
              <numCache>
                <formatCode>#,##0</formatCode>
                <ptCount val="52"/>
                <pt idx="0">
                  <v>289</v>
                </pt>
                <pt idx="1">
                  <v>1003</v>
                </pt>
                <pt idx="2">
                  <v>972</v>
                </pt>
                <pt idx="3">
                  <v>1044</v>
                </pt>
                <pt idx="4">
                  <v>1004</v>
                </pt>
                <pt idx="5">
                  <v>495</v>
                </pt>
                <pt idx="6">
                  <v>435</v>
                </pt>
                <pt idx="7">
                  <v>439</v>
                </pt>
                <pt idx="8">
                  <v>404</v>
                </pt>
                <pt idx="9">
                  <v>526</v>
                </pt>
                <pt idx="10">
                  <v>513</v>
                </pt>
                <pt idx="11">
                  <v>423</v>
                </pt>
                <pt idx="12">
                  <v>545</v>
                </pt>
                <pt idx="13">
                  <v>606</v>
                </pt>
                <pt idx="14">
                  <v>595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JP!F35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JP!$F$36:$F$87</f>
              <numCache>
                <formatCode>#,##0</formatCode>
                <ptCount val="52"/>
                <pt idx="15">
                  <v>480</v>
                </pt>
                <pt idx="16">
                  <v>480</v>
                </pt>
                <pt idx="17">
                  <v>326</v>
                </pt>
                <pt idx="18">
                  <v>326</v>
                </pt>
                <pt idx="19">
                  <v>326</v>
                </pt>
                <pt idx="20">
                  <v>326</v>
                </pt>
                <pt idx="21">
                  <v>326</v>
                </pt>
                <pt idx="22">
                  <v>435</v>
                </pt>
                <pt idx="23">
                  <v>435</v>
                </pt>
                <pt idx="24">
                  <v>435</v>
                </pt>
                <pt idx="25">
                  <v>435</v>
                </pt>
                <pt idx="26">
                  <v>417</v>
                </pt>
                <pt idx="27">
                  <v>417</v>
                </pt>
                <pt idx="28">
                  <v>417</v>
                </pt>
                <pt idx="29">
                  <v>417</v>
                </pt>
                <pt idx="30">
                  <v>417</v>
                </pt>
                <pt idx="31">
                  <v>461</v>
                </pt>
                <pt idx="32">
                  <v>461</v>
                </pt>
                <pt idx="33">
                  <v>461</v>
                </pt>
                <pt idx="34">
                  <v>461</v>
                </pt>
                <pt idx="35">
                  <v>514</v>
                </pt>
                <pt idx="36">
                  <v>514</v>
                </pt>
                <pt idx="37">
                  <v>514</v>
                </pt>
                <pt idx="38">
                  <v>514</v>
                </pt>
                <pt idx="39">
                  <v>487</v>
                </pt>
                <pt idx="40">
                  <v>487</v>
                </pt>
                <pt idx="41">
                  <v>487</v>
                </pt>
                <pt idx="42">
                  <v>487</v>
                </pt>
                <pt idx="43">
                  <v>487</v>
                </pt>
                <pt idx="44">
                  <v>678</v>
                </pt>
                <pt idx="45">
                  <v>678</v>
                </pt>
                <pt idx="46">
                  <v>678</v>
                </pt>
                <pt idx="47">
                  <v>678</v>
                </pt>
                <pt idx="48">
                  <v>495</v>
                </pt>
                <pt idx="49">
                  <v>495</v>
                </pt>
                <pt idx="50">
                  <v>495</v>
                </pt>
                <pt idx="51">
                  <v>495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JP!$E$36:$E$87</f>
              <numCache>
                <formatCode>\$#,##0.00</formatCode>
                <ptCount val="52"/>
                <pt idx="0">
                  <v>47.76</v>
                </pt>
                <pt idx="1">
                  <v>39.42</v>
                </pt>
                <pt idx="2">
                  <v>31.91</v>
                </pt>
                <pt idx="3">
                  <v>36.16</v>
                </pt>
                <pt idx="4">
                  <v>33.6</v>
                </pt>
                <pt idx="5">
                  <v>66.53</v>
                </pt>
                <pt idx="6">
                  <v>65.03</v>
                </pt>
                <pt idx="7">
                  <v>67.14</v>
                </pt>
                <pt idx="8">
                  <v>74.98999999999999</v>
                </pt>
                <pt idx="9">
                  <v>74.61</v>
                </pt>
                <pt idx="10">
                  <v>74.73</v>
                </pt>
                <pt idx="11">
                  <v>86.34999999999999</v>
                </pt>
                <pt idx="12">
                  <v>87.08</v>
                </pt>
                <pt idx="13">
                  <v>75.54000000000001</v>
                </pt>
                <pt idx="14">
                  <v>68.15000000000001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MX!$C$36:$C$87</f>
              <numCache>
                <formatCode>#,##0</formatCode>
                <ptCount val="52"/>
                <pt idx="0">
                  <v>183</v>
                </pt>
                <pt idx="1">
                  <v>252</v>
                </pt>
                <pt idx="2">
                  <v>270</v>
                </pt>
                <pt idx="3">
                  <v>240</v>
                </pt>
                <pt idx="4">
                  <v>224</v>
                </pt>
                <pt idx="5">
                  <v>229</v>
                </pt>
                <pt idx="6">
                  <v>246</v>
                </pt>
                <pt idx="7">
                  <v>368</v>
                </pt>
                <pt idx="8">
                  <v>262</v>
                </pt>
                <pt idx="9">
                  <v>297</v>
                </pt>
                <pt idx="10">
                  <v>390</v>
                </pt>
                <pt idx="11">
                  <v>324</v>
                </pt>
                <pt idx="12">
                  <v>352</v>
                </pt>
                <pt idx="13">
                  <v>238</v>
                </pt>
                <pt idx="14">
                  <v>504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MX!F35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MX!$F$36:$F$87</f>
              <numCache>
                <formatCode>#,##0</formatCode>
                <ptCount val="52"/>
                <pt idx="15">
                  <v>198</v>
                </pt>
                <pt idx="16">
                  <v>198</v>
                </pt>
                <pt idx="17">
                  <v>197</v>
                </pt>
                <pt idx="18">
                  <v>197</v>
                </pt>
                <pt idx="19">
                  <v>197</v>
                </pt>
                <pt idx="20">
                  <v>197</v>
                </pt>
                <pt idx="21">
                  <v>197</v>
                </pt>
                <pt idx="22">
                  <v>255</v>
                </pt>
                <pt idx="23">
                  <v>255</v>
                </pt>
                <pt idx="24">
                  <v>255</v>
                </pt>
                <pt idx="25">
                  <v>255</v>
                </pt>
                <pt idx="26">
                  <v>223</v>
                </pt>
                <pt idx="27">
                  <v>223</v>
                </pt>
                <pt idx="28">
                  <v>223</v>
                </pt>
                <pt idx="29">
                  <v>223</v>
                </pt>
                <pt idx="30">
                  <v>223</v>
                </pt>
                <pt idx="31">
                  <v>194</v>
                </pt>
                <pt idx="32">
                  <v>194</v>
                </pt>
                <pt idx="33">
                  <v>194</v>
                </pt>
                <pt idx="34">
                  <v>194</v>
                </pt>
                <pt idx="35">
                  <v>155</v>
                </pt>
                <pt idx="36">
                  <v>155</v>
                </pt>
                <pt idx="37">
                  <v>155</v>
                </pt>
                <pt idx="38">
                  <v>155</v>
                </pt>
                <pt idx="39">
                  <v>232</v>
                </pt>
                <pt idx="40">
                  <v>232</v>
                </pt>
                <pt idx="41">
                  <v>232</v>
                </pt>
                <pt idx="42">
                  <v>232</v>
                </pt>
                <pt idx="43">
                  <v>232</v>
                </pt>
                <pt idx="44">
                  <v>308</v>
                </pt>
                <pt idx="45">
                  <v>308</v>
                </pt>
                <pt idx="46">
                  <v>308</v>
                </pt>
                <pt idx="47">
                  <v>308</v>
                </pt>
                <pt idx="48">
                  <v>189</v>
                </pt>
                <pt idx="49">
                  <v>189</v>
                </pt>
                <pt idx="50">
                  <v>189</v>
                </pt>
                <pt idx="51">
                  <v>189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MX!$E$36:$E$87</f>
              <numCache>
                <formatCode>\$#,##0.00</formatCode>
                <ptCount val="52"/>
                <pt idx="0">
                  <v>40.57</v>
                </pt>
                <pt idx="1">
                  <v>34.33</v>
                </pt>
                <pt idx="2">
                  <v>47.49</v>
                </pt>
                <pt idx="3">
                  <v>61.13</v>
                </pt>
                <pt idx="4">
                  <v>74.87</v>
                </pt>
                <pt idx="5">
                  <v>67.81999999999999</v>
                </pt>
                <pt idx="6">
                  <v>56.89</v>
                </pt>
                <pt idx="7">
                  <v>50.73</v>
                </pt>
                <pt idx="8">
                  <v>75.31999999999999</v>
                </pt>
                <pt idx="9">
                  <v>69.05</v>
                </pt>
                <pt idx="10">
                  <v>57.59</v>
                </pt>
                <pt idx="11">
                  <v>62.14</v>
                </pt>
                <pt idx="12">
                  <v>65.95999999999999</v>
                </pt>
                <pt idx="13">
                  <v>81.59</v>
                </pt>
                <pt idx="14">
                  <v>50.48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AU!$C$36:$C$87</f>
              <numCache>
                <formatCode>#,##0</formatCode>
                <ptCount val="52"/>
                <pt idx="0">
                  <v>156</v>
                </pt>
                <pt idx="1">
                  <v>256</v>
                </pt>
                <pt idx="2">
                  <v>290</v>
                </pt>
                <pt idx="3">
                  <v>273</v>
                </pt>
                <pt idx="4">
                  <v>239</v>
                </pt>
                <pt idx="5">
                  <v>256</v>
                </pt>
                <pt idx="6">
                  <v>328</v>
                </pt>
                <pt idx="7">
                  <v>256</v>
                </pt>
                <pt idx="8">
                  <v>256</v>
                </pt>
                <pt idx="9">
                  <v>251</v>
                </pt>
                <pt idx="10">
                  <v>241</v>
                </pt>
                <pt idx="11">
                  <v>244</v>
                </pt>
                <pt idx="12">
                  <v>208</v>
                </pt>
                <pt idx="13">
                  <v>170</v>
                </pt>
                <pt idx="14">
                  <v>166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AU!F35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AU!$F$36:$F$87</f>
              <numCache>
                <formatCode>#,##0</formatCode>
                <ptCount val="52"/>
                <pt idx="15">
                  <v>268</v>
                </pt>
                <pt idx="16">
                  <v>268</v>
                </pt>
                <pt idx="17">
                  <v>238</v>
                </pt>
                <pt idx="18">
                  <v>238</v>
                </pt>
                <pt idx="19">
                  <v>238</v>
                </pt>
                <pt idx="20">
                  <v>238</v>
                </pt>
                <pt idx="21">
                  <v>238</v>
                </pt>
                <pt idx="22">
                  <v>305</v>
                </pt>
                <pt idx="23">
                  <v>305</v>
                </pt>
                <pt idx="24">
                  <v>305</v>
                </pt>
                <pt idx="25">
                  <v>305</v>
                </pt>
                <pt idx="26">
                  <v>221</v>
                </pt>
                <pt idx="27">
                  <v>221</v>
                </pt>
                <pt idx="28">
                  <v>221</v>
                </pt>
                <pt idx="29">
                  <v>221</v>
                </pt>
                <pt idx="30">
                  <v>221</v>
                </pt>
                <pt idx="31">
                  <v>265</v>
                </pt>
                <pt idx="32">
                  <v>265</v>
                </pt>
                <pt idx="33">
                  <v>265</v>
                </pt>
                <pt idx="34">
                  <v>265</v>
                </pt>
                <pt idx="35">
                  <v>268</v>
                </pt>
                <pt idx="36">
                  <v>268</v>
                </pt>
                <pt idx="37">
                  <v>268</v>
                </pt>
                <pt idx="38">
                  <v>268</v>
                </pt>
                <pt idx="39">
                  <v>217</v>
                </pt>
                <pt idx="40">
                  <v>217</v>
                </pt>
                <pt idx="41">
                  <v>217</v>
                </pt>
                <pt idx="42">
                  <v>217</v>
                </pt>
                <pt idx="43">
                  <v>217</v>
                </pt>
                <pt idx="44">
                  <v>252</v>
                </pt>
                <pt idx="45">
                  <v>252</v>
                </pt>
                <pt idx="46">
                  <v>252</v>
                </pt>
                <pt idx="47">
                  <v>252</v>
                </pt>
                <pt idx="48">
                  <v>192</v>
                </pt>
                <pt idx="49">
                  <v>192</v>
                </pt>
                <pt idx="50">
                  <v>192</v>
                </pt>
                <pt idx="51">
                  <v>192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AU!$E$36:$E$87</f>
              <numCache>
                <formatCode>\$#,##0.00</formatCode>
                <ptCount val="52"/>
                <pt idx="0">
                  <v>92.11</v>
                </pt>
                <pt idx="1">
                  <v>112.76</v>
                </pt>
                <pt idx="2">
                  <v>125.25</v>
                </pt>
                <pt idx="3">
                  <v>112.9</v>
                </pt>
                <pt idx="4">
                  <v>167.74</v>
                </pt>
                <pt idx="5">
                  <v>166.72</v>
                </pt>
                <pt idx="6">
                  <v>129.26</v>
                </pt>
                <pt idx="7">
                  <v>145.3</v>
                </pt>
                <pt idx="8">
                  <v>142.22</v>
                </pt>
                <pt idx="9">
                  <v>125.85</v>
                </pt>
                <pt idx="10">
                  <v>128.63</v>
                </pt>
                <pt idx="11">
                  <v>114.77</v>
                </pt>
                <pt idx="12">
                  <v>117.22</v>
                </pt>
                <pt idx="13">
                  <v>129.84</v>
                </pt>
                <pt idx="14">
                  <v>155.59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2.xml" Id="rId1"/><Relationship Type="http://schemas.openxmlformats.org/officeDocument/2006/relationships/chart" Target="/xl/charts/chart13.xml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/Relationships>
</file>

<file path=xl/drawings/drawing1.xml><?xml version="1.0" encoding="utf-8"?>
<wsDr xmlns="http://schemas.openxmlformats.org/drawingml/2006/spreadsheetDrawing">
  <oneCellAnchor>
    <from>
      <col>11</col>
      <colOff>0</colOff>
      <row>8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15</col>
      <colOff>85725</colOff>
      <row>0</row>
      <rowOff>85725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47625</colOff>
      <row>29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15</col>
      <colOff>76200</colOff>
      <row>0</row>
      <rowOff>114300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66675</colOff>
      <row>34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tabColor rgb="FF1F4E79"/>
    <outlinePr summaryBelow="1" summaryRight="1"/>
    <pageSetUpPr/>
  </sheetPr>
  <dimension ref="A1:L19"/>
  <sheetViews>
    <sheetView showGridLines="0" workbookViewId="0">
      <pane ySplit="9" topLeftCell="A10" activePane="bottomLeft" state="frozen"/>
      <selection pane="bottomLeft" activeCell="F23" sqref="F23"/>
    </sheetView>
  </sheetViews>
  <sheetFormatPr baseColWidth="8" defaultColWidth="17.7109375" defaultRowHeight="15"/>
  <cols>
    <col width="6.85546875" bestFit="1" customWidth="1" style="71" min="1" max="1"/>
    <col width="8.28515625" bestFit="1" customWidth="1" style="71" min="2" max="2"/>
    <col width="9.5703125" bestFit="1" customWidth="1" style="71" min="3" max="3"/>
    <col width="7.5703125" bestFit="1" customWidth="1" style="71" min="4" max="4"/>
    <col width="11" bestFit="1" customWidth="1" style="71" min="5" max="5"/>
    <col width="8.85546875" bestFit="1" customWidth="1" style="71" min="6" max="6"/>
    <col width="9.28515625" bestFit="1" customWidth="1" style="71" min="7" max="7"/>
    <col width="11.28515625" bestFit="1" customWidth="1" style="71" min="8" max="8"/>
    <col width="8.140625" bestFit="1" customWidth="1" style="71" min="9" max="9"/>
    <col width="7.85546875" bestFit="1" customWidth="1" style="71" min="10" max="10"/>
  </cols>
  <sheetData>
    <row r="1" ht="23.25" customHeight="1" s="71">
      <c r="A1" s="70" t="inlineStr">
        <is>
          <t>📊 PS Forecast Tracker — 2026</t>
        </is>
      </c>
    </row>
    <row r="2">
      <c r="A2" s="72" t="inlineStr">
        <is>
          <t>Year-End → Quarterly → Monthly → Weekly • Predictions + Actuals + Error Tracking</t>
        </is>
      </c>
    </row>
    <row r="4">
      <c r="A4" s="26" t="inlineStr">
        <is>
          <t>WW YTD REGS</t>
        </is>
      </c>
      <c r="B4" s="73" t="n"/>
      <c r="C4" s="74" t="n"/>
      <c r="D4" s="26" t="inlineStr">
        <is>
          <t>WW YTD SPEND</t>
        </is>
      </c>
      <c r="E4" s="73" t="n"/>
      <c r="F4" s="74" t="n"/>
      <c r="G4" s="26" t="inlineStr">
        <is>
          <t>WW AVG CPA</t>
        </is>
      </c>
      <c r="H4" s="74" t="n"/>
      <c r="I4" s="26" t="inlineStr">
        <is>
          <t>MARKETS</t>
        </is>
      </c>
      <c r="J4" s="74" t="n"/>
    </row>
    <row r="5" ht="26.25" customHeight="1" s="71">
      <c r="A5" s="27" t="inlineStr">
        <is>
          <t>238,962</t>
        </is>
      </c>
      <c r="B5" s="73" t="n"/>
      <c r="C5" s="74" t="n"/>
      <c r="D5" s="27" t="inlineStr">
        <is>
          <t>$18,263,775</t>
        </is>
      </c>
      <c r="E5" s="73" t="n"/>
      <c r="F5" s="74" t="n"/>
      <c r="G5" s="27" t="inlineStr">
        <is>
          <t>$76.43</t>
        </is>
      </c>
      <c r="H5" s="74" t="n"/>
      <c r="I5" s="27" t="inlineStr">
        <is>
          <t>10</t>
        </is>
      </c>
      <c r="J5" s="74" t="n"/>
    </row>
    <row r="6">
      <c r="A6" s="26" t="inlineStr">
        <is>
          <t>W1–W15</t>
        </is>
      </c>
      <c r="B6" s="73" t="n"/>
      <c r="C6" s="74" t="n"/>
      <c r="D6" s="1" t="n"/>
      <c r="E6" s="1" t="n"/>
      <c r="F6" s="1" t="n"/>
      <c r="G6" s="1" t="n"/>
      <c r="H6" s="1" t="n"/>
      <c r="I6" s="26" t="inlineStr">
        <is>
          <t>150 data points</t>
        </is>
      </c>
      <c r="J6" s="74" t="n"/>
    </row>
    <row r="9">
      <c r="A9" s="2" t="inlineStr">
        <is>
          <t>Market</t>
        </is>
      </c>
      <c r="B9" s="2" t="inlineStr">
        <is>
          <t>YTD Regs</t>
        </is>
      </c>
      <c r="C9" s="2" t="inlineStr">
        <is>
          <t>YTD Spend</t>
        </is>
      </c>
      <c r="D9" s="2" t="inlineStr">
        <is>
          <t>Avg CPA</t>
        </is>
      </c>
      <c r="E9" s="2" t="inlineStr">
        <is>
          <t>Avg Wk Regs</t>
        </is>
      </c>
      <c r="F9" s="2" t="inlineStr">
        <is>
          <t>Latest Wk</t>
        </is>
      </c>
      <c r="G9" s="2" t="inlineStr">
        <is>
          <t>WoW Δ%</t>
        </is>
      </c>
      <c r="H9" s="2" t="inlineStr">
        <is>
          <t>Proj Mo Regs</t>
        </is>
      </c>
      <c r="I9" s="2" t="inlineStr">
        <is>
          <t>vs OP2 %</t>
        </is>
      </c>
      <c r="J9" s="2" t="inlineStr">
        <is>
          <t>Source</t>
        </is>
      </c>
    </row>
    <row r="10">
      <c r="A10" s="3" t="inlineStr">
        <is>
          <t>US</t>
        </is>
      </c>
      <c r="B10" s="4" t="n">
        <v>125537</v>
      </c>
      <c r="C10" s="5" t="n">
        <v>9534695</v>
      </c>
      <c r="D10" s="6" t="n">
        <v>75.95</v>
      </c>
      <c r="E10" s="4" t="n">
        <v>8369</v>
      </c>
      <c r="F10" s="4" t="n">
        <v>9236</v>
      </c>
      <c r="G10" s="7" t="n">
        <v>22.2</v>
      </c>
      <c r="H10" s="4" t="n">
        <v>384625</v>
      </c>
      <c r="I10" s="7" t="n">
        <v>-41.83661121844698</v>
      </c>
      <c r="J10" s="3" t="inlineStr">
        <is>
          <t>bayesian</t>
        </is>
      </c>
    </row>
    <row r="11">
      <c r="A11" s="8" t="inlineStr">
        <is>
          <t>UK</t>
        </is>
      </c>
      <c r="B11" s="9" t="n">
        <v>21270</v>
      </c>
      <c r="C11" s="10" t="n">
        <v>1442080</v>
      </c>
      <c r="D11" s="11" t="n">
        <v>67.8</v>
      </c>
      <c r="E11" s="9" t="n">
        <v>1418</v>
      </c>
      <c r="F11" s="9" t="n">
        <v>1453</v>
      </c>
      <c r="G11" s="12" t="n">
        <v>-0.3</v>
      </c>
      <c r="H11" s="9" t="n">
        <v>64618</v>
      </c>
      <c r="I11" s="12" t="n">
        <v>-38.45456331271765</v>
      </c>
      <c r="J11" s="8" t="inlineStr">
        <is>
          <t>bayesian</t>
        </is>
      </c>
    </row>
    <row r="12">
      <c r="A12" s="3" t="inlineStr">
        <is>
          <t>DE</t>
        </is>
      </c>
      <c r="B12" s="4" t="n">
        <v>20651</v>
      </c>
      <c r="C12" s="5" t="n">
        <v>2375324</v>
      </c>
      <c r="D12" s="6" t="n">
        <v>115.02</v>
      </c>
      <c r="E12" s="4" t="n">
        <v>1377</v>
      </c>
      <c r="F12" s="4" t="n">
        <v>1210</v>
      </c>
      <c r="G12" s="7" t="n">
        <v>-8</v>
      </c>
      <c r="H12" s="4" t="n">
        <v>65529</v>
      </c>
      <c r="I12" s="7" t="n">
        <v>-51.15042759496534</v>
      </c>
      <c r="J12" s="3" t="inlineStr">
        <is>
          <t>bayesian</t>
        </is>
      </c>
    </row>
    <row r="13">
      <c r="A13" s="8" t="inlineStr">
        <is>
          <t>FR</t>
        </is>
      </c>
      <c r="B13" s="9" t="n">
        <v>15876</v>
      </c>
      <c r="C13" s="10" t="n">
        <v>957874</v>
      </c>
      <c r="D13" s="11" t="n">
        <v>60.33</v>
      </c>
      <c r="E13" s="9" t="n">
        <v>1058</v>
      </c>
      <c r="F13" s="9" t="n">
        <v>886</v>
      </c>
      <c r="G13" s="12" t="n">
        <v>-22.8</v>
      </c>
      <c r="H13" s="9" t="n">
        <v>59348</v>
      </c>
      <c r="I13" s="12" t="n">
        <v>-44.1340838462738</v>
      </c>
      <c r="J13" s="8" t="inlineStr">
        <is>
          <t>bayesian</t>
        </is>
      </c>
    </row>
    <row r="14">
      <c r="A14" s="3" t="inlineStr">
        <is>
          <t>IT</t>
        </is>
      </c>
      <c r="B14" s="4" t="n">
        <v>18802</v>
      </c>
      <c r="C14" s="5" t="n">
        <v>1372130</v>
      </c>
      <c r="D14" s="6" t="n">
        <v>72.98</v>
      </c>
      <c r="E14" s="4" t="n">
        <v>1253</v>
      </c>
      <c r="F14" s="4" t="n">
        <v>990</v>
      </c>
      <c r="G14" s="7" t="n">
        <v>-25</v>
      </c>
      <c r="H14" s="4" t="n">
        <v>68957</v>
      </c>
      <c r="I14" s="7" t="n">
        <v>-50.369079839067</v>
      </c>
      <c r="J14" s="3" t="inlineStr">
        <is>
          <t>bayesian</t>
        </is>
      </c>
    </row>
    <row r="15">
      <c r="A15" s="8" t="inlineStr">
        <is>
          <t>ES</t>
        </is>
      </c>
      <c r="B15" s="9" t="n">
        <v>9148</v>
      </c>
      <c r="C15" s="10" t="n">
        <v>537379</v>
      </c>
      <c r="D15" s="11" t="n">
        <v>58.74</v>
      </c>
      <c r="E15" s="9" t="n">
        <v>610</v>
      </c>
      <c r="F15" s="9" t="n">
        <v>599</v>
      </c>
      <c r="G15" s="12" t="n">
        <v>26.4</v>
      </c>
      <c r="H15" s="9" t="n">
        <v>35234</v>
      </c>
      <c r="I15" s="12" t="n">
        <v>-41.98077924858</v>
      </c>
      <c r="J15" s="8" t="inlineStr">
        <is>
          <t>bayesian</t>
        </is>
      </c>
    </row>
    <row r="16">
      <c r="A16" s="3" t="inlineStr">
        <is>
          <t>CA</t>
        </is>
      </c>
      <c r="B16" s="4" t="n">
        <v>10416</v>
      </c>
      <c r="C16" s="5" t="n">
        <v>788081</v>
      </c>
      <c r="D16" s="6" t="n">
        <v>75.66</v>
      </c>
      <c r="E16" s="4" t="n">
        <v>694</v>
      </c>
      <c r="F16" s="4" t="n">
        <v>680</v>
      </c>
      <c r="G16" s="7" t="n">
        <v>7.3</v>
      </c>
      <c r="H16" s="4" t="n">
        <v>37695</v>
      </c>
      <c r="I16" s="7" t="n">
        <v>-50.37787374182015</v>
      </c>
      <c r="J16" s="3" t="inlineStr">
        <is>
          <t>bayesian</t>
        </is>
      </c>
    </row>
    <row r="17">
      <c r="A17" s="8" t="inlineStr">
        <is>
          <t>JP</t>
        </is>
      </c>
      <c r="B17" s="9" t="n">
        <v>9293</v>
      </c>
      <c r="C17" s="10" t="n">
        <v>524734</v>
      </c>
      <c r="D17" s="11" t="n">
        <v>56.47</v>
      </c>
      <c r="E17" s="9" t="n">
        <v>620</v>
      </c>
      <c r="F17" s="9" t="n">
        <v>595</v>
      </c>
      <c r="G17" s="12" t="n">
        <v>-1.8</v>
      </c>
      <c r="H17" s="9" t="n">
        <v>27292</v>
      </c>
      <c r="I17" s="12" t="n">
        <v>-48.7172400199448</v>
      </c>
      <c r="J17" s="8" t="inlineStr">
        <is>
          <t>bayesian</t>
        </is>
      </c>
    </row>
    <row r="18">
      <c r="A18" s="3" t="inlineStr">
        <is>
          <t>MX</t>
        </is>
      </c>
      <c r="B18" s="4" t="n">
        <v>4379</v>
      </c>
      <c r="C18" s="5" t="n">
        <v>259451</v>
      </c>
      <c r="D18" s="6" t="n">
        <v>59.25</v>
      </c>
      <c r="E18" s="4" t="n">
        <v>292</v>
      </c>
      <c r="F18" s="4" t="n">
        <v>504</v>
      </c>
      <c r="G18" s="7" t="n">
        <v>111.8</v>
      </c>
      <c r="H18" s="4" t="n">
        <v>13089</v>
      </c>
      <c r="I18" s="7" t="n">
        <v>-42.9235664144033</v>
      </c>
      <c r="J18" s="3" t="inlineStr">
        <is>
          <t>bayesian</t>
        </is>
      </c>
    </row>
    <row r="19">
      <c r="A19" s="8" t="inlineStr">
        <is>
          <t>AU</t>
        </is>
      </c>
      <c r="B19" s="9" t="n">
        <v>3590</v>
      </c>
      <c r="C19" s="10" t="n">
        <v>472027</v>
      </c>
      <c r="D19" s="11" t="n">
        <v>131.48</v>
      </c>
      <c r="E19" s="9" t="n">
        <v>239</v>
      </c>
      <c r="F19" s="9" t="n">
        <v>166</v>
      </c>
      <c r="G19" s="12" t="n">
        <v>-2.4</v>
      </c>
      <c r="H19" s="9" t="n">
        <v>14247</v>
      </c>
      <c r="I19" s="12" t="n">
        <v>-17.38729111713061</v>
      </c>
      <c r="J19" s="8" t="inlineStr">
        <is>
          <t>bayesian</t>
        </is>
      </c>
    </row>
  </sheetData>
  <mergeCells count="12">
    <mergeCell ref="G4:H4"/>
    <mergeCell ref="A2:L2"/>
    <mergeCell ref="I4:J4"/>
    <mergeCell ref="I6:J6"/>
    <mergeCell ref="D5:F5"/>
    <mergeCell ref="A5:C5"/>
    <mergeCell ref="A1:L1"/>
    <mergeCell ref="A6:C6"/>
    <mergeCell ref="D4:F4"/>
    <mergeCell ref="G5:H5"/>
    <mergeCell ref="I5:J5"/>
    <mergeCell ref="A4:C4"/>
  </mergeCells>
  <conditionalFormatting sqref="B10:B19">
    <cfRule type="dataBar" priority="1">
      <dataBar>
        <cfvo type="min"/>
        <cfvo type="max"/>
        <color rgb="FF4A9EFF"/>
      </dataBar>
    </cfRule>
  </conditionalFormatting>
  <conditionalFormatting sqref="D10:D19">
    <cfRule type="colorScale" priority="2">
      <colorScale>
        <cfvo type="min"/>
        <cfvo type="percentile" val="50"/>
        <cfvo type="max"/>
        <color rgb="FF27AE60"/>
        <color rgb="FFFFFFFF"/>
        <color rgb="FFE74C3C"/>
      </colorScale>
    </cfRule>
  </conditionalFormatting>
  <conditionalFormatting sqref="G10:G19">
    <cfRule type="iconSet" priority="3">
      <iconSet iconSet="3Arrows">
        <cfvo type="num" val="-5"/>
        <cfvo type="num" val="0"/>
        <cfvo type="num" val="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3498DB"/>
    <outlinePr summaryBelow="1" summaryRight="1"/>
    <pageSetUpPr/>
  </sheetPr>
  <dimension ref="A1:N87"/>
  <sheetViews>
    <sheetView showGridLines="0" tabSelected="1" workbookViewId="0">
      <selection activeCell="H6" sqref="H6"/>
    </sheetView>
  </sheetViews>
  <sheetFormatPr baseColWidth="8" defaultColWidth="12.7109375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5" t="inlineStr">
        <is>
          <t>US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TEXT(SUM('_Data'!D2:D53),"#,##0")</f>
        <v/>
      </c>
      <c r="B4" s="74" t="n"/>
      <c r="C4" s="27">
        <f>TEXT(SUM('_Data'!E2:E53),"$#,##0")</f>
        <v/>
      </c>
      <c r="D4" s="74" t="n"/>
      <c r="E4" s="27">
        <f>TEXT(IF(SUM('_Data'!D2:D53)&gt;0,SUM('_Data'!E2:E53)/SUM('_Data'!D2:D53),0),"$#,##0.00")</f>
        <v/>
      </c>
      <c r="F4" s="74" t="n"/>
      <c r="G4" s="27">
        <f>IF(AND('_Data'!C692&gt;0,'_Data'!F692&gt;0),TEXT(('_Data'!C692-'_Data'!F692)/'_Data'!F692,"+0.0%;-0.0%"),"")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>
      <c r="A9" s="13" t="inlineStr">
        <is>
          <t>Period</t>
        </is>
      </c>
      <c r="B9" s="13" t="inlineStr">
        <is>
          <t>Actual Regs</t>
        </is>
      </c>
      <c r="C9" s="13" t="inlineStr">
        <is>
          <t>Pred Regs</t>
        </is>
      </c>
      <c r="D9" s="13" t="inlineStr">
        <is>
          <t>CI Low</t>
        </is>
      </c>
      <c r="E9" s="13" t="inlineStr">
        <is>
          <t>CI High</t>
        </is>
      </c>
      <c r="F9" s="13" t="inlineStr">
        <is>
          <t>OP2 Target</t>
        </is>
      </c>
      <c r="G9" s="13" t="inlineStr">
        <is>
          <t>vs OP2 %</t>
        </is>
      </c>
      <c r="H9" s="13" t="inlineStr">
        <is>
          <t>Error %</t>
        </is>
      </c>
      <c r="I9" s="13" t="inlineStr">
        <is>
          <t>Confidence</t>
        </is>
      </c>
      <c r="J9" s="13" t="inlineStr">
        <is>
          <t>Score</t>
        </is>
      </c>
      <c r="K9" s="13" t="inlineStr">
        <is>
          <t>Notes</t>
        </is>
      </c>
    </row>
    <row r="10">
      <c r="A10" s="14" t="inlineStr">
        <is>
          <t>2026 Full Year</t>
        </is>
      </c>
      <c r="B10" s="15">
        <f>'_Data'!B692</f>
        <v/>
      </c>
      <c r="C10" s="15">
        <f>'_Data'!C692</f>
        <v/>
      </c>
      <c r="D10" s="15">
        <f>'_Data'!D692</f>
        <v/>
      </c>
      <c r="E10" s="15">
        <f>'_Data'!E692</f>
        <v/>
      </c>
      <c r="F10" s="15">
        <f>'_Data'!F692</f>
        <v/>
      </c>
      <c r="G10" s="16">
        <f>IF(AND(B10&gt;0,F10&gt;0),(B10-F10)/F10,"")</f>
        <v/>
      </c>
      <c r="H10" s="17">
        <f>IF(AND(B10&gt;0,C10&gt;0),ABS(C10-B10)/B10,"")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>
      <c r="A13" s="13" t="inlineStr">
        <is>
          <t>Period</t>
        </is>
      </c>
      <c r="B13" s="13" t="inlineStr">
        <is>
          <t>Actual Regs</t>
        </is>
      </c>
      <c r="C13" s="13" t="inlineStr">
        <is>
          <t>Pred Regs</t>
        </is>
      </c>
      <c r="D13" s="13" t="inlineStr">
        <is>
          <t>CI Low</t>
        </is>
      </c>
      <c r="E13" s="13" t="inlineStr">
        <is>
          <t>CI High</t>
        </is>
      </c>
      <c r="F13" s="13" t="inlineStr">
        <is>
          <t>OP2 Target</t>
        </is>
      </c>
      <c r="G13" s="13" t="inlineStr">
        <is>
          <t>vs OP2 %</t>
        </is>
      </c>
      <c r="H13" s="13" t="inlineStr">
        <is>
          <t>Error %</t>
        </is>
      </c>
      <c r="I13" s="13" t="inlineStr">
        <is>
          <t>Confidence</t>
        </is>
      </c>
      <c r="J13" s="13" t="inlineStr">
        <is>
          <t>Score</t>
        </is>
      </c>
      <c r="K13" s="13" t="inlineStr">
        <is>
          <t>Notes</t>
        </is>
      </c>
    </row>
    <row r="14">
      <c r="A14" s="3" t="inlineStr">
        <is>
          <t>Q1</t>
        </is>
      </c>
      <c r="B14" s="4">
        <f>'_Data'!D648</f>
        <v/>
      </c>
      <c r="C14" s="4">
        <f>'_Data'!E648</f>
        <v/>
      </c>
      <c r="D14" s="4">
        <f>'_Data'!F648</f>
        <v/>
      </c>
      <c r="E14" s="4">
        <f>'_Data'!G648</f>
        <v/>
      </c>
      <c r="F14" s="4">
        <f>'_Data'!H648</f>
        <v/>
      </c>
      <c r="G14" s="19">
        <f>IF(AND(B14&gt;0,F14&gt;0),(B14-F14)/F14,"")</f>
        <v/>
      </c>
      <c r="H14" s="20">
        <f>IF(AND(B14&gt;0,C14&gt;0),ABS(C14-B14)/B14,"")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'_Data'!D649</f>
        <v/>
      </c>
      <c r="C15" s="15">
        <f>'_Data'!E649</f>
        <v/>
      </c>
      <c r="D15" s="15">
        <f>'_Data'!F649</f>
        <v/>
      </c>
      <c r="E15" s="15">
        <f>'_Data'!G649</f>
        <v/>
      </c>
      <c r="F15" s="15">
        <f>'_Data'!H649</f>
        <v/>
      </c>
      <c r="G15" s="16">
        <f>IF(AND(B15&gt;0,F15&gt;0),(B15-F15)/F15,"")</f>
        <v/>
      </c>
      <c r="H15" s="17">
        <f>IF(AND(B15&gt;0,C15&gt;0),ABS(C15-B15)/B15,"")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'_Data'!D650</f>
        <v/>
      </c>
      <c r="C16" s="15">
        <f>'_Data'!E650</f>
        <v/>
      </c>
      <c r="D16" s="15">
        <f>'_Data'!F650</f>
        <v/>
      </c>
      <c r="E16" s="15">
        <f>'_Data'!G650</f>
        <v/>
      </c>
      <c r="F16" s="15">
        <f>'_Data'!H650</f>
        <v/>
      </c>
      <c r="G16" s="16">
        <f>IF(AND(B16&gt;0,F16&gt;0),(B16-F16)/F16,"")</f>
        <v/>
      </c>
      <c r="H16" s="17">
        <f>IF(AND(B16&gt;0,C16&gt;0),ABS(C16-B16)/B16,"")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'_Data'!D651</f>
        <v/>
      </c>
      <c r="C17" s="15">
        <f>'_Data'!E651</f>
        <v/>
      </c>
      <c r="D17" s="15">
        <f>'_Data'!F651</f>
        <v/>
      </c>
      <c r="E17" s="15">
        <f>'_Data'!G651</f>
        <v/>
      </c>
      <c r="F17" s="15">
        <f>'_Data'!H651</f>
        <v/>
      </c>
      <c r="G17" s="16">
        <f>IF(AND(B17&gt;0,F17&gt;0),(B17-F17)/F17,"")</f>
        <v/>
      </c>
      <c r="H17" s="17">
        <f>IF(AND(B17&gt;0,C17&gt;0),ABS(C17-B17)/B17,"")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>
      <c r="A20" s="13" t="inlineStr">
        <is>
          <t>Period</t>
        </is>
      </c>
      <c r="B20" s="13" t="inlineStr">
        <is>
          <t>Actual Regs</t>
        </is>
      </c>
      <c r="C20" s="13" t="inlineStr">
        <is>
          <t>Pred Regs</t>
        </is>
      </c>
      <c r="D20" s="13" t="inlineStr">
        <is>
          <t>CI Low</t>
        </is>
      </c>
      <c r="E20" s="13" t="inlineStr">
        <is>
          <t>CI High</t>
        </is>
      </c>
      <c r="F20" s="13" t="inlineStr">
        <is>
          <t>OP2 Target</t>
        </is>
      </c>
      <c r="G20" s="13" t="inlineStr">
        <is>
          <t>vs OP2 %</t>
        </is>
      </c>
      <c r="H20" s="13" t="inlineStr">
        <is>
          <t>Error %</t>
        </is>
      </c>
      <c r="I20" s="13" t="inlineStr">
        <is>
          <t>Confidence</t>
        </is>
      </c>
      <c r="J20" s="13" t="inlineStr">
        <is>
          <t>Score</t>
        </is>
      </c>
      <c r="K20" s="13" t="inlineStr">
        <is>
          <t>Notes</t>
        </is>
      </c>
    </row>
    <row r="21">
      <c r="A21" s="3" t="inlineStr">
        <is>
          <t>Jan</t>
        </is>
      </c>
      <c r="B21" s="4">
        <f>'_Data'!D524</f>
        <v/>
      </c>
      <c r="C21" s="4">
        <f>'_Data'!E524</f>
        <v/>
      </c>
      <c r="D21" s="4">
        <f>'_Data'!F524</f>
        <v/>
      </c>
      <c r="E21" s="4">
        <f>'_Data'!G524</f>
        <v/>
      </c>
      <c r="F21" s="4">
        <f>'_Data'!H524</f>
        <v/>
      </c>
      <c r="G21" s="19">
        <f>IF(AND(B21&gt;0,F21&gt;0),(B21-F21)/F21,"")</f>
        <v/>
      </c>
      <c r="H21" s="20">
        <f>IF(AND(B21&gt;0,C21&gt;0),ABS(C21-B21)/B21,"")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'_Data'!D525</f>
        <v/>
      </c>
      <c r="C22" s="9">
        <f>'_Data'!E525</f>
        <v/>
      </c>
      <c r="D22" s="9">
        <f>'_Data'!F525</f>
        <v/>
      </c>
      <c r="E22" s="9">
        <f>'_Data'!G525</f>
        <v/>
      </c>
      <c r="F22" s="9">
        <f>'_Data'!H525</f>
        <v/>
      </c>
      <c r="G22" s="22">
        <f>IF(AND(B22&gt;0,F22&gt;0),(B22-F22)/F22,"")</f>
        <v/>
      </c>
      <c r="H22" s="23">
        <f>IF(AND(B22&gt;0,C22&gt;0),ABS(C22-B22)/B22,"")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'_Data'!D526</f>
        <v/>
      </c>
      <c r="C23" s="4">
        <f>'_Data'!E526</f>
        <v/>
      </c>
      <c r="D23" s="4">
        <f>'_Data'!F526</f>
        <v/>
      </c>
      <c r="E23" s="4">
        <f>'_Data'!G526</f>
        <v/>
      </c>
      <c r="F23" s="4">
        <f>'_Data'!H526</f>
        <v/>
      </c>
      <c r="G23" s="19">
        <f>IF(AND(B23&gt;0,F23&gt;0),(B23-F23)/F23,"")</f>
        <v/>
      </c>
      <c r="H23" s="20">
        <f>IF(AND(B23&gt;0,C23&gt;0),ABS(C23-B23)/B23,"")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'_Data'!D527</f>
        <v/>
      </c>
      <c r="C24" s="15">
        <f>'_Data'!E527</f>
        <v/>
      </c>
      <c r="D24" s="15">
        <f>'_Data'!F527</f>
        <v/>
      </c>
      <c r="E24" s="15">
        <f>'_Data'!G527</f>
        <v/>
      </c>
      <c r="F24" s="15">
        <f>'_Data'!H527</f>
        <v/>
      </c>
      <c r="G24" s="16">
        <f>IF(AND(B24&gt;0,F24&gt;0),(B24-F24)/F24,"")</f>
        <v/>
      </c>
      <c r="H24" s="17">
        <f>IF(AND(B24&gt;0,C24&gt;0),ABS(C24-B24)/B24,"")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'_Data'!D528</f>
        <v/>
      </c>
      <c r="C25" s="15">
        <f>'_Data'!E528</f>
        <v/>
      </c>
      <c r="D25" s="15">
        <f>'_Data'!F528</f>
        <v/>
      </c>
      <c r="E25" s="15">
        <f>'_Data'!G528</f>
        <v/>
      </c>
      <c r="F25" s="15">
        <f>'_Data'!H528</f>
        <v/>
      </c>
      <c r="G25" s="16">
        <f>IF(AND(B25&gt;0,F25&gt;0),(B25-F25)/F25,"")</f>
        <v/>
      </c>
      <c r="H25" s="17">
        <f>IF(AND(B25&gt;0,C25&gt;0),ABS(C25-B25)/B25,"")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'_Data'!D529</f>
        <v/>
      </c>
      <c r="C26" s="15">
        <f>'_Data'!E529</f>
        <v/>
      </c>
      <c r="D26" s="15">
        <f>'_Data'!F529</f>
        <v/>
      </c>
      <c r="E26" s="15">
        <f>'_Data'!G529</f>
        <v/>
      </c>
      <c r="F26" s="15">
        <f>'_Data'!H529</f>
        <v/>
      </c>
      <c r="G26" s="16">
        <f>IF(AND(B26&gt;0,F26&gt;0),(B26-F26)/F26,"")</f>
        <v/>
      </c>
      <c r="H26" s="17">
        <f>IF(AND(B26&gt;0,C26&gt;0),ABS(C26-B26)/B26,"")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'_Data'!D530</f>
        <v/>
      </c>
      <c r="C27" s="15">
        <f>'_Data'!E530</f>
        <v/>
      </c>
      <c r="D27" s="15">
        <f>'_Data'!F530</f>
        <v/>
      </c>
      <c r="E27" s="15">
        <f>'_Data'!G530</f>
        <v/>
      </c>
      <c r="F27" s="15">
        <f>'_Data'!H530</f>
        <v/>
      </c>
      <c r="G27" s="16">
        <f>IF(AND(B27&gt;0,F27&gt;0),(B27-F27)/F27,"")</f>
        <v/>
      </c>
      <c r="H27" s="17">
        <f>IF(AND(B27&gt;0,C27&gt;0),ABS(C27-B27)/B27,"")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'_Data'!D531</f>
        <v/>
      </c>
      <c r="C28" s="15">
        <f>'_Data'!E531</f>
        <v/>
      </c>
      <c r="D28" s="15">
        <f>'_Data'!F531</f>
        <v/>
      </c>
      <c r="E28" s="15">
        <f>'_Data'!G531</f>
        <v/>
      </c>
      <c r="F28" s="15">
        <f>'_Data'!H531</f>
        <v/>
      </c>
      <c r="G28" s="16">
        <f>IF(AND(B28&gt;0,F28&gt;0),(B28-F28)/F28,"")</f>
        <v/>
      </c>
      <c r="H28" s="17">
        <f>IF(AND(B28&gt;0,C28&gt;0),ABS(C28-B28)/B28,"")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'_Data'!D532</f>
        <v/>
      </c>
      <c r="C29" s="15">
        <f>'_Data'!E532</f>
        <v/>
      </c>
      <c r="D29" s="15">
        <f>'_Data'!F532</f>
        <v/>
      </c>
      <c r="E29" s="15">
        <f>'_Data'!G532</f>
        <v/>
      </c>
      <c r="F29" s="15">
        <f>'_Data'!H532</f>
        <v/>
      </c>
      <c r="G29" s="16">
        <f>IF(AND(B29&gt;0,F29&gt;0),(B29-F29)/F29,"")</f>
        <v/>
      </c>
      <c r="H29" s="17">
        <f>IF(AND(B29&gt;0,C29&gt;0),ABS(C29-B29)/B29,"")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'_Data'!D533</f>
        <v/>
      </c>
      <c r="C30" s="15">
        <f>'_Data'!E533</f>
        <v/>
      </c>
      <c r="D30" s="15">
        <f>'_Data'!F533</f>
        <v/>
      </c>
      <c r="E30" s="15">
        <f>'_Data'!G533</f>
        <v/>
      </c>
      <c r="F30" s="15">
        <f>'_Data'!H533</f>
        <v/>
      </c>
      <c r="G30" s="16">
        <f>IF(AND(B30&gt;0,F30&gt;0),(B30-F30)/F30,"")</f>
        <v/>
      </c>
      <c r="H30" s="17">
        <f>IF(AND(B30&gt;0,C30&gt;0),ABS(C30-B30)/B30,"")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'_Data'!D534</f>
        <v/>
      </c>
      <c r="C31" s="15">
        <f>'_Data'!E534</f>
        <v/>
      </c>
      <c r="D31" s="15">
        <f>'_Data'!F534</f>
        <v/>
      </c>
      <c r="E31" s="15">
        <f>'_Data'!G534</f>
        <v/>
      </c>
      <c r="F31" s="15">
        <f>'_Data'!H534</f>
        <v/>
      </c>
      <c r="G31" s="16">
        <f>IF(AND(B31&gt;0,F31&gt;0),(B31-F31)/F31,"")</f>
        <v/>
      </c>
      <c r="H31" s="17">
        <f>IF(AND(B31&gt;0,C31&gt;0),ABS(C31-B31)/B31,"")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'_Data'!D535</f>
        <v/>
      </c>
      <c r="C32" s="15">
        <f>'_Data'!E535</f>
        <v/>
      </c>
      <c r="D32" s="15">
        <f>'_Data'!F535</f>
        <v/>
      </c>
      <c r="E32" s="15">
        <f>'_Data'!G535</f>
        <v/>
      </c>
      <c r="F32" s="15">
        <f>'_Data'!H535</f>
        <v/>
      </c>
      <c r="G32" s="16">
        <f>IF(AND(B32&gt;0,F32&gt;0),(B32-F32)/F32,"")</f>
        <v/>
      </c>
      <c r="H32" s="17">
        <f>IF(AND(B32&gt;0,C32&gt;0),ABS(C32-B32)/B32,"")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13" t="inlineStr">
        <is>
          <t>Week</t>
        </is>
      </c>
      <c r="B35" s="13" t="inlineStr">
        <is>
          <t>Wk#</t>
        </is>
      </c>
      <c r="C35" s="13" t="inlineStr">
        <is>
          <t>Actual Regs</t>
        </is>
      </c>
      <c r="D35" s="13" t="inlineStr">
        <is>
          <t>Actual Cost</t>
        </is>
      </c>
      <c r="E35" s="13" t="inlineStr">
        <is>
          <t>Actual CPA</t>
        </is>
      </c>
      <c r="F35" s="13" t="inlineStr">
        <is>
          <t>Pred Regs</t>
        </is>
      </c>
      <c r="G35" s="13" t="inlineStr">
        <is>
          <t>CI Low</t>
        </is>
      </c>
      <c r="H35" s="13" t="inlineStr">
        <is>
          <t>CI High</t>
        </is>
      </c>
      <c r="I35" s="13" t="inlineStr">
        <is>
          <t>Confidence</t>
        </is>
      </c>
      <c r="J35" s="13" t="inlineStr">
        <is>
          <t>Error %</t>
        </is>
      </c>
      <c r="K35" s="13" t="inlineStr">
        <is>
          <t>Within CI</t>
        </is>
      </c>
      <c r="L35" s="13" t="inlineStr">
        <is>
          <t>WoW Δ%</t>
        </is>
      </c>
      <c r="M35" s="13" t="inlineStr">
        <is>
          <t>Brand Regs</t>
        </is>
      </c>
      <c r="N35" s="13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'_Data'!D2</f>
        <v/>
      </c>
      <c r="D36" s="5">
        <f>'_Data'!E2</f>
        <v/>
      </c>
      <c r="E36" s="6">
        <f>'_Data'!F2</f>
        <v/>
      </c>
      <c r="F36" s="4">
        <f>'_Data'!G2</f>
        <v/>
      </c>
      <c r="G36" s="4">
        <f>'_Data'!H2</f>
        <v/>
      </c>
      <c r="H36" s="4">
        <f>'_Data'!I2</f>
        <v/>
      </c>
      <c r="I36" s="21">
        <f>'_Data'!J2</f>
        <v/>
      </c>
      <c r="J36" s="20">
        <f>IF(AND(C36&gt;0,F36&gt;0),ABS(F36-C36)/C36,"")</f>
        <v/>
      </c>
      <c r="K36" s="3">
        <f>IF(AND(C36&gt;0,G36&gt;0),IF(AND(C36&gt;=G36,C36&lt;=H36),"✓","✗"),"")</f>
        <v/>
      </c>
      <c r="L36" s="3" t="n"/>
      <c r="M36" s="4">
        <f>'_Data'!K2</f>
        <v/>
      </c>
      <c r="N36" s="4">
        <f>'_Data'!L2</f>
        <v/>
      </c>
    </row>
    <row r="37">
      <c r="A37" s="8" t="inlineStr">
        <is>
          <t>2026 W2</t>
        </is>
      </c>
      <c r="B37" s="8" t="n">
        <v>2</v>
      </c>
      <c r="C37" s="9">
        <f>'_Data'!D3</f>
        <v/>
      </c>
      <c r="D37" s="10">
        <f>'_Data'!E3</f>
        <v/>
      </c>
      <c r="E37" s="11">
        <f>'_Data'!F3</f>
        <v/>
      </c>
      <c r="F37" s="9">
        <f>'_Data'!G3</f>
        <v/>
      </c>
      <c r="G37" s="9">
        <f>'_Data'!H3</f>
        <v/>
      </c>
      <c r="H37" s="9">
        <f>'_Data'!I3</f>
        <v/>
      </c>
      <c r="I37" s="24">
        <f>'_Data'!J3</f>
        <v/>
      </c>
      <c r="J37" s="23">
        <f>IF(AND(C37&gt;0,F37&gt;0),ABS(F37-C37)/C37,"")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'_Data'!K3</f>
        <v/>
      </c>
      <c r="N37" s="9">
        <f>'_Data'!L3</f>
        <v/>
      </c>
    </row>
    <row r="38">
      <c r="A38" s="3" t="inlineStr">
        <is>
          <t>2026 W3</t>
        </is>
      </c>
      <c r="B38" s="3" t="n">
        <v>3</v>
      </c>
      <c r="C38" s="4">
        <f>'_Data'!D4</f>
        <v/>
      </c>
      <c r="D38" s="5">
        <f>'_Data'!E4</f>
        <v/>
      </c>
      <c r="E38" s="6">
        <f>'_Data'!F4</f>
        <v/>
      </c>
      <c r="F38" s="4">
        <f>'_Data'!G4</f>
        <v/>
      </c>
      <c r="G38" s="4">
        <f>'_Data'!H4</f>
        <v/>
      </c>
      <c r="H38" s="4">
        <f>'_Data'!I4</f>
        <v/>
      </c>
      <c r="I38" s="21">
        <f>'_Data'!J4</f>
        <v/>
      </c>
      <c r="J38" s="20">
        <f>IF(AND(C38&gt;0,F38&gt;0),ABS(F38-C38)/C38,"")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</f>
        <v/>
      </c>
      <c r="N38" s="4">
        <f>'_Data'!L4</f>
        <v/>
      </c>
    </row>
    <row r="39">
      <c r="A39" s="8" t="inlineStr">
        <is>
          <t>2026 W4</t>
        </is>
      </c>
      <c r="B39" s="8" t="n">
        <v>4</v>
      </c>
      <c r="C39" s="9">
        <f>'_Data'!D5</f>
        <v/>
      </c>
      <c r="D39" s="10">
        <f>'_Data'!E5</f>
        <v/>
      </c>
      <c r="E39" s="11">
        <f>'_Data'!F5</f>
        <v/>
      </c>
      <c r="F39" s="9">
        <f>'_Data'!G5</f>
        <v/>
      </c>
      <c r="G39" s="9">
        <f>'_Data'!H5</f>
        <v/>
      </c>
      <c r="H39" s="9">
        <f>'_Data'!I5</f>
        <v/>
      </c>
      <c r="I39" s="24">
        <f>'_Data'!J5</f>
        <v/>
      </c>
      <c r="J39" s="23">
        <f>IF(AND(C39&gt;0,F39&gt;0),ABS(F39-C39)/C39,"")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'_Data'!K5</f>
        <v/>
      </c>
      <c r="N39" s="9">
        <f>'_Data'!L5</f>
        <v/>
      </c>
    </row>
    <row r="40">
      <c r="A40" s="3" t="inlineStr">
        <is>
          <t>2026 W5</t>
        </is>
      </c>
      <c r="B40" s="3" t="n">
        <v>5</v>
      </c>
      <c r="C40" s="4">
        <f>'_Data'!D6</f>
        <v/>
      </c>
      <c r="D40" s="5">
        <f>'_Data'!E6</f>
        <v/>
      </c>
      <c r="E40" s="6">
        <f>'_Data'!F6</f>
        <v/>
      </c>
      <c r="F40" s="4">
        <f>'_Data'!G6</f>
        <v/>
      </c>
      <c r="G40" s="4">
        <f>'_Data'!H6</f>
        <v/>
      </c>
      <c r="H40" s="4">
        <f>'_Data'!I6</f>
        <v/>
      </c>
      <c r="I40" s="21">
        <f>'_Data'!J6</f>
        <v/>
      </c>
      <c r="J40" s="20">
        <f>IF(AND(C40&gt;0,F40&gt;0),ABS(F40-C40)/C40,"")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'_Data'!K6</f>
        <v/>
      </c>
      <c r="N40" s="4">
        <f>'_Data'!L6</f>
        <v/>
      </c>
    </row>
    <row r="41">
      <c r="A41" s="8" t="inlineStr">
        <is>
          <t>2026 W6</t>
        </is>
      </c>
      <c r="B41" s="8" t="n">
        <v>6</v>
      </c>
      <c r="C41" s="9">
        <f>'_Data'!D7</f>
        <v/>
      </c>
      <c r="D41" s="10">
        <f>'_Data'!E7</f>
        <v/>
      </c>
      <c r="E41" s="11">
        <f>'_Data'!F7</f>
        <v/>
      </c>
      <c r="F41" s="9">
        <f>'_Data'!G7</f>
        <v/>
      </c>
      <c r="G41" s="9">
        <f>'_Data'!H7</f>
        <v/>
      </c>
      <c r="H41" s="9">
        <f>'_Data'!I7</f>
        <v/>
      </c>
      <c r="I41" s="24">
        <f>'_Data'!J7</f>
        <v/>
      </c>
      <c r="J41" s="23">
        <f>IF(AND(C41&gt;0,F41&gt;0),ABS(F41-C41)/C41,"")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'_Data'!K7</f>
        <v/>
      </c>
      <c r="N41" s="9">
        <f>'_Data'!L7</f>
        <v/>
      </c>
    </row>
    <row r="42">
      <c r="A42" s="3" t="inlineStr">
        <is>
          <t>2026 W7</t>
        </is>
      </c>
      <c r="B42" s="3" t="n">
        <v>7</v>
      </c>
      <c r="C42" s="4">
        <f>'_Data'!D8</f>
        <v/>
      </c>
      <c r="D42" s="5">
        <f>'_Data'!E8</f>
        <v/>
      </c>
      <c r="E42" s="6">
        <f>'_Data'!F8</f>
        <v/>
      </c>
      <c r="F42" s="4">
        <f>'_Data'!G8</f>
        <v/>
      </c>
      <c r="G42" s="4">
        <f>'_Data'!H8</f>
        <v/>
      </c>
      <c r="H42" s="4">
        <f>'_Data'!I8</f>
        <v/>
      </c>
      <c r="I42" s="21">
        <f>'_Data'!J8</f>
        <v/>
      </c>
      <c r="J42" s="20">
        <f>IF(AND(C42&gt;0,F42&gt;0),ABS(F42-C42)/C42,"")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'_Data'!K8</f>
        <v/>
      </c>
      <c r="N42" s="4">
        <f>'_Data'!L8</f>
        <v/>
      </c>
    </row>
    <row r="43">
      <c r="A43" s="8" t="inlineStr">
        <is>
          <t>2026 W8</t>
        </is>
      </c>
      <c r="B43" s="8" t="n">
        <v>8</v>
      </c>
      <c r="C43" s="9">
        <f>'_Data'!D9</f>
        <v/>
      </c>
      <c r="D43" s="10">
        <f>'_Data'!E9</f>
        <v/>
      </c>
      <c r="E43" s="11">
        <f>'_Data'!F9</f>
        <v/>
      </c>
      <c r="F43" s="9">
        <f>'_Data'!G9</f>
        <v/>
      </c>
      <c r="G43" s="9">
        <f>'_Data'!H9</f>
        <v/>
      </c>
      <c r="H43" s="9">
        <f>'_Data'!I9</f>
        <v/>
      </c>
      <c r="I43" s="24">
        <f>'_Data'!J9</f>
        <v/>
      </c>
      <c r="J43" s="23">
        <f>IF(AND(C43&gt;0,F43&gt;0),ABS(F43-C43)/C43,"")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'_Data'!K9</f>
        <v/>
      </c>
      <c r="N43" s="9">
        <f>'_Data'!L9</f>
        <v/>
      </c>
    </row>
    <row r="44">
      <c r="A44" s="3" t="inlineStr">
        <is>
          <t>2026 W9</t>
        </is>
      </c>
      <c r="B44" s="3" t="n">
        <v>9</v>
      </c>
      <c r="C44" s="4">
        <f>'_Data'!D10</f>
        <v/>
      </c>
      <c r="D44" s="5">
        <f>'_Data'!E10</f>
        <v/>
      </c>
      <c r="E44" s="6">
        <f>'_Data'!F10</f>
        <v/>
      </c>
      <c r="F44" s="4">
        <f>'_Data'!G10</f>
        <v/>
      </c>
      <c r="G44" s="4">
        <f>'_Data'!H10</f>
        <v/>
      </c>
      <c r="H44" s="4">
        <f>'_Data'!I10</f>
        <v/>
      </c>
      <c r="I44" s="21">
        <f>'_Data'!J10</f>
        <v/>
      </c>
      <c r="J44" s="20">
        <f>IF(AND(C44&gt;0,F44&gt;0),ABS(F44-C44)/C44,"")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'_Data'!K10</f>
        <v/>
      </c>
      <c r="N44" s="4">
        <f>'_Data'!L10</f>
        <v/>
      </c>
    </row>
    <row r="45">
      <c r="A45" s="8" t="inlineStr">
        <is>
          <t>2026 W10</t>
        </is>
      </c>
      <c r="B45" s="8" t="n">
        <v>10</v>
      </c>
      <c r="C45" s="9">
        <f>'_Data'!D11</f>
        <v/>
      </c>
      <c r="D45" s="10">
        <f>'_Data'!E11</f>
        <v/>
      </c>
      <c r="E45" s="11">
        <f>'_Data'!F11</f>
        <v/>
      </c>
      <c r="F45" s="9">
        <f>'_Data'!G11</f>
        <v/>
      </c>
      <c r="G45" s="9">
        <f>'_Data'!H11</f>
        <v/>
      </c>
      <c r="H45" s="9">
        <f>'_Data'!I11</f>
        <v/>
      </c>
      <c r="I45" s="24">
        <f>'_Data'!J11</f>
        <v/>
      </c>
      <c r="J45" s="23">
        <f>IF(AND(C45&gt;0,F45&gt;0),ABS(F45-C45)/C45,"")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'_Data'!K11</f>
        <v/>
      </c>
      <c r="N45" s="9">
        <f>'_Data'!L11</f>
        <v/>
      </c>
    </row>
    <row r="46">
      <c r="A46" s="3" t="inlineStr">
        <is>
          <t>2026 W11</t>
        </is>
      </c>
      <c r="B46" s="3" t="n">
        <v>11</v>
      </c>
      <c r="C46" s="4">
        <f>'_Data'!D12</f>
        <v/>
      </c>
      <c r="D46" s="5">
        <f>'_Data'!E12</f>
        <v/>
      </c>
      <c r="E46" s="6">
        <f>'_Data'!F12</f>
        <v/>
      </c>
      <c r="F46" s="4">
        <f>'_Data'!G12</f>
        <v/>
      </c>
      <c r="G46" s="4">
        <f>'_Data'!H12</f>
        <v/>
      </c>
      <c r="H46" s="4">
        <f>'_Data'!I12</f>
        <v/>
      </c>
      <c r="I46" s="21">
        <f>'_Data'!J12</f>
        <v/>
      </c>
      <c r="J46" s="20">
        <f>IF(AND(C46&gt;0,F46&gt;0),ABS(F46-C46)/C46,"")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'_Data'!K12</f>
        <v/>
      </c>
      <c r="N46" s="4">
        <f>'_Data'!L12</f>
        <v/>
      </c>
    </row>
    <row r="47">
      <c r="A47" s="8" t="inlineStr">
        <is>
          <t>2026 W12</t>
        </is>
      </c>
      <c r="B47" s="8" t="n">
        <v>12</v>
      </c>
      <c r="C47" s="9">
        <f>'_Data'!D13</f>
        <v/>
      </c>
      <c r="D47" s="10">
        <f>'_Data'!E13</f>
        <v/>
      </c>
      <c r="E47" s="11">
        <f>'_Data'!F13</f>
        <v/>
      </c>
      <c r="F47" s="9">
        <f>'_Data'!G13</f>
        <v/>
      </c>
      <c r="G47" s="9">
        <f>'_Data'!H13</f>
        <v/>
      </c>
      <c r="H47" s="9">
        <f>'_Data'!I13</f>
        <v/>
      </c>
      <c r="I47" s="24">
        <f>'_Data'!J13</f>
        <v/>
      </c>
      <c r="J47" s="23">
        <f>IF(AND(C47&gt;0,F47&gt;0),ABS(F47-C47)/C47,"")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'_Data'!K13</f>
        <v/>
      </c>
      <c r="N47" s="9">
        <f>'_Data'!L13</f>
        <v/>
      </c>
    </row>
    <row r="48">
      <c r="A48" s="3" t="inlineStr">
        <is>
          <t>2026 W13</t>
        </is>
      </c>
      <c r="B48" s="3" t="n">
        <v>13</v>
      </c>
      <c r="C48" s="4">
        <f>'_Data'!D14</f>
        <v/>
      </c>
      <c r="D48" s="5">
        <f>'_Data'!E14</f>
        <v/>
      </c>
      <c r="E48" s="6">
        <f>'_Data'!F14</f>
        <v/>
      </c>
      <c r="F48" s="4">
        <f>'_Data'!G14</f>
        <v/>
      </c>
      <c r="G48" s="4">
        <f>'_Data'!H14</f>
        <v/>
      </c>
      <c r="H48" s="4">
        <f>'_Data'!I14</f>
        <v/>
      </c>
      <c r="I48" s="21">
        <f>'_Data'!J14</f>
        <v/>
      </c>
      <c r="J48" s="20">
        <f>IF(AND(C48&gt;0,F48&gt;0),ABS(F48-C48)/C48,"")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'_Data'!K14</f>
        <v/>
      </c>
      <c r="N48" s="4">
        <f>'_Data'!L14</f>
        <v/>
      </c>
    </row>
    <row r="49">
      <c r="A49" s="8" t="inlineStr">
        <is>
          <t>2026 W14</t>
        </is>
      </c>
      <c r="B49" s="8" t="n">
        <v>14</v>
      </c>
      <c r="C49" s="9">
        <f>'_Data'!D15</f>
        <v/>
      </c>
      <c r="D49" s="10">
        <f>'_Data'!E15</f>
        <v/>
      </c>
      <c r="E49" s="11">
        <f>'_Data'!F15</f>
        <v/>
      </c>
      <c r="F49" s="9">
        <f>'_Data'!G15</f>
        <v/>
      </c>
      <c r="G49" s="9">
        <f>'_Data'!H15</f>
        <v/>
      </c>
      <c r="H49" s="9">
        <f>'_Data'!I15</f>
        <v/>
      </c>
      <c r="I49" s="24">
        <f>'_Data'!J15</f>
        <v/>
      </c>
      <c r="J49" s="23">
        <f>IF(AND(C49&gt;0,F49&gt;0),ABS(F49-C49)/C49,"")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'_Data'!K15</f>
        <v/>
      </c>
      <c r="N49" s="9">
        <f>'_Data'!L15</f>
        <v/>
      </c>
    </row>
    <row r="50">
      <c r="A50" s="3" t="inlineStr">
        <is>
          <t>2026 W15</t>
        </is>
      </c>
      <c r="B50" s="3" t="n">
        <v>15</v>
      </c>
      <c r="C50" s="4">
        <f>'_Data'!D16</f>
        <v/>
      </c>
      <c r="D50" s="5">
        <f>'_Data'!E16</f>
        <v/>
      </c>
      <c r="E50" s="6">
        <f>'_Data'!F16</f>
        <v/>
      </c>
      <c r="F50" s="4">
        <f>'_Data'!G16</f>
        <v/>
      </c>
      <c r="G50" s="4">
        <f>'_Data'!H16</f>
        <v/>
      </c>
      <c r="H50" s="4">
        <f>'_Data'!I16</f>
        <v/>
      </c>
      <c r="I50" s="21">
        <f>'_Data'!J16</f>
        <v/>
      </c>
      <c r="J50" s="20">
        <f>IF(AND(C50&gt;0,F50&gt;0),ABS(F50-C50)/C50,"")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'_Data'!K16</f>
        <v/>
      </c>
      <c r="N50" s="4">
        <f>'_Data'!L16</f>
        <v/>
      </c>
    </row>
    <row r="51">
      <c r="A51" s="14" t="inlineStr">
        <is>
          <t>2026 W16</t>
        </is>
      </c>
      <c r="B51" s="14" t="n">
        <v>16</v>
      </c>
      <c r="C51" s="14">
        <f>'_Data'!D17</f>
        <v/>
      </c>
      <c r="D51" s="14">
        <f>'_Data'!E17</f>
        <v/>
      </c>
      <c r="E51" s="14">
        <f>'_Data'!F17</f>
        <v/>
      </c>
      <c r="F51" s="15">
        <f>'_Data'!G17</f>
        <v/>
      </c>
      <c r="G51" s="15">
        <f>'_Data'!H17</f>
        <v/>
      </c>
      <c r="H51" s="15">
        <f>'_Data'!I17</f>
        <v/>
      </c>
      <c r="I51" s="18">
        <f>'_Data'!J17</f>
        <v/>
      </c>
      <c r="J51" s="17">
        <f>IF(AND(C51&gt;0,F51&gt;0),ABS(F51-C51)/C51,"")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'_Data'!K17</f>
        <v/>
      </c>
      <c r="N51" s="14">
        <f>'_Data'!L17</f>
        <v/>
      </c>
    </row>
    <row r="52">
      <c r="A52" s="14" t="inlineStr">
        <is>
          <t>2026 W17</t>
        </is>
      </c>
      <c r="B52" s="14" t="n">
        <v>17</v>
      </c>
      <c r="C52" s="14">
        <f>'_Data'!D18</f>
        <v/>
      </c>
      <c r="D52" s="14">
        <f>'_Data'!E18</f>
        <v/>
      </c>
      <c r="E52" s="14">
        <f>'_Data'!F18</f>
        <v/>
      </c>
      <c r="F52" s="15">
        <f>'_Data'!G18</f>
        <v/>
      </c>
      <c r="G52" s="15">
        <f>'_Data'!H18</f>
        <v/>
      </c>
      <c r="H52" s="15">
        <f>'_Data'!I18</f>
        <v/>
      </c>
      <c r="I52" s="18">
        <f>'_Data'!J18</f>
        <v/>
      </c>
      <c r="J52" s="17">
        <f>IF(AND(C52&gt;0,F52&gt;0),ABS(F52-C52)/C52,"")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'_Data'!K18</f>
        <v/>
      </c>
      <c r="N52" s="14">
        <f>'_Data'!L18</f>
        <v/>
      </c>
    </row>
    <row r="53">
      <c r="A53" s="14" t="inlineStr">
        <is>
          <t>2026 W18</t>
        </is>
      </c>
      <c r="B53" s="14" t="n">
        <v>18</v>
      </c>
      <c r="C53" s="14">
        <f>'_Data'!D19</f>
        <v/>
      </c>
      <c r="D53" s="14">
        <f>'_Data'!E19</f>
        <v/>
      </c>
      <c r="E53" s="14">
        <f>'_Data'!F19</f>
        <v/>
      </c>
      <c r="F53" s="15">
        <f>'_Data'!G19</f>
        <v/>
      </c>
      <c r="G53" s="15">
        <f>'_Data'!H19</f>
        <v/>
      </c>
      <c r="H53" s="15">
        <f>'_Data'!I19</f>
        <v/>
      </c>
      <c r="I53" s="18">
        <f>'_Data'!J19</f>
        <v/>
      </c>
      <c r="J53" s="17">
        <f>IF(AND(C53&gt;0,F53&gt;0),ABS(F53-C53)/C53,"")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'_Data'!K19</f>
        <v/>
      </c>
      <c r="N53" s="14">
        <f>'_Data'!L19</f>
        <v/>
      </c>
    </row>
    <row r="54">
      <c r="A54" s="14" t="inlineStr">
        <is>
          <t>2026 W19</t>
        </is>
      </c>
      <c r="B54" s="14" t="n">
        <v>19</v>
      </c>
      <c r="C54" s="14">
        <f>'_Data'!D20</f>
        <v/>
      </c>
      <c r="D54" s="14">
        <f>'_Data'!E20</f>
        <v/>
      </c>
      <c r="E54" s="14">
        <f>'_Data'!F20</f>
        <v/>
      </c>
      <c r="F54" s="15">
        <f>'_Data'!G20</f>
        <v/>
      </c>
      <c r="G54" s="15">
        <f>'_Data'!H20</f>
        <v/>
      </c>
      <c r="H54" s="15">
        <f>'_Data'!I20</f>
        <v/>
      </c>
      <c r="I54" s="18">
        <f>'_Data'!J20</f>
        <v/>
      </c>
      <c r="J54" s="17">
        <f>IF(AND(C54&gt;0,F54&gt;0),ABS(F54-C54)/C54,"")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'_Data'!K20</f>
        <v/>
      </c>
      <c r="N54" s="14">
        <f>'_Data'!L20</f>
        <v/>
      </c>
    </row>
    <row r="55">
      <c r="A55" s="14" t="inlineStr">
        <is>
          <t>2026 W20</t>
        </is>
      </c>
      <c r="B55" s="14" t="n">
        <v>20</v>
      </c>
      <c r="C55" s="14">
        <f>'_Data'!D21</f>
        <v/>
      </c>
      <c r="D55" s="14">
        <f>'_Data'!E21</f>
        <v/>
      </c>
      <c r="E55" s="14">
        <f>'_Data'!F21</f>
        <v/>
      </c>
      <c r="F55" s="15">
        <f>'_Data'!G21</f>
        <v/>
      </c>
      <c r="G55" s="15">
        <f>'_Data'!H21</f>
        <v/>
      </c>
      <c r="H55" s="15">
        <f>'_Data'!I21</f>
        <v/>
      </c>
      <c r="I55" s="18">
        <f>'_Data'!J21</f>
        <v/>
      </c>
      <c r="J55" s="17">
        <f>IF(AND(C55&gt;0,F55&gt;0),ABS(F55-C55)/C55,"")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'_Data'!K21</f>
        <v/>
      </c>
      <c r="N55" s="14">
        <f>'_Data'!L21</f>
        <v/>
      </c>
    </row>
    <row r="56">
      <c r="A56" s="14" t="inlineStr">
        <is>
          <t>2026 W21</t>
        </is>
      </c>
      <c r="B56" s="14" t="n">
        <v>21</v>
      </c>
      <c r="C56" s="14">
        <f>'_Data'!D22</f>
        <v/>
      </c>
      <c r="D56" s="14">
        <f>'_Data'!E22</f>
        <v/>
      </c>
      <c r="E56" s="14">
        <f>'_Data'!F22</f>
        <v/>
      </c>
      <c r="F56" s="15">
        <f>'_Data'!G22</f>
        <v/>
      </c>
      <c r="G56" s="15">
        <f>'_Data'!H22</f>
        <v/>
      </c>
      <c r="H56" s="15">
        <f>'_Data'!I22</f>
        <v/>
      </c>
      <c r="I56" s="18">
        <f>'_Data'!J22</f>
        <v/>
      </c>
      <c r="J56" s="17">
        <f>IF(AND(C56&gt;0,F56&gt;0),ABS(F56-C56)/C56,"")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'_Data'!K22</f>
        <v/>
      </c>
      <c r="N56" s="14">
        <f>'_Data'!L22</f>
        <v/>
      </c>
    </row>
    <row r="57">
      <c r="A57" s="14" t="inlineStr">
        <is>
          <t>2026 W22</t>
        </is>
      </c>
      <c r="B57" s="14" t="n">
        <v>22</v>
      </c>
      <c r="C57" s="14">
        <f>'_Data'!D23</f>
        <v/>
      </c>
      <c r="D57" s="14">
        <f>'_Data'!E23</f>
        <v/>
      </c>
      <c r="E57" s="14">
        <f>'_Data'!F23</f>
        <v/>
      </c>
      <c r="F57" s="15">
        <f>'_Data'!G23</f>
        <v/>
      </c>
      <c r="G57" s="15">
        <f>'_Data'!H23</f>
        <v/>
      </c>
      <c r="H57" s="15">
        <f>'_Data'!I23</f>
        <v/>
      </c>
      <c r="I57" s="18">
        <f>'_Data'!J23</f>
        <v/>
      </c>
      <c r="J57" s="17">
        <f>IF(AND(C57&gt;0,F57&gt;0),ABS(F57-C57)/C57,"")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'_Data'!K23</f>
        <v/>
      </c>
      <c r="N57" s="14">
        <f>'_Data'!L23</f>
        <v/>
      </c>
    </row>
    <row r="58">
      <c r="A58" s="14" t="inlineStr">
        <is>
          <t>2026 W23</t>
        </is>
      </c>
      <c r="B58" s="14" t="n">
        <v>23</v>
      </c>
      <c r="C58" s="14">
        <f>'_Data'!D24</f>
        <v/>
      </c>
      <c r="D58" s="14">
        <f>'_Data'!E24</f>
        <v/>
      </c>
      <c r="E58" s="14">
        <f>'_Data'!F24</f>
        <v/>
      </c>
      <c r="F58" s="15">
        <f>'_Data'!G24</f>
        <v/>
      </c>
      <c r="G58" s="15">
        <f>'_Data'!H24</f>
        <v/>
      </c>
      <c r="H58" s="15">
        <f>'_Data'!I24</f>
        <v/>
      </c>
      <c r="I58" s="18">
        <f>'_Data'!J24</f>
        <v/>
      </c>
      <c r="J58" s="17">
        <f>IF(AND(C58&gt;0,F58&gt;0),ABS(F58-C58)/C58,"")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'_Data'!K24</f>
        <v/>
      </c>
      <c r="N58" s="14">
        <f>'_Data'!L24</f>
        <v/>
      </c>
    </row>
    <row r="59">
      <c r="A59" s="14" t="inlineStr">
        <is>
          <t>2026 W24</t>
        </is>
      </c>
      <c r="B59" s="14" t="n">
        <v>24</v>
      </c>
      <c r="C59" s="14">
        <f>'_Data'!D25</f>
        <v/>
      </c>
      <c r="D59" s="14">
        <f>'_Data'!E25</f>
        <v/>
      </c>
      <c r="E59" s="14">
        <f>'_Data'!F25</f>
        <v/>
      </c>
      <c r="F59" s="15">
        <f>'_Data'!G25</f>
        <v/>
      </c>
      <c r="G59" s="15">
        <f>'_Data'!H25</f>
        <v/>
      </c>
      <c r="H59" s="15">
        <f>'_Data'!I25</f>
        <v/>
      </c>
      <c r="I59" s="18">
        <f>'_Data'!J25</f>
        <v/>
      </c>
      <c r="J59" s="17">
        <f>IF(AND(C59&gt;0,F59&gt;0),ABS(F59-C59)/C59,"")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'_Data'!K25</f>
        <v/>
      </c>
      <c r="N59" s="14">
        <f>'_Data'!L25</f>
        <v/>
      </c>
    </row>
    <row r="60">
      <c r="A60" s="14" t="inlineStr">
        <is>
          <t>2026 W25</t>
        </is>
      </c>
      <c r="B60" s="14" t="n">
        <v>25</v>
      </c>
      <c r="C60" s="14">
        <f>'_Data'!D26</f>
        <v/>
      </c>
      <c r="D60" s="14">
        <f>'_Data'!E26</f>
        <v/>
      </c>
      <c r="E60" s="14">
        <f>'_Data'!F26</f>
        <v/>
      </c>
      <c r="F60" s="15">
        <f>'_Data'!G26</f>
        <v/>
      </c>
      <c r="G60" s="15">
        <f>'_Data'!H26</f>
        <v/>
      </c>
      <c r="H60" s="15">
        <f>'_Data'!I26</f>
        <v/>
      </c>
      <c r="I60" s="18">
        <f>'_Data'!J26</f>
        <v/>
      </c>
      <c r="J60" s="17">
        <f>IF(AND(C60&gt;0,F60&gt;0),ABS(F60-C60)/C60,"")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'_Data'!K26</f>
        <v/>
      </c>
      <c r="N60" s="14">
        <f>'_Data'!L26</f>
        <v/>
      </c>
    </row>
    <row r="61">
      <c r="A61" s="14" t="inlineStr">
        <is>
          <t>2026 W26</t>
        </is>
      </c>
      <c r="B61" s="14" t="n">
        <v>26</v>
      </c>
      <c r="C61" s="14">
        <f>'_Data'!D27</f>
        <v/>
      </c>
      <c r="D61" s="14">
        <f>'_Data'!E27</f>
        <v/>
      </c>
      <c r="E61" s="14">
        <f>'_Data'!F27</f>
        <v/>
      </c>
      <c r="F61" s="15">
        <f>'_Data'!G27</f>
        <v/>
      </c>
      <c r="G61" s="15">
        <f>'_Data'!H27</f>
        <v/>
      </c>
      <c r="H61" s="15">
        <f>'_Data'!I27</f>
        <v/>
      </c>
      <c r="I61" s="18">
        <f>'_Data'!J27</f>
        <v/>
      </c>
      <c r="J61" s="17">
        <f>IF(AND(C61&gt;0,F61&gt;0),ABS(F61-C61)/C61,"")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'_Data'!K27</f>
        <v/>
      </c>
      <c r="N61" s="14">
        <f>'_Data'!L27</f>
        <v/>
      </c>
    </row>
    <row r="62">
      <c r="A62" s="14" t="inlineStr">
        <is>
          <t>2026 W27</t>
        </is>
      </c>
      <c r="B62" s="14" t="n">
        <v>27</v>
      </c>
      <c r="C62" s="14">
        <f>'_Data'!D28</f>
        <v/>
      </c>
      <c r="D62" s="14">
        <f>'_Data'!E28</f>
        <v/>
      </c>
      <c r="E62" s="14">
        <f>'_Data'!F28</f>
        <v/>
      </c>
      <c r="F62" s="15">
        <f>'_Data'!G28</f>
        <v/>
      </c>
      <c r="G62" s="15">
        <f>'_Data'!H28</f>
        <v/>
      </c>
      <c r="H62" s="15">
        <f>'_Data'!I28</f>
        <v/>
      </c>
      <c r="I62" s="18">
        <f>'_Data'!J28</f>
        <v/>
      </c>
      <c r="J62" s="17">
        <f>IF(AND(C62&gt;0,F62&gt;0),ABS(F62-C62)/C62,"")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'_Data'!K28</f>
        <v/>
      </c>
      <c r="N62" s="14">
        <f>'_Data'!L28</f>
        <v/>
      </c>
    </row>
    <row r="63">
      <c r="A63" s="14" t="inlineStr">
        <is>
          <t>2026 W28</t>
        </is>
      </c>
      <c r="B63" s="14" t="n">
        <v>28</v>
      </c>
      <c r="C63" s="14">
        <f>'_Data'!D29</f>
        <v/>
      </c>
      <c r="D63" s="14">
        <f>'_Data'!E29</f>
        <v/>
      </c>
      <c r="E63" s="14">
        <f>'_Data'!F29</f>
        <v/>
      </c>
      <c r="F63" s="15">
        <f>'_Data'!G29</f>
        <v/>
      </c>
      <c r="G63" s="15">
        <f>'_Data'!H29</f>
        <v/>
      </c>
      <c r="H63" s="15">
        <f>'_Data'!I29</f>
        <v/>
      </c>
      <c r="I63" s="18">
        <f>'_Data'!J29</f>
        <v/>
      </c>
      <c r="J63" s="17">
        <f>IF(AND(C63&gt;0,F63&gt;0),ABS(F63-C63)/C63,"")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'_Data'!K29</f>
        <v/>
      </c>
      <c r="N63" s="14">
        <f>'_Data'!L29</f>
        <v/>
      </c>
    </row>
    <row r="64">
      <c r="A64" s="14" t="inlineStr">
        <is>
          <t>2026 W29</t>
        </is>
      </c>
      <c r="B64" s="14" t="n">
        <v>29</v>
      </c>
      <c r="C64" s="14">
        <f>'_Data'!D30</f>
        <v/>
      </c>
      <c r="D64" s="14">
        <f>'_Data'!E30</f>
        <v/>
      </c>
      <c r="E64" s="14">
        <f>'_Data'!F30</f>
        <v/>
      </c>
      <c r="F64" s="15">
        <f>'_Data'!G30</f>
        <v/>
      </c>
      <c r="G64" s="15">
        <f>'_Data'!H30</f>
        <v/>
      </c>
      <c r="H64" s="15">
        <f>'_Data'!I30</f>
        <v/>
      </c>
      <c r="I64" s="18">
        <f>'_Data'!J30</f>
        <v/>
      </c>
      <c r="J64" s="17">
        <f>IF(AND(C64&gt;0,F64&gt;0),ABS(F64-C64)/C64,"")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'_Data'!K30</f>
        <v/>
      </c>
      <c r="N64" s="14">
        <f>'_Data'!L30</f>
        <v/>
      </c>
    </row>
    <row r="65">
      <c r="A65" s="14" t="inlineStr">
        <is>
          <t>2026 W30</t>
        </is>
      </c>
      <c r="B65" s="14" t="n">
        <v>30</v>
      </c>
      <c r="C65" s="14">
        <f>'_Data'!D31</f>
        <v/>
      </c>
      <c r="D65" s="14">
        <f>'_Data'!E31</f>
        <v/>
      </c>
      <c r="E65" s="14">
        <f>'_Data'!F31</f>
        <v/>
      </c>
      <c r="F65" s="15">
        <f>'_Data'!G31</f>
        <v/>
      </c>
      <c r="G65" s="15">
        <f>'_Data'!H31</f>
        <v/>
      </c>
      <c r="H65" s="15">
        <f>'_Data'!I31</f>
        <v/>
      </c>
      <c r="I65" s="18">
        <f>'_Data'!J31</f>
        <v/>
      </c>
      <c r="J65" s="17">
        <f>IF(AND(C65&gt;0,F65&gt;0),ABS(F65-C65)/C65,"")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'_Data'!K31</f>
        <v/>
      </c>
      <c r="N65" s="14">
        <f>'_Data'!L31</f>
        <v/>
      </c>
    </row>
    <row r="66">
      <c r="A66" s="14" t="inlineStr">
        <is>
          <t>2026 W31</t>
        </is>
      </c>
      <c r="B66" s="14" t="n">
        <v>31</v>
      </c>
      <c r="C66" s="14">
        <f>'_Data'!D32</f>
        <v/>
      </c>
      <c r="D66" s="14">
        <f>'_Data'!E32</f>
        <v/>
      </c>
      <c r="E66" s="14">
        <f>'_Data'!F32</f>
        <v/>
      </c>
      <c r="F66" s="15">
        <f>'_Data'!G32</f>
        <v/>
      </c>
      <c r="G66" s="15">
        <f>'_Data'!H32</f>
        <v/>
      </c>
      <c r="H66" s="15">
        <f>'_Data'!I32</f>
        <v/>
      </c>
      <c r="I66" s="18">
        <f>'_Data'!J32</f>
        <v/>
      </c>
      <c r="J66" s="17">
        <f>IF(AND(C66&gt;0,F66&gt;0),ABS(F66-C66)/C66,"")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'_Data'!K32</f>
        <v/>
      </c>
      <c r="N66" s="14">
        <f>'_Data'!L32</f>
        <v/>
      </c>
    </row>
    <row r="67">
      <c r="A67" s="14" t="inlineStr">
        <is>
          <t>2026 W32</t>
        </is>
      </c>
      <c r="B67" s="14" t="n">
        <v>32</v>
      </c>
      <c r="C67" s="14">
        <f>'_Data'!D33</f>
        <v/>
      </c>
      <c r="D67" s="14">
        <f>'_Data'!E33</f>
        <v/>
      </c>
      <c r="E67" s="14">
        <f>'_Data'!F33</f>
        <v/>
      </c>
      <c r="F67" s="15">
        <f>'_Data'!G33</f>
        <v/>
      </c>
      <c r="G67" s="15">
        <f>'_Data'!H33</f>
        <v/>
      </c>
      <c r="H67" s="15">
        <f>'_Data'!I33</f>
        <v/>
      </c>
      <c r="I67" s="18">
        <f>'_Data'!J33</f>
        <v/>
      </c>
      <c r="J67" s="17">
        <f>IF(AND(C67&gt;0,F67&gt;0),ABS(F67-C67)/C67,"")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'_Data'!K33</f>
        <v/>
      </c>
      <c r="N67" s="14">
        <f>'_Data'!L33</f>
        <v/>
      </c>
    </row>
    <row r="68">
      <c r="A68" s="14" t="inlineStr">
        <is>
          <t>2026 W33</t>
        </is>
      </c>
      <c r="B68" s="14" t="n">
        <v>33</v>
      </c>
      <c r="C68" s="14">
        <f>'_Data'!D34</f>
        <v/>
      </c>
      <c r="D68" s="14">
        <f>'_Data'!E34</f>
        <v/>
      </c>
      <c r="E68" s="14">
        <f>'_Data'!F34</f>
        <v/>
      </c>
      <c r="F68" s="15">
        <f>'_Data'!G34</f>
        <v/>
      </c>
      <c r="G68" s="15">
        <f>'_Data'!H34</f>
        <v/>
      </c>
      <c r="H68" s="15">
        <f>'_Data'!I34</f>
        <v/>
      </c>
      <c r="I68" s="18">
        <f>'_Data'!J34</f>
        <v/>
      </c>
      <c r="J68" s="17">
        <f>IF(AND(C68&gt;0,F68&gt;0),ABS(F68-C68)/C68,"")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'_Data'!K34</f>
        <v/>
      </c>
      <c r="N68" s="14">
        <f>'_Data'!L34</f>
        <v/>
      </c>
    </row>
    <row r="69">
      <c r="A69" s="14" t="inlineStr">
        <is>
          <t>2026 W34</t>
        </is>
      </c>
      <c r="B69" s="14" t="n">
        <v>34</v>
      </c>
      <c r="C69" s="14">
        <f>'_Data'!D35</f>
        <v/>
      </c>
      <c r="D69" s="14">
        <f>'_Data'!E35</f>
        <v/>
      </c>
      <c r="E69" s="14">
        <f>'_Data'!F35</f>
        <v/>
      </c>
      <c r="F69" s="15">
        <f>'_Data'!G35</f>
        <v/>
      </c>
      <c r="G69" s="15">
        <f>'_Data'!H35</f>
        <v/>
      </c>
      <c r="H69" s="15">
        <f>'_Data'!I35</f>
        <v/>
      </c>
      <c r="I69" s="18">
        <f>'_Data'!J35</f>
        <v/>
      </c>
      <c r="J69" s="17">
        <f>IF(AND(C69&gt;0,F69&gt;0),ABS(F69-C69)/C69,"")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'_Data'!K35</f>
        <v/>
      </c>
      <c r="N69" s="14">
        <f>'_Data'!L35</f>
        <v/>
      </c>
    </row>
    <row r="70">
      <c r="A70" s="14" t="inlineStr">
        <is>
          <t>2026 W35</t>
        </is>
      </c>
      <c r="B70" s="14" t="n">
        <v>35</v>
      </c>
      <c r="C70" s="14">
        <f>'_Data'!D36</f>
        <v/>
      </c>
      <c r="D70" s="14">
        <f>'_Data'!E36</f>
        <v/>
      </c>
      <c r="E70" s="14">
        <f>'_Data'!F36</f>
        <v/>
      </c>
      <c r="F70" s="15">
        <f>'_Data'!G36</f>
        <v/>
      </c>
      <c r="G70" s="15">
        <f>'_Data'!H36</f>
        <v/>
      </c>
      <c r="H70" s="15">
        <f>'_Data'!I36</f>
        <v/>
      </c>
      <c r="I70" s="18">
        <f>'_Data'!J36</f>
        <v/>
      </c>
      <c r="J70" s="17">
        <f>IF(AND(C70&gt;0,F70&gt;0),ABS(F70-C70)/C70,"")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'_Data'!K36</f>
        <v/>
      </c>
      <c r="N70" s="14">
        <f>'_Data'!L36</f>
        <v/>
      </c>
    </row>
    <row r="71">
      <c r="A71" s="14" t="inlineStr">
        <is>
          <t>2026 W36</t>
        </is>
      </c>
      <c r="B71" s="14" t="n">
        <v>36</v>
      </c>
      <c r="C71" s="14">
        <f>'_Data'!D37</f>
        <v/>
      </c>
      <c r="D71" s="14">
        <f>'_Data'!E37</f>
        <v/>
      </c>
      <c r="E71" s="14">
        <f>'_Data'!F37</f>
        <v/>
      </c>
      <c r="F71" s="15">
        <f>'_Data'!G37</f>
        <v/>
      </c>
      <c r="G71" s="15">
        <f>'_Data'!H37</f>
        <v/>
      </c>
      <c r="H71" s="15">
        <f>'_Data'!I37</f>
        <v/>
      </c>
      <c r="I71" s="18">
        <f>'_Data'!J37</f>
        <v/>
      </c>
      <c r="J71" s="17">
        <f>IF(AND(C71&gt;0,F71&gt;0),ABS(F71-C71)/C71,"")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'_Data'!K37</f>
        <v/>
      </c>
      <c r="N71" s="14">
        <f>'_Data'!L37</f>
        <v/>
      </c>
    </row>
    <row r="72">
      <c r="A72" s="14" t="inlineStr">
        <is>
          <t>2026 W37</t>
        </is>
      </c>
      <c r="B72" s="14" t="n">
        <v>37</v>
      </c>
      <c r="C72" s="14">
        <f>'_Data'!D38</f>
        <v/>
      </c>
      <c r="D72" s="14">
        <f>'_Data'!E38</f>
        <v/>
      </c>
      <c r="E72" s="14">
        <f>'_Data'!F38</f>
        <v/>
      </c>
      <c r="F72" s="15">
        <f>'_Data'!G38</f>
        <v/>
      </c>
      <c r="G72" s="15">
        <f>'_Data'!H38</f>
        <v/>
      </c>
      <c r="H72" s="15">
        <f>'_Data'!I38</f>
        <v/>
      </c>
      <c r="I72" s="18">
        <f>'_Data'!J38</f>
        <v/>
      </c>
      <c r="J72" s="17">
        <f>IF(AND(C72&gt;0,F72&gt;0),ABS(F72-C72)/C72,"")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'_Data'!K38</f>
        <v/>
      </c>
      <c r="N72" s="14">
        <f>'_Data'!L38</f>
        <v/>
      </c>
    </row>
    <row r="73">
      <c r="A73" s="14" t="inlineStr">
        <is>
          <t>2026 W38</t>
        </is>
      </c>
      <c r="B73" s="14" t="n">
        <v>38</v>
      </c>
      <c r="C73" s="14">
        <f>'_Data'!D39</f>
        <v/>
      </c>
      <c r="D73" s="14">
        <f>'_Data'!E39</f>
        <v/>
      </c>
      <c r="E73" s="14">
        <f>'_Data'!F39</f>
        <v/>
      </c>
      <c r="F73" s="15">
        <f>'_Data'!G39</f>
        <v/>
      </c>
      <c r="G73" s="15">
        <f>'_Data'!H39</f>
        <v/>
      </c>
      <c r="H73" s="15">
        <f>'_Data'!I39</f>
        <v/>
      </c>
      <c r="I73" s="18">
        <f>'_Data'!J39</f>
        <v/>
      </c>
      <c r="J73" s="17">
        <f>IF(AND(C73&gt;0,F73&gt;0),ABS(F73-C73)/C73,"")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'_Data'!K39</f>
        <v/>
      </c>
      <c r="N73" s="14">
        <f>'_Data'!L39</f>
        <v/>
      </c>
    </row>
    <row r="74">
      <c r="A74" s="14" t="inlineStr">
        <is>
          <t>2026 W39</t>
        </is>
      </c>
      <c r="B74" s="14" t="n">
        <v>39</v>
      </c>
      <c r="C74" s="14">
        <f>'_Data'!D40</f>
        <v/>
      </c>
      <c r="D74" s="14">
        <f>'_Data'!E40</f>
        <v/>
      </c>
      <c r="E74" s="14">
        <f>'_Data'!F40</f>
        <v/>
      </c>
      <c r="F74" s="15">
        <f>'_Data'!G40</f>
        <v/>
      </c>
      <c r="G74" s="15">
        <f>'_Data'!H40</f>
        <v/>
      </c>
      <c r="H74" s="15">
        <f>'_Data'!I40</f>
        <v/>
      </c>
      <c r="I74" s="18">
        <f>'_Data'!J40</f>
        <v/>
      </c>
      <c r="J74" s="17">
        <f>IF(AND(C74&gt;0,F74&gt;0),ABS(F74-C74)/C74,"")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'_Data'!K40</f>
        <v/>
      </c>
      <c r="N74" s="14">
        <f>'_Data'!L40</f>
        <v/>
      </c>
    </row>
    <row r="75">
      <c r="A75" s="14" t="inlineStr">
        <is>
          <t>2026 W40</t>
        </is>
      </c>
      <c r="B75" s="14" t="n">
        <v>40</v>
      </c>
      <c r="C75" s="14">
        <f>'_Data'!D41</f>
        <v/>
      </c>
      <c r="D75" s="14">
        <f>'_Data'!E41</f>
        <v/>
      </c>
      <c r="E75" s="14">
        <f>'_Data'!F41</f>
        <v/>
      </c>
      <c r="F75" s="15">
        <f>'_Data'!G41</f>
        <v/>
      </c>
      <c r="G75" s="15">
        <f>'_Data'!H41</f>
        <v/>
      </c>
      <c r="H75" s="15">
        <f>'_Data'!I41</f>
        <v/>
      </c>
      <c r="I75" s="18">
        <f>'_Data'!J41</f>
        <v/>
      </c>
      <c r="J75" s="17">
        <f>IF(AND(C75&gt;0,F75&gt;0),ABS(F75-C75)/C75,"")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'_Data'!K41</f>
        <v/>
      </c>
      <c r="N75" s="14">
        <f>'_Data'!L41</f>
        <v/>
      </c>
    </row>
    <row r="76">
      <c r="A76" s="14" t="inlineStr">
        <is>
          <t>2026 W41</t>
        </is>
      </c>
      <c r="B76" s="14" t="n">
        <v>41</v>
      </c>
      <c r="C76" s="14">
        <f>'_Data'!D42</f>
        <v/>
      </c>
      <c r="D76" s="14">
        <f>'_Data'!E42</f>
        <v/>
      </c>
      <c r="E76" s="14">
        <f>'_Data'!F42</f>
        <v/>
      </c>
      <c r="F76" s="15">
        <f>'_Data'!G42</f>
        <v/>
      </c>
      <c r="G76" s="15">
        <f>'_Data'!H42</f>
        <v/>
      </c>
      <c r="H76" s="15">
        <f>'_Data'!I42</f>
        <v/>
      </c>
      <c r="I76" s="18">
        <f>'_Data'!J42</f>
        <v/>
      </c>
      <c r="J76" s="17">
        <f>IF(AND(C76&gt;0,F76&gt;0),ABS(F76-C76)/C76,"")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'_Data'!K42</f>
        <v/>
      </c>
      <c r="N76" s="14">
        <f>'_Data'!L42</f>
        <v/>
      </c>
    </row>
    <row r="77">
      <c r="A77" s="14" t="inlineStr">
        <is>
          <t>2026 W42</t>
        </is>
      </c>
      <c r="B77" s="14" t="n">
        <v>42</v>
      </c>
      <c r="C77" s="14">
        <f>'_Data'!D43</f>
        <v/>
      </c>
      <c r="D77" s="14">
        <f>'_Data'!E43</f>
        <v/>
      </c>
      <c r="E77" s="14">
        <f>'_Data'!F43</f>
        <v/>
      </c>
      <c r="F77" s="15">
        <f>'_Data'!G43</f>
        <v/>
      </c>
      <c r="G77" s="15">
        <f>'_Data'!H43</f>
        <v/>
      </c>
      <c r="H77" s="15">
        <f>'_Data'!I43</f>
        <v/>
      </c>
      <c r="I77" s="18">
        <f>'_Data'!J43</f>
        <v/>
      </c>
      <c r="J77" s="17">
        <f>IF(AND(C77&gt;0,F77&gt;0),ABS(F77-C77)/C77,"")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'_Data'!K43</f>
        <v/>
      </c>
      <c r="N77" s="14">
        <f>'_Data'!L43</f>
        <v/>
      </c>
    </row>
    <row r="78">
      <c r="A78" s="14" t="inlineStr">
        <is>
          <t>2026 W43</t>
        </is>
      </c>
      <c r="B78" s="14" t="n">
        <v>43</v>
      </c>
      <c r="C78" s="14">
        <f>'_Data'!D44</f>
        <v/>
      </c>
      <c r="D78" s="14">
        <f>'_Data'!E44</f>
        <v/>
      </c>
      <c r="E78" s="14">
        <f>'_Data'!F44</f>
        <v/>
      </c>
      <c r="F78" s="15">
        <f>'_Data'!G44</f>
        <v/>
      </c>
      <c r="G78" s="15">
        <f>'_Data'!H44</f>
        <v/>
      </c>
      <c r="H78" s="15">
        <f>'_Data'!I44</f>
        <v/>
      </c>
      <c r="I78" s="18">
        <f>'_Data'!J44</f>
        <v/>
      </c>
      <c r="J78" s="17">
        <f>IF(AND(C78&gt;0,F78&gt;0),ABS(F78-C78)/C78,"")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'_Data'!K44</f>
        <v/>
      </c>
      <c r="N78" s="14">
        <f>'_Data'!L44</f>
        <v/>
      </c>
    </row>
    <row r="79">
      <c r="A79" s="14" t="inlineStr">
        <is>
          <t>2026 W44</t>
        </is>
      </c>
      <c r="B79" s="14" t="n">
        <v>44</v>
      </c>
      <c r="C79" s="14">
        <f>'_Data'!D45</f>
        <v/>
      </c>
      <c r="D79" s="14">
        <f>'_Data'!E45</f>
        <v/>
      </c>
      <c r="E79" s="14">
        <f>'_Data'!F45</f>
        <v/>
      </c>
      <c r="F79" s="15">
        <f>'_Data'!G45</f>
        <v/>
      </c>
      <c r="G79" s="15">
        <f>'_Data'!H45</f>
        <v/>
      </c>
      <c r="H79" s="15">
        <f>'_Data'!I45</f>
        <v/>
      </c>
      <c r="I79" s="18">
        <f>'_Data'!J45</f>
        <v/>
      </c>
      <c r="J79" s="17">
        <f>IF(AND(C79&gt;0,F79&gt;0),ABS(F79-C79)/C79,"")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'_Data'!K45</f>
        <v/>
      </c>
      <c r="N79" s="14">
        <f>'_Data'!L45</f>
        <v/>
      </c>
    </row>
    <row r="80">
      <c r="A80" s="14" t="inlineStr">
        <is>
          <t>2026 W45</t>
        </is>
      </c>
      <c r="B80" s="14" t="n">
        <v>45</v>
      </c>
      <c r="C80" s="14">
        <f>'_Data'!D46</f>
        <v/>
      </c>
      <c r="D80" s="14">
        <f>'_Data'!E46</f>
        <v/>
      </c>
      <c r="E80" s="14">
        <f>'_Data'!F46</f>
        <v/>
      </c>
      <c r="F80" s="15">
        <f>'_Data'!G46</f>
        <v/>
      </c>
      <c r="G80" s="15">
        <f>'_Data'!H46</f>
        <v/>
      </c>
      <c r="H80" s="15">
        <f>'_Data'!I46</f>
        <v/>
      </c>
      <c r="I80" s="18">
        <f>'_Data'!J46</f>
        <v/>
      </c>
      <c r="J80" s="17">
        <f>IF(AND(C80&gt;0,F80&gt;0),ABS(F80-C80)/C80,"")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</f>
        <v/>
      </c>
      <c r="N80" s="14">
        <f>'_Data'!L46</f>
        <v/>
      </c>
    </row>
    <row r="81">
      <c r="A81" s="14" t="inlineStr">
        <is>
          <t>2026 W46</t>
        </is>
      </c>
      <c r="B81" s="14" t="n">
        <v>46</v>
      </c>
      <c r="C81" s="14">
        <f>'_Data'!D47</f>
        <v/>
      </c>
      <c r="D81" s="14">
        <f>'_Data'!E47</f>
        <v/>
      </c>
      <c r="E81" s="14">
        <f>'_Data'!F47</f>
        <v/>
      </c>
      <c r="F81" s="15">
        <f>'_Data'!G47</f>
        <v/>
      </c>
      <c r="G81" s="15">
        <f>'_Data'!H47</f>
        <v/>
      </c>
      <c r="H81" s="15">
        <f>'_Data'!I47</f>
        <v/>
      </c>
      <c r="I81" s="18">
        <f>'_Data'!J47</f>
        <v/>
      </c>
      <c r="J81" s="17">
        <f>IF(AND(C81&gt;0,F81&gt;0),ABS(F81-C81)/C81,"")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'_Data'!K47</f>
        <v/>
      </c>
      <c r="N81" s="14">
        <f>'_Data'!L47</f>
        <v/>
      </c>
    </row>
    <row r="82">
      <c r="A82" s="14" t="inlineStr">
        <is>
          <t>2026 W47</t>
        </is>
      </c>
      <c r="B82" s="14" t="n">
        <v>47</v>
      </c>
      <c r="C82" s="14">
        <f>'_Data'!D48</f>
        <v/>
      </c>
      <c r="D82" s="14">
        <f>'_Data'!E48</f>
        <v/>
      </c>
      <c r="E82" s="14">
        <f>'_Data'!F48</f>
        <v/>
      </c>
      <c r="F82" s="15">
        <f>'_Data'!G48</f>
        <v/>
      </c>
      <c r="G82" s="15">
        <f>'_Data'!H48</f>
        <v/>
      </c>
      <c r="H82" s="15">
        <f>'_Data'!I48</f>
        <v/>
      </c>
      <c r="I82" s="18">
        <f>'_Data'!J48</f>
        <v/>
      </c>
      <c r="J82" s="17">
        <f>IF(AND(C82&gt;0,F82&gt;0),ABS(F82-C82)/C82,"")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'_Data'!K48</f>
        <v/>
      </c>
      <c r="N82" s="14">
        <f>'_Data'!L48</f>
        <v/>
      </c>
    </row>
    <row r="83">
      <c r="A83" s="14" t="inlineStr">
        <is>
          <t>2026 W48</t>
        </is>
      </c>
      <c r="B83" s="14" t="n">
        <v>48</v>
      </c>
      <c r="C83" s="14">
        <f>'_Data'!D49</f>
        <v/>
      </c>
      <c r="D83" s="14">
        <f>'_Data'!E49</f>
        <v/>
      </c>
      <c r="E83" s="14">
        <f>'_Data'!F49</f>
        <v/>
      </c>
      <c r="F83" s="15">
        <f>'_Data'!G49</f>
        <v/>
      </c>
      <c r="G83" s="15">
        <f>'_Data'!H49</f>
        <v/>
      </c>
      <c r="H83" s="15">
        <f>'_Data'!I49</f>
        <v/>
      </c>
      <c r="I83" s="18">
        <f>'_Data'!J49</f>
        <v/>
      </c>
      <c r="J83" s="17">
        <f>IF(AND(C83&gt;0,F83&gt;0),ABS(F83-C83)/C83,"")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'_Data'!K49</f>
        <v/>
      </c>
      <c r="N83" s="14">
        <f>'_Data'!L49</f>
        <v/>
      </c>
    </row>
    <row r="84">
      <c r="A84" s="14" t="inlineStr">
        <is>
          <t>2026 W49</t>
        </is>
      </c>
      <c r="B84" s="14" t="n">
        <v>49</v>
      </c>
      <c r="C84" s="14">
        <f>'_Data'!D50</f>
        <v/>
      </c>
      <c r="D84" s="14">
        <f>'_Data'!E50</f>
        <v/>
      </c>
      <c r="E84" s="14">
        <f>'_Data'!F50</f>
        <v/>
      </c>
      <c r="F84" s="15">
        <f>'_Data'!G50</f>
        <v/>
      </c>
      <c r="G84" s="15">
        <f>'_Data'!H50</f>
        <v/>
      </c>
      <c r="H84" s="15">
        <f>'_Data'!I50</f>
        <v/>
      </c>
      <c r="I84" s="18">
        <f>'_Data'!J50</f>
        <v/>
      </c>
      <c r="J84" s="17">
        <f>IF(AND(C84&gt;0,F84&gt;0),ABS(F84-C84)/C84,"")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'_Data'!K50</f>
        <v/>
      </c>
      <c r="N84" s="14">
        <f>'_Data'!L50</f>
        <v/>
      </c>
    </row>
    <row r="85">
      <c r="A85" s="14" t="inlineStr">
        <is>
          <t>2026 W50</t>
        </is>
      </c>
      <c r="B85" s="14" t="n">
        <v>50</v>
      </c>
      <c r="C85" s="14">
        <f>'_Data'!D51</f>
        <v/>
      </c>
      <c r="D85" s="14">
        <f>'_Data'!E51</f>
        <v/>
      </c>
      <c r="E85" s="14">
        <f>'_Data'!F51</f>
        <v/>
      </c>
      <c r="F85" s="15">
        <f>'_Data'!G51</f>
        <v/>
      </c>
      <c r="G85" s="15">
        <f>'_Data'!H51</f>
        <v/>
      </c>
      <c r="H85" s="15">
        <f>'_Data'!I51</f>
        <v/>
      </c>
      <c r="I85" s="18">
        <f>'_Data'!J51</f>
        <v/>
      </c>
      <c r="J85" s="17">
        <f>IF(AND(C85&gt;0,F85&gt;0),ABS(F85-C85)/C85,"")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'_Data'!K51</f>
        <v/>
      </c>
      <c r="N85" s="14">
        <f>'_Data'!L51</f>
        <v/>
      </c>
    </row>
    <row r="86">
      <c r="A86" s="14" t="inlineStr">
        <is>
          <t>2026 W51</t>
        </is>
      </c>
      <c r="B86" s="14" t="n">
        <v>51</v>
      </c>
      <c r="C86" s="14">
        <f>'_Data'!D52</f>
        <v/>
      </c>
      <c r="D86" s="14">
        <f>'_Data'!E52</f>
        <v/>
      </c>
      <c r="E86" s="14">
        <f>'_Data'!F52</f>
        <v/>
      </c>
      <c r="F86" s="15">
        <f>'_Data'!G52</f>
        <v/>
      </c>
      <c r="G86" s="15">
        <f>'_Data'!H52</f>
        <v/>
      </c>
      <c r="H86" s="15">
        <f>'_Data'!I52</f>
        <v/>
      </c>
      <c r="I86" s="18">
        <f>'_Data'!J52</f>
        <v/>
      </c>
      <c r="J86" s="17">
        <f>IF(AND(C86&gt;0,F86&gt;0),ABS(F86-C86)/C86,"")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'_Data'!K52</f>
        <v/>
      </c>
      <c r="N86" s="14">
        <f>'_Data'!L52</f>
        <v/>
      </c>
    </row>
    <row r="87">
      <c r="A87" s="14" t="inlineStr">
        <is>
          <t>2026 W52</t>
        </is>
      </c>
      <c r="B87" s="14" t="n">
        <v>52</v>
      </c>
      <c r="C87" s="14">
        <f>'_Data'!D53</f>
        <v/>
      </c>
      <c r="D87" s="14">
        <f>'_Data'!E53</f>
        <v/>
      </c>
      <c r="E87" s="14">
        <f>'_Data'!F53</f>
        <v/>
      </c>
      <c r="F87" s="15">
        <f>'_Data'!G53</f>
        <v/>
      </c>
      <c r="G87" s="15">
        <f>'_Data'!H53</f>
        <v/>
      </c>
      <c r="H87" s="15">
        <f>'_Data'!I53</f>
        <v/>
      </c>
      <c r="I87" s="18">
        <f>'_Data'!J53</f>
        <v/>
      </c>
      <c r="J87" s="17">
        <f>IF(AND(C87&gt;0,F87&gt;0),ABS(F87-C87)/C87,"")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'_Data'!K53</f>
        <v/>
      </c>
      <c r="N87" s="14">
        <f>'_Data'!L53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3498DB"/>
      </dataBar>
    </cfRule>
  </conditionalFormatting>
  <conditionalFormatting sqref="J36:J87">
    <cfRule type="colorScale" priority="2">
      <colorScale>
        <cfvo type="num" val="0"/>
        <cfvo type="num" val="0.1"/>
        <cfvo type="num" val="0.3"/>
        <color rgb="FF27AE60"/>
        <color rgb="FFFFFFFF"/>
        <color rgb="FFE74C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ECC71"/>
    <outlinePr summaryBelow="1" summaryRight="1"/>
    <pageSetUpPr/>
  </sheetPr>
  <dimension ref="A1:N87"/>
  <sheetViews>
    <sheetView showGridLines="0" workbookViewId="0">
      <selection activeCell="F7" sqref="F7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32.1" customHeight="1" s="71">
      <c r="A1" s="68" t="inlineStr">
        <is>
          <t>UK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TEXT(SUM('_Data'!D54:D105),"#,##0")</f>
        <v/>
      </c>
      <c r="B4" s="74" t="n"/>
      <c r="C4" s="33">
        <f>TEXT(SUM('_Data'!E54:E105),"$#,##0")</f>
        <v/>
      </c>
      <c r="D4" s="74" t="n"/>
      <c r="E4" s="33">
        <f>TEXT(IF(SUM('_Data'!D54:D105)&gt;0,SUM('_Data'!E54:E105)/SUM('_Data'!D54:D105),0),"$#,##0.00")</f>
        <v/>
      </c>
      <c r="F4" s="74" t="n"/>
      <c r="G4" s="33">
        <f>IF(AND('_Data'!C693&gt;0,'_Data'!F693&gt;0),TEXT(('_Data'!C693-'_Data'!F693)/'_Data'!F693,"+0.0%;-0.0%"),"")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 ht="40.5" customHeight="1" s="71">
      <c r="A9" s="69" t="inlineStr">
        <is>
          <t>Period</t>
        </is>
      </c>
      <c r="B9" s="69" t="inlineStr">
        <is>
          <t>Actual Regs</t>
        </is>
      </c>
      <c r="C9" s="69" t="inlineStr">
        <is>
          <t>Pred Regs</t>
        </is>
      </c>
      <c r="D9" s="69" t="inlineStr">
        <is>
          <t>CI Low</t>
        </is>
      </c>
      <c r="E9" s="69" t="inlineStr">
        <is>
          <t>CI High</t>
        </is>
      </c>
      <c r="F9" s="69" t="inlineStr">
        <is>
          <t>OP2 Target</t>
        </is>
      </c>
      <c r="G9" s="69" t="inlineStr">
        <is>
          <t>vs OP2 %</t>
        </is>
      </c>
      <c r="H9" s="69" t="inlineStr">
        <is>
          <t>Error %</t>
        </is>
      </c>
      <c r="I9" s="69" t="inlineStr">
        <is>
          <t>Confidence</t>
        </is>
      </c>
      <c r="J9" s="69" t="inlineStr">
        <is>
          <t>Score</t>
        </is>
      </c>
      <c r="K9" s="69" t="inlineStr">
        <is>
          <t>Notes</t>
        </is>
      </c>
    </row>
    <row r="10">
      <c r="A10" s="36" t="inlineStr">
        <is>
          <t>2026 Full Year</t>
        </is>
      </c>
      <c r="B10" s="37">
        <f>'_Data'!B693</f>
        <v/>
      </c>
      <c r="C10" s="37">
        <f>'_Data'!C693</f>
        <v/>
      </c>
      <c r="D10" s="37">
        <f>'_Data'!D693</f>
        <v/>
      </c>
      <c r="E10" s="37">
        <f>'_Data'!E693</f>
        <v/>
      </c>
      <c r="F10" s="37">
        <f>'_Data'!F693</f>
        <v/>
      </c>
      <c r="G10" s="38">
        <f>IF(AND(B10&gt;0,F10&gt;0),(B10-F10)/F10,"")</f>
        <v/>
      </c>
      <c r="H10" s="39">
        <f>IF(AND(B10&gt;0,C10&gt;0),ABS(C10-B10)/B10,"")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 ht="40.5" customHeight="1" s="71">
      <c r="A13" s="69" t="inlineStr">
        <is>
          <t>Period</t>
        </is>
      </c>
      <c r="B13" s="69" t="inlineStr">
        <is>
          <t>Actual Regs</t>
        </is>
      </c>
      <c r="C13" s="69" t="inlineStr">
        <is>
          <t>Pred Regs</t>
        </is>
      </c>
      <c r="D13" s="69" t="inlineStr">
        <is>
          <t>CI Low</t>
        </is>
      </c>
      <c r="E13" s="69" t="inlineStr">
        <is>
          <t>CI High</t>
        </is>
      </c>
      <c r="F13" s="69" t="inlineStr">
        <is>
          <t>OP2 Target</t>
        </is>
      </c>
      <c r="G13" s="69" t="inlineStr">
        <is>
          <t>vs OP2 %</t>
        </is>
      </c>
      <c r="H13" s="69" t="inlineStr">
        <is>
          <t>Error %</t>
        </is>
      </c>
      <c r="I13" s="69" t="inlineStr">
        <is>
          <t>Confidence</t>
        </is>
      </c>
      <c r="J13" s="69" t="inlineStr">
        <is>
          <t>Score</t>
        </is>
      </c>
      <c r="K13" s="69" t="inlineStr">
        <is>
          <t>Notes</t>
        </is>
      </c>
    </row>
    <row r="14">
      <c r="A14" s="41" t="inlineStr">
        <is>
          <t>Q1</t>
        </is>
      </c>
      <c r="B14" s="42">
        <f>'_Data'!D652</f>
        <v/>
      </c>
      <c r="C14" s="42">
        <f>'_Data'!E652</f>
        <v/>
      </c>
      <c r="D14" s="42">
        <f>'_Data'!F652</f>
        <v/>
      </c>
      <c r="E14" s="42">
        <f>'_Data'!G652</f>
        <v/>
      </c>
      <c r="F14" s="42">
        <f>'_Data'!H652</f>
        <v/>
      </c>
      <c r="G14" s="43">
        <f>IF(AND(B14&gt;0,F14&gt;0),(B14-F14)/F14,"")</f>
        <v/>
      </c>
      <c r="H14" s="44">
        <f>IF(AND(B14&gt;0,C14&gt;0),ABS(C14-B14)/B14,"")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'_Data'!D653</f>
        <v/>
      </c>
      <c r="C15" s="37">
        <f>'_Data'!E653</f>
        <v/>
      </c>
      <c r="D15" s="37">
        <f>'_Data'!F653</f>
        <v/>
      </c>
      <c r="E15" s="37">
        <f>'_Data'!G653</f>
        <v/>
      </c>
      <c r="F15" s="37">
        <f>'_Data'!H653</f>
        <v/>
      </c>
      <c r="G15" s="38">
        <f>IF(AND(B15&gt;0,F15&gt;0),(B15-F15)/F15,"")</f>
        <v/>
      </c>
      <c r="H15" s="39">
        <f>IF(AND(B15&gt;0,C15&gt;0),ABS(C15-B15)/B15,"")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'_Data'!D654</f>
        <v/>
      </c>
      <c r="C16" s="37">
        <f>'_Data'!E654</f>
        <v/>
      </c>
      <c r="D16" s="37">
        <f>'_Data'!F654</f>
        <v/>
      </c>
      <c r="E16" s="37">
        <f>'_Data'!G654</f>
        <v/>
      </c>
      <c r="F16" s="37">
        <f>'_Data'!H654</f>
        <v/>
      </c>
      <c r="G16" s="38">
        <f>IF(AND(B16&gt;0,F16&gt;0),(B16-F16)/F16,"")</f>
        <v/>
      </c>
      <c r="H16" s="39">
        <f>IF(AND(B16&gt;0,C16&gt;0),ABS(C16-B16)/B16,"")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'_Data'!D655</f>
        <v/>
      </c>
      <c r="C17" s="37">
        <f>'_Data'!E655</f>
        <v/>
      </c>
      <c r="D17" s="37">
        <f>'_Data'!F655</f>
        <v/>
      </c>
      <c r="E17" s="37">
        <f>'_Data'!G655</f>
        <v/>
      </c>
      <c r="F17" s="37">
        <f>'_Data'!H655</f>
        <v/>
      </c>
      <c r="G17" s="38">
        <f>IF(AND(B17&gt;0,F17&gt;0),(B17-F17)/F17,"")</f>
        <v/>
      </c>
      <c r="H17" s="39">
        <f>IF(AND(B17&gt;0,C17&gt;0),ABS(C17-B17)/B17,"")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 ht="40.5" customHeight="1" s="71">
      <c r="A20" s="69" t="inlineStr">
        <is>
          <t>Period</t>
        </is>
      </c>
      <c r="B20" s="69" t="inlineStr">
        <is>
          <t>Actual Regs</t>
        </is>
      </c>
      <c r="C20" s="69" t="inlineStr">
        <is>
          <t>Pred Regs</t>
        </is>
      </c>
      <c r="D20" s="69" t="inlineStr">
        <is>
          <t>CI Low</t>
        </is>
      </c>
      <c r="E20" s="69" t="inlineStr">
        <is>
          <t>CI High</t>
        </is>
      </c>
      <c r="F20" s="69" t="inlineStr">
        <is>
          <t>OP2 Target</t>
        </is>
      </c>
      <c r="G20" s="69" t="inlineStr">
        <is>
          <t>vs OP2 %</t>
        </is>
      </c>
      <c r="H20" s="69" t="inlineStr">
        <is>
          <t>Error %</t>
        </is>
      </c>
      <c r="I20" s="69" t="inlineStr">
        <is>
          <t>Confidence</t>
        </is>
      </c>
      <c r="J20" s="69" t="inlineStr">
        <is>
          <t>Score</t>
        </is>
      </c>
      <c r="K20" s="69" t="inlineStr">
        <is>
          <t>Notes</t>
        </is>
      </c>
    </row>
    <row r="21">
      <c r="A21" s="41" t="inlineStr">
        <is>
          <t>Jan</t>
        </is>
      </c>
      <c r="B21" s="42">
        <f>'_Data'!D536</f>
        <v/>
      </c>
      <c r="C21" s="42">
        <f>'_Data'!E536</f>
        <v/>
      </c>
      <c r="D21" s="42">
        <f>'_Data'!F536</f>
        <v/>
      </c>
      <c r="E21" s="42">
        <f>'_Data'!G536</f>
        <v/>
      </c>
      <c r="F21" s="42">
        <f>'_Data'!H536</f>
        <v/>
      </c>
      <c r="G21" s="43">
        <f>IF(AND(B21&gt;0,F21&gt;0),(B21-F21)/F21,"")</f>
        <v/>
      </c>
      <c r="H21" s="44">
        <f>IF(AND(B21&gt;0,C21&gt;0),ABS(C21-B21)/B21,"")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'_Data'!D537</f>
        <v/>
      </c>
      <c r="C22" s="47">
        <f>'_Data'!E537</f>
        <v/>
      </c>
      <c r="D22" s="47">
        <f>'_Data'!F537</f>
        <v/>
      </c>
      <c r="E22" s="47">
        <f>'_Data'!G537</f>
        <v/>
      </c>
      <c r="F22" s="47">
        <f>'_Data'!H537</f>
        <v/>
      </c>
      <c r="G22" s="48">
        <f>IF(AND(B22&gt;0,F22&gt;0),(B22-F22)/F22,"")</f>
        <v/>
      </c>
      <c r="H22" s="49">
        <f>IF(AND(B22&gt;0,C22&gt;0),ABS(C22-B22)/B22,"")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'_Data'!D538</f>
        <v/>
      </c>
      <c r="C23" s="42">
        <f>'_Data'!E538</f>
        <v/>
      </c>
      <c r="D23" s="42">
        <f>'_Data'!F538</f>
        <v/>
      </c>
      <c r="E23" s="42">
        <f>'_Data'!G538</f>
        <v/>
      </c>
      <c r="F23" s="42">
        <f>'_Data'!H538</f>
        <v/>
      </c>
      <c r="G23" s="43">
        <f>IF(AND(B23&gt;0,F23&gt;0),(B23-F23)/F23,"")</f>
        <v/>
      </c>
      <c r="H23" s="44">
        <f>IF(AND(B23&gt;0,C23&gt;0),ABS(C23-B23)/B23,"")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'_Data'!D539</f>
        <v/>
      </c>
      <c r="C24" s="37">
        <f>'_Data'!E539</f>
        <v/>
      </c>
      <c r="D24" s="37">
        <f>'_Data'!F539</f>
        <v/>
      </c>
      <c r="E24" s="37">
        <f>'_Data'!G539</f>
        <v/>
      </c>
      <c r="F24" s="37">
        <f>'_Data'!H539</f>
        <v/>
      </c>
      <c r="G24" s="38">
        <f>IF(AND(B24&gt;0,F24&gt;0),(B24-F24)/F24,"")</f>
        <v/>
      </c>
      <c r="H24" s="39">
        <f>IF(AND(B24&gt;0,C24&gt;0),ABS(C24-B24)/B24,"")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'_Data'!D540</f>
        <v/>
      </c>
      <c r="C25" s="37">
        <f>'_Data'!E540</f>
        <v/>
      </c>
      <c r="D25" s="37">
        <f>'_Data'!F540</f>
        <v/>
      </c>
      <c r="E25" s="37">
        <f>'_Data'!G540</f>
        <v/>
      </c>
      <c r="F25" s="37">
        <f>'_Data'!H540</f>
        <v/>
      </c>
      <c r="G25" s="38">
        <f>IF(AND(B25&gt;0,F25&gt;0),(B25-F25)/F25,"")</f>
        <v/>
      </c>
      <c r="H25" s="39">
        <f>IF(AND(B25&gt;0,C25&gt;0),ABS(C25-B25)/B25,"")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'_Data'!D541</f>
        <v/>
      </c>
      <c r="C26" s="37">
        <f>'_Data'!E541</f>
        <v/>
      </c>
      <c r="D26" s="37">
        <f>'_Data'!F541</f>
        <v/>
      </c>
      <c r="E26" s="37">
        <f>'_Data'!G541</f>
        <v/>
      </c>
      <c r="F26" s="37">
        <f>'_Data'!H541</f>
        <v/>
      </c>
      <c r="G26" s="38">
        <f>IF(AND(B26&gt;0,F26&gt;0),(B26-F26)/F26,"")</f>
        <v/>
      </c>
      <c r="H26" s="39">
        <f>IF(AND(B26&gt;0,C26&gt;0),ABS(C26-B26)/B26,"")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'_Data'!D542</f>
        <v/>
      </c>
      <c r="C27" s="37">
        <f>'_Data'!E542</f>
        <v/>
      </c>
      <c r="D27" s="37">
        <f>'_Data'!F542</f>
        <v/>
      </c>
      <c r="E27" s="37">
        <f>'_Data'!G542</f>
        <v/>
      </c>
      <c r="F27" s="37">
        <f>'_Data'!H542</f>
        <v/>
      </c>
      <c r="G27" s="38">
        <f>IF(AND(B27&gt;0,F27&gt;0),(B27-F27)/F27,"")</f>
        <v/>
      </c>
      <c r="H27" s="39">
        <f>IF(AND(B27&gt;0,C27&gt;0),ABS(C27-B27)/B27,"")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'_Data'!D543</f>
        <v/>
      </c>
      <c r="C28" s="37">
        <f>'_Data'!E543</f>
        <v/>
      </c>
      <c r="D28" s="37">
        <f>'_Data'!F543</f>
        <v/>
      </c>
      <c r="E28" s="37">
        <f>'_Data'!G543</f>
        <v/>
      </c>
      <c r="F28" s="37">
        <f>'_Data'!H543</f>
        <v/>
      </c>
      <c r="G28" s="38">
        <f>IF(AND(B28&gt;0,F28&gt;0),(B28-F28)/F28,"")</f>
        <v/>
      </c>
      <c r="H28" s="39">
        <f>IF(AND(B28&gt;0,C28&gt;0),ABS(C28-B28)/B28,"")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'_Data'!D544</f>
        <v/>
      </c>
      <c r="C29" s="37">
        <f>'_Data'!E544</f>
        <v/>
      </c>
      <c r="D29" s="37">
        <f>'_Data'!F544</f>
        <v/>
      </c>
      <c r="E29" s="37">
        <f>'_Data'!G544</f>
        <v/>
      </c>
      <c r="F29" s="37">
        <f>'_Data'!H544</f>
        <v/>
      </c>
      <c r="G29" s="38">
        <f>IF(AND(B29&gt;0,F29&gt;0),(B29-F29)/F29,"")</f>
        <v/>
      </c>
      <c r="H29" s="39">
        <f>IF(AND(B29&gt;0,C29&gt;0),ABS(C29-B29)/B29,"")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'_Data'!D545</f>
        <v/>
      </c>
      <c r="C30" s="37">
        <f>'_Data'!E545</f>
        <v/>
      </c>
      <c r="D30" s="37">
        <f>'_Data'!F545</f>
        <v/>
      </c>
      <c r="E30" s="37">
        <f>'_Data'!G545</f>
        <v/>
      </c>
      <c r="F30" s="37">
        <f>'_Data'!H545</f>
        <v/>
      </c>
      <c r="G30" s="38">
        <f>IF(AND(B30&gt;0,F30&gt;0),(B30-F30)/F30,"")</f>
        <v/>
      </c>
      <c r="H30" s="39">
        <f>IF(AND(B30&gt;0,C30&gt;0),ABS(C30-B30)/B30,"")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'_Data'!D546</f>
        <v/>
      </c>
      <c r="C31" s="37">
        <f>'_Data'!E546</f>
        <v/>
      </c>
      <c r="D31" s="37">
        <f>'_Data'!F546</f>
        <v/>
      </c>
      <c r="E31" s="37">
        <f>'_Data'!G546</f>
        <v/>
      </c>
      <c r="F31" s="37">
        <f>'_Data'!H546</f>
        <v/>
      </c>
      <c r="G31" s="38">
        <f>IF(AND(B31&gt;0,F31&gt;0),(B31-F31)/F31,"")</f>
        <v/>
      </c>
      <c r="H31" s="39">
        <f>IF(AND(B31&gt;0,C31&gt;0),ABS(C31-B31)/B31,"")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'_Data'!D547</f>
        <v/>
      </c>
      <c r="C32" s="37">
        <f>'_Data'!E547</f>
        <v/>
      </c>
      <c r="D32" s="37">
        <f>'_Data'!F547</f>
        <v/>
      </c>
      <c r="E32" s="37">
        <f>'_Data'!G547</f>
        <v/>
      </c>
      <c r="F32" s="37">
        <f>'_Data'!H547</f>
        <v/>
      </c>
      <c r="G32" s="38">
        <f>IF(AND(B32&gt;0,F32&gt;0),(B32-F32)/F32,"")</f>
        <v/>
      </c>
      <c r="H32" s="39">
        <f>IF(AND(B32&gt;0,C32&gt;0),ABS(C32-B32)/B32,"")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9" t="inlineStr">
        <is>
          <t>Week</t>
        </is>
      </c>
      <c r="B35" s="69" t="inlineStr">
        <is>
          <t>Wk#</t>
        </is>
      </c>
      <c r="C35" s="69" t="inlineStr">
        <is>
          <t>Actual Regs</t>
        </is>
      </c>
      <c r="D35" s="69" t="inlineStr">
        <is>
          <t>Actual Cost</t>
        </is>
      </c>
      <c r="E35" s="69" t="inlineStr">
        <is>
          <t>Actual CPA</t>
        </is>
      </c>
      <c r="F35" s="69" t="inlineStr">
        <is>
          <t>Pred Regs</t>
        </is>
      </c>
      <c r="G35" s="69" t="inlineStr">
        <is>
          <t>CI Low</t>
        </is>
      </c>
      <c r="H35" s="69" t="inlineStr">
        <is>
          <t>CI High</t>
        </is>
      </c>
      <c r="I35" s="69" t="inlineStr">
        <is>
          <t>Confidence</t>
        </is>
      </c>
      <c r="J35" s="69" t="inlineStr">
        <is>
          <t>Error %</t>
        </is>
      </c>
      <c r="K35" s="69" t="inlineStr">
        <is>
          <t>Within CI</t>
        </is>
      </c>
      <c r="L35" s="69" t="inlineStr">
        <is>
          <t>WoW Δ%</t>
        </is>
      </c>
      <c r="M35" s="69" t="inlineStr">
        <is>
          <t>Brand Regs</t>
        </is>
      </c>
      <c r="N35" s="6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'_Data'!D54</f>
        <v/>
      </c>
      <c r="D36" s="51">
        <f>'_Data'!E54</f>
        <v/>
      </c>
      <c r="E36" s="52">
        <f>'_Data'!F54</f>
        <v/>
      </c>
      <c r="F36" s="42">
        <f>'_Data'!G54</f>
        <v/>
      </c>
      <c r="G36" s="42">
        <f>'_Data'!H54</f>
        <v/>
      </c>
      <c r="H36" s="42">
        <f>'_Data'!I54</f>
        <v/>
      </c>
      <c r="I36" s="45">
        <f>'_Data'!J54</f>
        <v/>
      </c>
      <c r="J36" s="44">
        <f>IF(AND(C36&gt;0,F36&gt;0),ABS(F36-C36)/C36,"")</f>
        <v/>
      </c>
      <c r="K36" s="41">
        <f>IF(AND(C36&gt;0,G36&gt;0),IF(AND(C36&gt;=G36,C36&lt;=H36),"✓","✗"),"")</f>
        <v/>
      </c>
      <c r="L36" s="41" t="n"/>
      <c r="M36" s="42">
        <f>'_Data'!K54</f>
        <v/>
      </c>
      <c r="N36" s="42">
        <f>'_Data'!L54</f>
        <v/>
      </c>
    </row>
    <row r="37">
      <c r="A37" s="46" t="inlineStr">
        <is>
          <t>2026 W2</t>
        </is>
      </c>
      <c r="B37" s="46" t="n">
        <v>2</v>
      </c>
      <c r="C37" s="47">
        <f>'_Data'!D55</f>
        <v/>
      </c>
      <c r="D37" s="53">
        <f>'_Data'!E55</f>
        <v/>
      </c>
      <c r="E37" s="54">
        <f>'_Data'!F55</f>
        <v/>
      </c>
      <c r="F37" s="47">
        <f>'_Data'!G55</f>
        <v/>
      </c>
      <c r="G37" s="47">
        <f>'_Data'!H55</f>
        <v/>
      </c>
      <c r="H37" s="47">
        <f>'_Data'!I55</f>
        <v/>
      </c>
      <c r="I37" s="50">
        <f>'_Data'!J55</f>
        <v/>
      </c>
      <c r="J37" s="49">
        <f>IF(AND(C37&gt;0,F37&gt;0),ABS(F37-C37)/C37,"")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'_Data'!K55</f>
        <v/>
      </c>
      <c r="N37" s="47">
        <f>'_Data'!L55</f>
        <v/>
      </c>
    </row>
    <row r="38">
      <c r="A38" s="41" t="inlineStr">
        <is>
          <t>2026 W3</t>
        </is>
      </c>
      <c r="B38" s="41" t="n">
        <v>3</v>
      </c>
      <c r="C38" s="42">
        <f>'_Data'!D56</f>
        <v/>
      </c>
      <c r="D38" s="51">
        <f>'_Data'!E56</f>
        <v/>
      </c>
      <c r="E38" s="52">
        <f>'_Data'!F56</f>
        <v/>
      </c>
      <c r="F38" s="42">
        <f>'_Data'!G56</f>
        <v/>
      </c>
      <c r="G38" s="42">
        <f>'_Data'!H56</f>
        <v/>
      </c>
      <c r="H38" s="42">
        <f>'_Data'!I56</f>
        <v/>
      </c>
      <c r="I38" s="45">
        <f>'_Data'!J56</f>
        <v/>
      </c>
      <c r="J38" s="44">
        <f>IF(AND(C38&gt;0,F38&gt;0),ABS(F38-C38)/C38,"")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'_Data'!K56</f>
        <v/>
      </c>
      <c r="N38" s="42">
        <f>'_Data'!L56</f>
        <v/>
      </c>
    </row>
    <row r="39">
      <c r="A39" s="46" t="inlineStr">
        <is>
          <t>2026 W4</t>
        </is>
      </c>
      <c r="B39" s="46" t="n">
        <v>4</v>
      </c>
      <c r="C39" s="47">
        <f>'_Data'!D57</f>
        <v/>
      </c>
      <c r="D39" s="53">
        <f>'_Data'!E57</f>
        <v/>
      </c>
      <c r="E39" s="54">
        <f>'_Data'!F57</f>
        <v/>
      </c>
      <c r="F39" s="47">
        <f>'_Data'!G57</f>
        <v/>
      </c>
      <c r="G39" s="47">
        <f>'_Data'!H57</f>
        <v/>
      </c>
      <c r="H39" s="47">
        <f>'_Data'!I57</f>
        <v/>
      </c>
      <c r="I39" s="50">
        <f>'_Data'!J57</f>
        <v/>
      </c>
      <c r="J39" s="49">
        <f>IF(AND(C39&gt;0,F39&gt;0),ABS(F39-C39)/C39,"")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'_Data'!K57</f>
        <v/>
      </c>
      <c r="N39" s="47">
        <f>'_Data'!L57</f>
        <v/>
      </c>
    </row>
    <row r="40">
      <c r="A40" s="41" t="inlineStr">
        <is>
          <t>2026 W5</t>
        </is>
      </c>
      <c r="B40" s="41" t="n">
        <v>5</v>
      </c>
      <c r="C40" s="42">
        <f>'_Data'!D58</f>
        <v/>
      </c>
      <c r="D40" s="51">
        <f>'_Data'!E58</f>
        <v/>
      </c>
      <c r="E40" s="52">
        <f>'_Data'!F58</f>
        <v/>
      </c>
      <c r="F40" s="42">
        <f>'_Data'!G58</f>
        <v/>
      </c>
      <c r="G40" s="42">
        <f>'_Data'!H58</f>
        <v/>
      </c>
      <c r="H40" s="42">
        <f>'_Data'!I58</f>
        <v/>
      </c>
      <c r="I40" s="45">
        <f>'_Data'!J58</f>
        <v/>
      </c>
      <c r="J40" s="44">
        <f>IF(AND(C40&gt;0,F40&gt;0),ABS(F40-C40)/C40,"")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'_Data'!K58</f>
        <v/>
      </c>
      <c r="N40" s="42">
        <f>'_Data'!L58</f>
        <v/>
      </c>
    </row>
    <row r="41">
      <c r="A41" s="46" t="inlineStr">
        <is>
          <t>2026 W6</t>
        </is>
      </c>
      <c r="B41" s="46" t="n">
        <v>6</v>
      </c>
      <c r="C41" s="47">
        <f>'_Data'!D59</f>
        <v/>
      </c>
      <c r="D41" s="53">
        <f>'_Data'!E59</f>
        <v/>
      </c>
      <c r="E41" s="54">
        <f>'_Data'!F59</f>
        <v/>
      </c>
      <c r="F41" s="47">
        <f>'_Data'!G59</f>
        <v/>
      </c>
      <c r="G41" s="47">
        <f>'_Data'!H59</f>
        <v/>
      </c>
      <c r="H41" s="47">
        <f>'_Data'!I59</f>
        <v/>
      </c>
      <c r="I41" s="50">
        <f>'_Data'!J59</f>
        <v/>
      </c>
      <c r="J41" s="49">
        <f>IF(AND(C41&gt;0,F41&gt;0),ABS(F41-C41)/C41,"")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'_Data'!K59</f>
        <v/>
      </c>
      <c r="N41" s="47">
        <f>'_Data'!L59</f>
        <v/>
      </c>
    </row>
    <row r="42">
      <c r="A42" s="41" t="inlineStr">
        <is>
          <t>2026 W7</t>
        </is>
      </c>
      <c r="B42" s="41" t="n">
        <v>7</v>
      </c>
      <c r="C42" s="42">
        <f>'_Data'!D60</f>
        <v/>
      </c>
      <c r="D42" s="51">
        <f>'_Data'!E60</f>
        <v/>
      </c>
      <c r="E42" s="52">
        <f>'_Data'!F60</f>
        <v/>
      </c>
      <c r="F42" s="42">
        <f>'_Data'!G60</f>
        <v/>
      </c>
      <c r="G42" s="42">
        <f>'_Data'!H60</f>
        <v/>
      </c>
      <c r="H42" s="42">
        <f>'_Data'!I60</f>
        <v/>
      </c>
      <c r="I42" s="45">
        <f>'_Data'!J60</f>
        <v/>
      </c>
      <c r="J42" s="44">
        <f>IF(AND(C42&gt;0,F42&gt;0),ABS(F42-C42)/C42,"")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'_Data'!K60</f>
        <v/>
      </c>
      <c r="N42" s="42">
        <f>'_Data'!L60</f>
        <v/>
      </c>
    </row>
    <row r="43">
      <c r="A43" s="46" t="inlineStr">
        <is>
          <t>2026 W8</t>
        </is>
      </c>
      <c r="B43" s="46" t="n">
        <v>8</v>
      </c>
      <c r="C43" s="47">
        <f>'_Data'!D61</f>
        <v/>
      </c>
      <c r="D43" s="53">
        <f>'_Data'!E61</f>
        <v/>
      </c>
      <c r="E43" s="54">
        <f>'_Data'!F61</f>
        <v/>
      </c>
      <c r="F43" s="47">
        <f>'_Data'!G61</f>
        <v/>
      </c>
      <c r="G43" s="47">
        <f>'_Data'!H61</f>
        <v/>
      </c>
      <c r="H43" s="47">
        <f>'_Data'!I61</f>
        <v/>
      </c>
      <c r="I43" s="50">
        <f>'_Data'!J61</f>
        <v/>
      </c>
      <c r="J43" s="49">
        <f>IF(AND(C43&gt;0,F43&gt;0),ABS(F43-C43)/C43,"")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'_Data'!K61</f>
        <v/>
      </c>
      <c r="N43" s="47">
        <f>'_Data'!L61</f>
        <v/>
      </c>
    </row>
    <row r="44">
      <c r="A44" s="41" t="inlineStr">
        <is>
          <t>2026 W9</t>
        </is>
      </c>
      <c r="B44" s="41" t="n">
        <v>9</v>
      </c>
      <c r="C44" s="42">
        <f>'_Data'!D62</f>
        <v/>
      </c>
      <c r="D44" s="51">
        <f>'_Data'!E62</f>
        <v/>
      </c>
      <c r="E44" s="52">
        <f>'_Data'!F62</f>
        <v/>
      </c>
      <c r="F44" s="42">
        <f>'_Data'!G62</f>
        <v/>
      </c>
      <c r="G44" s="42">
        <f>'_Data'!H62</f>
        <v/>
      </c>
      <c r="H44" s="42">
        <f>'_Data'!I62</f>
        <v/>
      </c>
      <c r="I44" s="45">
        <f>'_Data'!J62</f>
        <v/>
      </c>
      <c r="J44" s="44">
        <f>IF(AND(C44&gt;0,F44&gt;0),ABS(F44-C44)/C44,"")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'_Data'!K62</f>
        <v/>
      </c>
      <c r="N44" s="42">
        <f>'_Data'!L62</f>
        <v/>
      </c>
    </row>
    <row r="45">
      <c r="A45" s="46" t="inlineStr">
        <is>
          <t>2026 W10</t>
        </is>
      </c>
      <c r="B45" s="46" t="n">
        <v>10</v>
      </c>
      <c r="C45" s="47">
        <f>'_Data'!D63</f>
        <v/>
      </c>
      <c r="D45" s="53">
        <f>'_Data'!E63</f>
        <v/>
      </c>
      <c r="E45" s="54">
        <f>'_Data'!F63</f>
        <v/>
      </c>
      <c r="F45" s="47">
        <f>'_Data'!G63</f>
        <v/>
      </c>
      <c r="G45" s="47">
        <f>'_Data'!H63</f>
        <v/>
      </c>
      <c r="H45" s="47">
        <f>'_Data'!I63</f>
        <v/>
      </c>
      <c r="I45" s="50">
        <f>'_Data'!J63</f>
        <v/>
      </c>
      <c r="J45" s="49">
        <f>IF(AND(C45&gt;0,F45&gt;0),ABS(F45-C45)/C45,"")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'_Data'!K63</f>
        <v/>
      </c>
      <c r="N45" s="47">
        <f>'_Data'!L63</f>
        <v/>
      </c>
    </row>
    <row r="46">
      <c r="A46" s="41" t="inlineStr">
        <is>
          <t>2026 W11</t>
        </is>
      </c>
      <c r="B46" s="41" t="n">
        <v>11</v>
      </c>
      <c r="C46" s="42">
        <f>'_Data'!D64</f>
        <v/>
      </c>
      <c r="D46" s="51">
        <f>'_Data'!E64</f>
        <v/>
      </c>
      <c r="E46" s="52">
        <f>'_Data'!F64</f>
        <v/>
      </c>
      <c r="F46" s="42">
        <f>'_Data'!G64</f>
        <v/>
      </c>
      <c r="G46" s="42">
        <f>'_Data'!H64</f>
        <v/>
      </c>
      <c r="H46" s="42">
        <f>'_Data'!I64</f>
        <v/>
      </c>
      <c r="I46" s="45">
        <f>'_Data'!J64</f>
        <v/>
      </c>
      <c r="J46" s="44">
        <f>IF(AND(C46&gt;0,F46&gt;0),ABS(F46-C46)/C46,"")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'_Data'!K64</f>
        <v/>
      </c>
      <c r="N46" s="42">
        <f>'_Data'!L64</f>
        <v/>
      </c>
    </row>
    <row r="47">
      <c r="A47" s="46" t="inlineStr">
        <is>
          <t>2026 W12</t>
        </is>
      </c>
      <c r="B47" s="46" t="n">
        <v>12</v>
      </c>
      <c r="C47" s="47">
        <f>'_Data'!D65</f>
        <v/>
      </c>
      <c r="D47" s="53">
        <f>'_Data'!E65</f>
        <v/>
      </c>
      <c r="E47" s="54">
        <f>'_Data'!F65</f>
        <v/>
      </c>
      <c r="F47" s="47">
        <f>'_Data'!G65</f>
        <v/>
      </c>
      <c r="G47" s="47">
        <f>'_Data'!H65</f>
        <v/>
      </c>
      <c r="H47" s="47">
        <f>'_Data'!I65</f>
        <v/>
      </c>
      <c r="I47" s="50">
        <f>'_Data'!J65</f>
        <v/>
      </c>
      <c r="J47" s="49">
        <f>IF(AND(C47&gt;0,F47&gt;0),ABS(F47-C47)/C47,"")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'_Data'!K65</f>
        <v/>
      </c>
      <c r="N47" s="47">
        <f>'_Data'!L65</f>
        <v/>
      </c>
    </row>
    <row r="48">
      <c r="A48" s="41" t="inlineStr">
        <is>
          <t>2026 W13</t>
        </is>
      </c>
      <c r="B48" s="41" t="n">
        <v>13</v>
      </c>
      <c r="C48" s="42">
        <f>'_Data'!D66</f>
        <v/>
      </c>
      <c r="D48" s="51">
        <f>'_Data'!E66</f>
        <v/>
      </c>
      <c r="E48" s="52">
        <f>'_Data'!F66</f>
        <v/>
      </c>
      <c r="F48" s="42">
        <f>'_Data'!G66</f>
        <v/>
      </c>
      <c r="G48" s="42">
        <f>'_Data'!H66</f>
        <v/>
      </c>
      <c r="H48" s="42">
        <f>'_Data'!I66</f>
        <v/>
      </c>
      <c r="I48" s="45">
        <f>'_Data'!J66</f>
        <v/>
      </c>
      <c r="J48" s="44">
        <f>IF(AND(C48&gt;0,F48&gt;0),ABS(F48-C48)/C48,"")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'_Data'!K66</f>
        <v/>
      </c>
      <c r="N48" s="42">
        <f>'_Data'!L66</f>
        <v/>
      </c>
    </row>
    <row r="49">
      <c r="A49" s="46" t="inlineStr">
        <is>
          <t>2026 W14</t>
        </is>
      </c>
      <c r="B49" s="46" t="n">
        <v>14</v>
      </c>
      <c r="C49" s="47">
        <f>'_Data'!D67</f>
        <v/>
      </c>
      <c r="D49" s="53">
        <f>'_Data'!E67</f>
        <v/>
      </c>
      <c r="E49" s="54">
        <f>'_Data'!F67</f>
        <v/>
      </c>
      <c r="F49" s="47">
        <f>'_Data'!G67</f>
        <v/>
      </c>
      <c r="G49" s="47">
        <f>'_Data'!H67</f>
        <v/>
      </c>
      <c r="H49" s="47">
        <f>'_Data'!I67</f>
        <v/>
      </c>
      <c r="I49" s="50">
        <f>'_Data'!J67</f>
        <v/>
      </c>
      <c r="J49" s="49">
        <f>IF(AND(C49&gt;0,F49&gt;0),ABS(F49-C49)/C49,"")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'_Data'!K67</f>
        <v/>
      </c>
      <c r="N49" s="47">
        <f>'_Data'!L67</f>
        <v/>
      </c>
    </row>
    <row r="50">
      <c r="A50" s="41" t="inlineStr">
        <is>
          <t>2026 W15</t>
        </is>
      </c>
      <c r="B50" s="41" t="n">
        <v>15</v>
      </c>
      <c r="C50" s="42">
        <f>'_Data'!D68</f>
        <v/>
      </c>
      <c r="D50" s="51">
        <f>'_Data'!E68</f>
        <v/>
      </c>
      <c r="E50" s="52">
        <f>'_Data'!F68</f>
        <v/>
      </c>
      <c r="F50" s="42">
        <f>'_Data'!G68</f>
        <v/>
      </c>
      <c r="G50" s="42">
        <f>'_Data'!H68</f>
        <v/>
      </c>
      <c r="H50" s="42">
        <f>'_Data'!I68</f>
        <v/>
      </c>
      <c r="I50" s="45">
        <f>'_Data'!J68</f>
        <v/>
      </c>
      <c r="J50" s="44">
        <f>IF(AND(C50&gt;0,F50&gt;0),ABS(F50-C50)/C50,"")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'_Data'!K68</f>
        <v/>
      </c>
      <c r="N50" s="42">
        <f>'_Data'!L68</f>
        <v/>
      </c>
    </row>
    <row r="51">
      <c r="A51" s="36" t="inlineStr">
        <is>
          <t>2026 W16</t>
        </is>
      </c>
      <c r="B51" s="36" t="n">
        <v>16</v>
      </c>
      <c r="C51" s="36">
        <f>'_Data'!D69</f>
        <v/>
      </c>
      <c r="D51" s="36">
        <f>'_Data'!E69</f>
        <v/>
      </c>
      <c r="E51" s="36">
        <f>'_Data'!F69</f>
        <v/>
      </c>
      <c r="F51" s="37">
        <f>'_Data'!G69</f>
        <v/>
      </c>
      <c r="G51" s="37">
        <f>'_Data'!H69</f>
        <v/>
      </c>
      <c r="H51" s="37">
        <f>'_Data'!I69</f>
        <v/>
      </c>
      <c r="I51" s="40">
        <f>'_Data'!J69</f>
        <v/>
      </c>
      <c r="J51" s="39">
        <f>IF(AND(C51&gt;0,F51&gt;0),ABS(F51-C51)/C51,"")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'_Data'!K69</f>
        <v/>
      </c>
      <c r="N51" s="36">
        <f>'_Data'!L69</f>
        <v/>
      </c>
    </row>
    <row r="52">
      <c r="A52" s="36" t="inlineStr">
        <is>
          <t>2026 W17</t>
        </is>
      </c>
      <c r="B52" s="36" t="n">
        <v>17</v>
      </c>
      <c r="C52" s="36">
        <f>'_Data'!D70</f>
        <v/>
      </c>
      <c r="D52" s="36">
        <f>'_Data'!E70</f>
        <v/>
      </c>
      <c r="E52" s="36">
        <f>'_Data'!F70</f>
        <v/>
      </c>
      <c r="F52" s="37">
        <f>'_Data'!G70</f>
        <v/>
      </c>
      <c r="G52" s="37">
        <f>'_Data'!H70</f>
        <v/>
      </c>
      <c r="H52" s="37">
        <f>'_Data'!I70</f>
        <v/>
      </c>
      <c r="I52" s="40">
        <f>'_Data'!J70</f>
        <v/>
      </c>
      <c r="J52" s="39">
        <f>IF(AND(C52&gt;0,F52&gt;0),ABS(F52-C52)/C52,"")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'_Data'!K70</f>
        <v/>
      </c>
      <c r="N52" s="36">
        <f>'_Data'!L70</f>
        <v/>
      </c>
    </row>
    <row r="53">
      <c r="A53" s="36" t="inlineStr">
        <is>
          <t>2026 W18</t>
        </is>
      </c>
      <c r="B53" s="36" t="n">
        <v>18</v>
      </c>
      <c r="C53" s="36">
        <f>'_Data'!D71</f>
        <v/>
      </c>
      <c r="D53" s="36">
        <f>'_Data'!E71</f>
        <v/>
      </c>
      <c r="E53" s="36">
        <f>'_Data'!F71</f>
        <v/>
      </c>
      <c r="F53" s="37">
        <f>'_Data'!G71</f>
        <v/>
      </c>
      <c r="G53" s="37">
        <f>'_Data'!H71</f>
        <v/>
      </c>
      <c r="H53" s="37">
        <f>'_Data'!I71</f>
        <v/>
      </c>
      <c r="I53" s="40">
        <f>'_Data'!J71</f>
        <v/>
      </c>
      <c r="J53" s="39">
        <f>IF(AND(C53&gt;0,F53&gt;0),ABS(F53-C53)/C53,"")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'_Data'!K71</f>
        <v/>
      </c>
      <c r="N53" s="36">
        <f>'_Data'!L71</f>
        <v/>
      </c>
    </row>
    <row r="54">
      <c r="A54" s="36" t="inlineStr">
        <is>
          <t>2026 W19</t>
        </is>
      </c>
      <c r="B54" s="36" t="n">
        <v>19</v>
      </c>
      <c r="C54" s="36">
        <f>'_Data'!D72</f>
        <v/>
      </c>
      <c r="D54" s="36">
        <f>'_Data'!E72</f>
        <v/>
      </c>
      <c r="E54" s="36">
        <f>'_Data'!F72</f>
        <v/>
      </c>
      <c r="F54" s="37">
        <f>'_Data'!G72</f>
        <v/>
      </c>
      <c r="G54" s="37">
        <f>'_Data'!H72</f>
        <v/>
      </c>
      <c r="H54" s="37">
        <f>'_Data'!I72</f>
        <v/>
      </c>
      <c r="I54" s="40">
        <f>'_Data'!J72</f>
        <v/>
      </c>
      <c r="J54" s="39">
        <f>IF(AND(C54&gt;0,F54&gt;0),ABS(F54-C54)/C54,"")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'_Data'!K72</f>
        <v/>
      </c>
      <c r="N54" s="36">
        <f>'_Data'!L72</f>
        <v/>
      </c>
    </row>
    <row r="55">
      <c r="A55" s="36" t="inlineStr">
        <is>
          <t>2026 W20</t>
        </is>
      </c>
      <c r="B55" s="36" t="n">
        <v>20</v>
      </c>
      <c r="C55" s="36">
        <f>'_Data'!D73</f>
        <v/>
      </c>
      <c r="D55" s="36">
        <f>'_Data'!E73</f>
        <v/>
      </c>
      <c r="E55" s="36">
        <f>'_Data'!F73</f>
        <v/>
      </c>
      <c r="F55" s="37">
        <f>'_Data'!G73</f>
        <v/>
      </c>
      <c r="G55" s="37">
        <f>'_Data'!H73</f>
        <v/>
      </c>
      <c r="H55" s="37">
        <f>'_Data'!I73</f>
        <v/>
      </c>
      <c r="I55" s="40">
        <f>'_Data'!J73</f>
        <v/>
      </c>
      <c r="J55" s="39">
        <f>IF(AND(C55&gt;0,F55&gt;0),ABS(F55-C55)/C55,"")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'_Data'!K73</f>
        <v/>
      </c>
      <c r="N55" s="36">
        <f>'_Data'!L73</f>
        <v/>
      </c>
    </row>
    <row r="56">
      <c r="A56" s="36" t="inlineStr">
        <is>
          <t>2026 W21</t>
        </is>
      </c>
      <c r="B56" s="36" t="n">
        <v>21</v>
      </c>
      <c r="C56" s="36">
        <f>'_Data'!D74</f>
        <v/>
      </c>
      <c r="D56" s="36">
        <f>'_Data'!E74</f>
        <v/>
      </c>
      <c r="E56" s="36">
        <f>'_Data'!F74</f>
        <v/>
      </c>
      <c r="F56" s="37">
        <f>'_Data'!G74</f>
        <v/>
      </c>
      <c r="G56" s="37">
        <f>'_Data'!H74</f>
        <v/>
      </c>
      <c r="H56" s="37">
        <f>'_Data'!I74</f>
        <v/>
      </c>
      <c r="I56" s="40">
        <f>'_Data'!J74</f>
        <v/>
      </c>
      <c r="J56" s="39">
        <f>IF(AND(C56&gt;0,F56&gt;0),ABS(F56-C56)/C56,"")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'_Data'!K74</f>
        <v/>
      </c>
      <c r="N56" s="36">
        <f>'_Data'!L74</f>
        <v/>
      </c>
    </row>
    <row r="57">
      <c r="A57" s="36" t="inlineStr">
        <is>
          <t>2026 W22</t>
        </is>
      </c>
      <c r="B57" s="36" t="n">
        <v>22</v>
      </c>
      <c r="C57" s="36">
        <f>'_Data'!D75</f>
        <v/>
      </c>
      <c r="D57" s="36">
        <f>'_Data'!E75</f>
        <v/>
      </c>
      <c r="E57" s="36">
        <f>'_Data'!F75</f>
        <v/>
      </c>
      <c r="F57" s="37">
        <f>'_Data'!G75</f>
        <v/>
      </c>
      <c r="G57" s="37">
        <f>'_Data'!H75</f>
        <v/>
      </c>
      <c r="H57" s="37">
        <f>'_Data'!I75</f>
        <v/>
      </c>
      <c r="I57" s="40">
        <f>'_Data'!J75</f>
        <v/>
      </c>
      <c r="J57" s="39">
        <f>IF(AND(C57&gt;0,F57&gt;0),ABS(F57-C57)/C57,"")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'_Data'!K75</f>
        <v/>
      </c>
      <c r="N57" s="36">
        <f>'_Data'!L75</f>
        <v/>
      </c>
    </row>
    <row r="58">
      <c r="A58" s="36" t="inlineStr">
        <is>
          <t>2026 W23</t>
        </is>
      </c>
      <c r="B58" s="36" t="n">
        <v>23</v>
      </c>
      <c r="C58" s="36">
        <f>'_Data'!D76</f>
        <v/>
      </c>
      <c r="D58" s="36">
        <f>'_Data'!E76</f>
        <v/>
      </c>
      <c r="E58" s="36">
        <f>'_Data'!F76</f>
        <v/>
      </c>
      <c r="F58" s="37">
        <f>'_Data'!G76</f>
        <v/>
      </c>
      <c r="G58" s="37">
        <f>'_Data'!H76</f>
        <v/>
      </c>
      <c r="H58" s="37">
        <f>'_Data'!I76</f>
        <v/>
      </c>
      <c r="I58" s="40">
        <f>'_Data'!J76</f>
        <v/>
      </c>
      <c r="J58" s="39">
        <f>IF(AND(C58&gt;0,F58&gt;0),ABS(F58-C58)/C58,"")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'_Data'!K76</f>
        <v/>
      </c>
      <c r="N58" s="36">
        <f>'_Data'!L76</f>
        <v/>
      </c>
    </row>
    <row r="59">
      <c r="A59" s="36" t="inlineStr">
        <is>
          <t>2026 W24</t>
        </is>
      </c>
      <c r="B59" s="36" t="n">
        <v>24</v>
      </c>
      <c r="C59" s="36">
        <f>'_Data'!D77</f>
        <v/>
      </c>
      <c r="D59" s="36">
        <f>'_Data'!E77</f>
        <v/>
      </c>
      <c r="E59" s="36">
        <f>'_Data'!F77</f>
        <v/>
      </c>
      <c r="F59" s="37">
        <f>'_Data'!G77</f>
        <v/>
      </c>
      <c r="G59" s="37">
        <f>'_Data'!H77</f>
        <v/>
      </c>
      <c r="H59" s="37">
        <f>'_Data'!I77</f>
        <v/>
      </c>
      <c r="I59" s="40">
        <f>'_Data'!J77</f>
        <v/>
      </c>
      <c r="J59" s="39">
        <f>IF(AND(C59&gt;0,F59&gt;0),ABS(F59-C59)/C59,"")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'_Data'!K77</f>
        <v/>
      </c>
      <c r="N59" s="36">
        <f>'_Data'!L77</f>
        <v/>
      </c>
    </row>
    <row r="60">
      <c r="A60" s="36" t="inlineStr">
        <is>
          <t>2026 W25</t>
        </is>
      </c>
      <c r="B60" s="36" t="n">
        <v>25</v>
      </c>
      <c r="C60" s="36">
        <f>'_Data'!D78</f>
        <v/>
      </c>
      <c r="D60" s="36">
        <f>'_Data'!E78</f>
        <v/>
      </c>
      <c r="E60" s="36">
        <f>'_Data'!F78</f>
        <v/>
      </c>
      <c r="F60" s="37">
        <f>'_Data'!G78</f>
        <v/>
      </c>
      <c r="G60" s="37">
        <f>'_Data'!H78</f>
        <v/>
      </c>
      <c r="H60" s="37">
        <f>'_Data'!I78</f>
        <v/>
      </c>
      <c r="I60" s="40">
        <f>'_Data'!J78</f>
        <v/>
      </c>
      <c r="J60" s="39">
        <f>IF(AND(C60&gt;0,F60&gt;0),ABS(F60-C60)/C60,"")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'_Data'!K78</f>
        <v/>
      </c>
      <c r="N60" s="36">
        <f>'_Data'!L78</f>
        <v/>
      </c>
    </row>
    <row r="61">
      <c r="A61" s="36" t="inlineStr">
        <is>
          <t>2026 W26</t>
        </is>
      </c>
      <c r="B61" s="36" t="n">
        <v>26</v>
      </c>
      <c r="C61" s="36">
        <f>'_Data'!D79</f>
        <v/>
      </c>
      <c r="D61" s="36">
        <f>'_Data'!E79</f>
        <v/>
      </c>
      <c r="E61" s="36">
        <f>'_Data'!F79</f>
        <v/>
      </c>
      <c r="F61" s="37">
        <f>'_Data'!G79</f>
        <v/>
      </c>
      <c r="G61" s="37">
        <f>'_Data'!H79</f>
        <v/>
      </c>
      <c r="H61" s="37">
        <f>'_Data'!I79</f>
        <v/>
      </c>
      <c r="I61" s="40">
        <f>'_Data'!J79</f>
        <v/>
      </c>
      <c r="J61" s="39">
        <f>IF(AND(C61&gt;0,F61&gt;0),ABS(F61-C61)/C61,"")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'_Data'!K79</f>
        <v/>
      </c>
      <c r="N61" s="36">
        <f>'_Data'!L79</f>
        <v/>
      </c>
    </row>
    <row r="62">
      <c r="A62" s="36" t="inlineStr">
        <is>
          <t>2026 W27</t>
        </is>
      </c>
      <c r="B62" s="36" t="n">
        <v>27</v>
      </c>
      <c r="C62" s="36">
        <f>'_Data'!D80</f>
        <v/>
      </c>
      <c r="D62" s="36">
        <f>'_Data'!E80</f>
        <v/>
      </c>
      <c r="E62" s="36">
        <f>'_Data'!F80</f>
        <v/>
      </c>
      <c r="F62" s="37">
        <f>'_Data'!G80</f>
        <v/>
      </c>
      <c r="G62" s="37">
        <f>'_Data'!H80</f>
        <v/>
      </c>
      <c r="H62" s="37">
        <f>'_Data'!I80</f>
        <v/>
      </c>
      <c r="I62" s="40">
        <f>'_Data'!J80</f>
        <v/>
      </c>
      <c r="J62" s="39">
        <f>IF(AND(C62&gt;0,F62&gt;0),ABS(F62-C62)/C62,"")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'_Data'!K80</f>
        <v/>
      </c>
      <c r="N62" s="36">
        <f>'_Data'!L80</f>
        <v/>
      </c>
    </row>
    <row r="63">
      <c r="A63" s="36" t="inlineStr">
        <is>
          <t>2026 W28</t>
        </is>
      </c>
      <c r="B63" s="36" t="n">
        <v>28</v>
      </c>
      <c r="C63" s="36">
        <f>'_Data'!D81</f>
        <v/>
      </c>
      <c r="D63" s="36">
        <f>'_Data'!E81</f>
        <v/>
      </c>
      <c r="E63" s="36">
        <f>'_Data'!F81</f>
        <v/>
      </c>
      <c r="F63" s="37">
        <f>'_Data'!G81</f>
        <v/>
      </c>
      <c r="G63" s="37">
        <f>'_Data'!H81</f>
        <v/>
      </c>
      <c r="H63" s="37">
        <f>'_Data'!I81</f>
        <v/>
      </c>
      <c r="I63" s="40">
        <f>'_Data'!J81</f>
        <v/>
      </c>
      <c r="J63" s="39">
        <f>IF(AND(C63&gt;0,F63&gt;0),ABS(F63-C63)/C63,"")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'_Data'!K81</f>
        <v/>
      </c>
      <c r="N63" s="36">
        <f>'_Data'!L81</f>
        <v/>
      </c>
    </row>
    <row r="64">
      <c r="A64" s="36" t="inlineStr">
        <is>
          <t>2026 W29</t>
        </is>
      </c>
      <c r="B64" s="36" t="n">
        <v>29</v>
      </c>
      <c r="C64" s="36">
        <f>'_Data'!D82</f>
        <v/>
      </c>
      <c r="D64" s="36">
        <f>'_Data'!E82</f>
        <v/>
      </c>
      <c r="E64" s="36">
        <f>'_Data'!F82</f>
        <v/>
      </c>
      <c r="F64" s="37">
        <f>'_Data'!G82</f>
        <v/>
      </c>
      <c r="G64" s="37">
        <f>'_Data'!H82</f>
        <v/>
      </c>
      <c r="H64" s="37">
        <f>'_Data'!I82</f>
        <v/>
      </c>
      <c r="I64" s="40">
        <f>'_Data'!J82</f>
        <v/>
      </c>
      <c r="J64" s="39">
        <f>IF(AND(C64&gt;0,F64&gt;0),ABS(F64-C64)/C64,"")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'_Data'!K82</f>
        <v/>
      </c>
      <c r="N64" s="36">
        <f>'_Data'!L82</f>
        <v/>
      </c>
    </row>
    <row r="65">
      <c r="A65" s="36" t="inlineStr">
        <is>
          <t>2026 W30</t>
        </is>
      </c>
      <c r="B65" s="36" t="n">
        <v>30</v>
      </c>
      <c r="C65" s="36">
        <f>'_Data'!D83</f>
        <v/>
      </c>
      <c r="D65" s="36">
        <f>'_Data'!E83</f>
        <v/>
      </c>
      <c r="E65" s="36">
        <f>'_Data'!F83</f>
        <v/>
      </c>
      <c r="F65" s="37">
        <f>'_Data'!G83</f>
        <v/>
      </c>
      <c r="G65" s="37">
        <f>'_Data'!H83</f>
        <v/>
      </c>
      <c r="H65" s="37">
        <f>'_Data'!I83</f>
        <v/>
      </c>
      <c r="I65" s="40">
        <f>'_Data'!J83</f>
        <v/>
      </c>
      <c r="J65" s="39">
        <f>IF(AND(C65&gt;0,F65&gt;0),ABS(F65-C65)/C65,"")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'_Data'!K83</f>
        <v/>
      </c>
      <c r="N65" s="36">
        <f>'_Data'!L83</f>
        <v/>
      </c>
    </row>
    <row r="66">
      <c r="A66" s="36" t="inlineStr">
        <is>
          <t>2026 W31</t>
        </is>
      </c>
      <c r="B66" s="36" t="n">
        <v>31</v>
      </c>
      <c r="C66" s="36">
        <f>'_Data'!D84</f>
        <v/>
      </c>
      <c r="D66" s="36">
        <f>'_Data'!E84</f>
        <v/>
      </c>
      <c r="E66" s="36">
        <f>'_Data'!F84</f>
        <v/>
      </c>
      <c r="F66" s="37">
        <f>'_Data'!G84</f>
        <v/>
      </c>
      <c r="G66" s="37">
        <f>'_Data'!H84</f>
        <v/>
      </c>
      <c r="H66" s="37">
        <f>'_Data'!I84</f>
        <v/>
      </c>
      <c r="I66" s="40">
        <f>'_Data'!J84</f>
        <v/>
      </c>
      <c r="J66" s="39">
        <f>IF(AND(C66&gt;0,F66&gt;0),ABS(F66-C66)/C66,"")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'_Data'!K84</f>
        <v/>
      </c>
      <c r="N66" s="36">
        <f>'_Data'!L84</f>
        <v/>
      </c>
    </row>
    <row r="67">
      <c r="A67" s="36" t="inlineStr">
        <is>
          <t>2026 W32</t>
        </is>
      </c>
      <c r="B67" s="36" t="n">
        <v>32</v>
      </c>
      <c r="C67" s="36">
        <f>'_Data'!D85</f>
        <v/>
      </c>
      <c r="D67" s="36">
        <f>'_Data'!E85</f>
        <v/>
      </c>
      <c r="E67" s="36">
        <f>'_Data'!F85</f>
        <v/>
      </c>
      <c r="F67" s="37">
        <f>'_Data'!G85</f>
        <v/>
      </c>
      <c r="G67" s="37">
        <f>'_Data'!H85</f>
        <v/>
      </c>
      <c r="H67" s="37">
        <f>'_Data'!I85</f>
        <v/>
      </c>
      <c r="I67" s="40">
        <f>'_Data'!J85</f>
        <v/>
      </c>
      <c r="J67" s="39">
        <f>IF(AND(C67&gt;0,F67&gt;0),ABS(F67-C67)/C67,"")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'_Data'!K85</f>
        <v/>
      </c>
      <c r="N67" s="36">
        <f>'_Data'!L85</f>
        <v/>
      </c>
    </row>
    <row r="68">
      <c r="A68" s="36" t="inlineStr">
        <is>
          <t>2026 W33</t>
        </is>
      </c>
      <c r="B68" s="36" t="n">
        <v>33</v>
      </c>
      <c r="C68" s="36">
        <f>'_Data'!D86</f>
        <v/>
      </c>
      <c r="D68" s="36">
        <f>'_Data'!E86</f>
        <v/>
      </c>
      <c r="E68" s="36">
        <f>'_Data'!F86</f>
        <v/>
      </c>
      <c r="F68" s="37">
        <f>'_Data'!G86</f>
        <v/>
      </c>
      <c r="G68" s="37">
        <f>'_Data'!H86</f>
        <v/>
      </c>
      <c r="H68" s="37">
        <f>'_Data'!I86</f>
        <v/>
      </c>
      <c r="I68" s="40">
        <f>'_Data'!J86</f>
        <v/>
      </c>
      <c r="J68" s="39">
        <f>IF(AND(C68&gt;0,F68&gt;0),ABS(F68-C68)/C68,"")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'_Data'!K86</f>
        <v/>
      </c>
      <c r="N68" s="36">
        <f>'_Data'!L86</f>
        <v/>
      </c>
    </row>
    <row r="69">
      <c r="A69" s="36" t="inlineStr">
        <is>
          <t>2026 W34</t>
        </is>
      </c>
      <c r="B69" s="36" t="n">
        <v>34</v>
      </c>
      <c r="C69" s="36">
        <f>'_Data'!D87</f>
        <v/>
      </c>
      <c r="D69" s="36">
        <f>'_Data'!E87</f>
        <v/>
      </c>
      <c r="E69" s="36">
        <f>'_Data'!F87</f>
        <v/>
      </c>
      <c r="F69" s="37">
        <f>'_Data'!G87</f>
        <v/>
      </c>
      <c r="G69" s="37">
        <f>'_Data'!H87</f>
        <v/>
      </c>
      <c r="H69" s="37">
        <f>'_Data'!I87</f>
        <v/>
      </c>
      <c r="I69" s="40">
        <f>'_Data'!J87</f>
        <v/>
      </c>
      <c r="J69" s="39">
        <f>IF(AND(C69&gt;0,F69&gt;0),ABS(F69-C69)/C69,"")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'_Data'!K87</f>
        <v/>
      </c>
      <c r="N69" s="36">
        <f>'_Data'!L87</f>
        <v/>
      </c>
    </row>
    <row r="70">
      <c r="A70" s="36" t="inlineStr">
        <is>
          <t>2026 W35</t>
        </is>
      </c>
      <c r="B70" s="36" t="n">
        <v>35</v>
      </c>
      <c r="C70" s="36">
        <f>'_Data'!D88</f>
        <v/>
      </c>
      <c r="D70" s="36">
        <f>'_Data'!E88</f>
        <v/>
      </c>
      <c r="E70" s="36">
        <f>'_Data'!F88</f>
        <v/>
      </c>
      <c r="F70" s="37">
        <f>'_Data'!G88</f>
        <v/>
      </c>
      <c r="G70" s="37">
        <f>'_Data'!H88</f>
        <v/>
      </c>
      <c r="H70" s="37">
        <f>'_Data'!I88</f>
        <v/>
      </c>
      <c r="I70" s="40">
        <f>'_Data'!J88</f>
        <v/>
      </c>
      <c r="J70" s="39">
        <f>IF(AND(C70&gt;0,F70&gt;0),ABS(F70-C70)/C70,"")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'_Data'!K88</f>
        <v/>
      </c>
      <c r="N70" s="36">
        <f>'_Data'!L88</f>
        <v/>
      </c>
    </row>
    <row r="71">
      <c r="A71" s="36" t="inlineStr">
        <is>
          <t>2026 W36</t>
        </is>
      </c>
      <c r="B71" s="36" t="n">
        <v>36</v>
      </c>
      <c r="C71" s="36">
        <f>'_Data'!D89</f>
        <v/>
      </c>
      <c r="D71" s="36">
        <f>'_Data'!E89</f>
        <v/>
      </c>
      <c r="E71" s="36">
        <f>'_Data'!F89</f>
        <v/>
      </c>
      <c r="F71" s="37">
        <f>'_Data'!G89</f>
        <v/>
      </c>
      <c r="G71" s="37">
        <f>'_Data'!H89</f>
        <v/>
      </c>
      <c r="H71" s="37">
        <f>'_Data'!I89</f>
        <v/>
      </c>
      <c r="I71" s="40">
        <f>'_Data'!J89</f>
        <v/>
      </c>
      <c r="J71" s="39">
        <f>IF(AND(C71&gt;0,F71&gt;0),ABS(F71-C71)/C71,"")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'_Data'!K89</f>
        <v/>
      </c>
      <c r="N71" s="36">
        <f>'_Data'!L89</f>
        <v/>
      </c>
    </row>
    <row r="72">
      <c r="A72" s="36" t="inlineStr">
        <is>
          <t>2026 W37</t>
        </is>
      </c>
      <c r="B72" s="36" t="n">
        <v>37</v>
      </c>
      <c r="C72" s="36">
        <f>'_Data'!D90</f>
        <v/>
      </c>
      <c r="D72" s="36">
        <f>'_Data'!E90</f>
        <v/>
      </c>
      <c r="E72" s="36">
        <f>'_Data'!F90</f>
        <v/>
      </c>
      <c r="F72" s="37">
        <f>'_Data'!G90</f>
        <v/>
      </c>
      <c r="G72" s="37">
        <f>'_Data'!H90</f>
        <v/>
      </c>
      <c r="H72" s="37">
        <f>'_Data'!I90</f>
        <v/>
      </c>
      <c r="I72" s="40">
        <f>'_Data'!J90</f>
        <v/>
      </c>
      <c r="J72" s="39">
        <f>IF(AND(C72&gt;0,F72&gt;0),ABS(F72-C72)/C72,"")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'_Data'!K90</f>
        <v/>
      </c>
      <c r="N72" s="36">
        <f>'_Data'!L90</f>
        <v/>
      </c>
    </row>
    <row r="73">
      <c r="A73" s="36" t="inlineStr">
        <is>
          <t>2026 W38</t>
        </is>
      </c>
      <c r="B73" s="36" t="n">
        <v>38</v>
      </c>
      <c r="C73" s="36">
        <f>'_Data'!D91</f>
        <v/>
      </c>
      <c r="D73" s="36">
        <f>'_Data'!E91</f>
        <v/>
      </c>
      <c r="E73" s="36">
        <f>'_Data'!F91</f>
        <v/>
      </c>
      <c r="F73" s="37">
        <f>'_Data'!G91</f>
        <v/>
      </c>
      <c r="G73" s="37">
        <f>'_Data'!H91</f>
        <v/>
      </c>
      <c r="H73" s="37">
        <f>'_Data'!I91</f>
        <v/>
      </c>
      <c r="I73" s="40">
        <f>'_Data'!J91</f>
        <v/>
      </c>
      <c r="J73" s="39">
        <f>IF(AND(C73&gt;0,F73&gt;0),ABS(F73-C73)/C73,"")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'_Data'!K91</f>
        <v/>
      </c>
      <c r="N73" s="36">
        <f>'_Data'!L91</f>
        <v/>
      </c>
    </row>
    <row r="74">
      <c r="A74" s="36" t="inlineStr">
        <is>
          <t>2026 W39</t>
        </is>
      </c>
      <c r="B74" s="36" t="n">
        <v>39</v>
      </c>
      <c r="C74" s="36">
        <f>'_Data'!D92</f>
        <v/>
      </c>
      <c r="D74" s="36">
        <f>'_Data'!E92</f>
        <v/>
      </c>
      <c r="E74" s="36">
        <f>'_Data'!F92</f>
        <v/>
      </c>
      <c r="F74" s="37">
        <f>'_Data'!G92</f>
        <v/>
      </c>
      <c r="G74" s="37">
        <f>'_Data'!H92</f>
        <v/>
      </c>
      <c r="H74" s="37">
        <f>'_Data'!I92</f>
        <v/>
      </c>
      <c r="I74" s="40">
        <f>'_Data'!J92</f>
        <v/>
      </c>
      <c r="J74" s="39">
        <f>IF(AND(C74&gt;0,F74&gt;0),ABS(F74-C74)/C74,"")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'_Data'!K92</f>
        <v/>
      </c>
      <c r="N74" s="36">
        <f>'_Data'!L92</f>
        <v/>
      </c>
    </row>
    <row r="75">
      <c r="A75" s="36" t="inlineStr">
        <is>
          <t>2026 W40</t>
        </is>
      </c>
      <c r="B75" s="36" t="n">
        <v>40</v>
      </c>
      <c r="C75" s="36">
        <f>'_Data'!D93</f>
        <v/>
      </c>
      <c r="D75" s="36">
        <f>'_Data'!E93</f>
        <v/>
      </c>
      <c r="E75" s="36">
        <f>'_Data'!F93</f>
        <v/>
      </c>
      <c r="F75" s="37">
        <f>'_Data'!G93</f>
        <v/>
      </c>
      <c r="G75" s="37">
        <f>'_Data'!H93</f>
        <v/>
      </c>
      <c r="H75" s="37">
        <f>'_Data'!I93</f>
        <v/>
      </c>
      <c r="I75" s="40">
        <f>'_Data'!J93</f>
        <v/>
      </c>
      <c r="J75" s="39">
        <f>IF(AND(C75&gt;0,F75&gt;0),ABS(F75-C75)/C75,"")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'_Data'!K93</f>
        <v/>
      </c>
      <c r="N75" s="36">
        <f>'_Data'!L93</f>
        <v/>
      </c>
    </row>
    <row r="76">
      <c r="A76" s="36" t="inlineStr">
        <is>
          <t>2026 W41</t>
        </is>
      </c>
      <c r="B76" s="36" t="n">
        <v>41</v>
      </c>
      <c r="C76" s="36">
        <f>'_Data'!D94</f>
        <v/>
      </c>
      <c r="D76" s="36">
        <f>'_Data'!E94</f>
        <v/>
      </c>
      <c r="E76" s="36">
        <f>'_Data'!F94</f>
        <v/>
      </c>
      <c r="F76" s="37">
        <f>'_Data'!G94</f>
        <v/>
      </c>
      <c r="G76" s="37">
        <f>'_Data'!H94</f>
        <v/>
      </c>
      <c r="H76" s="37">
        <f>'_Data'!I94</f>
        <v/>
      </c>
      <c r="I76" s="40">
        <f>'_Data'!J94</f>
        <v/>
      </c>
      <c r="J76" s="39">
        <f>IF(AND(C76&gt;0,F76&gt;0),ABS(F76-C76)/C76,"")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'_Data'!K94</f>
        <v/>
      </c>
      <c r="N76" s="36">
        <f>'_Data'!L94</f>
        <v/>
      </c>
    </row>
    <row r="77">
      <c r="A77" s="36" t="inlineStr">
        <is>
          <t>2026 W42</t>
        </is>
      </c>
      <c r="B77" s="36" t="n">
        <v>42</v>
      </c>
      <c r="C77" s="36">
        <f>'_Data'!D95</f>
        <v/>
      </c>
      <c r="D77" s="36">
        <f>'_Data'!E95</f>
        <v/>
      </c>
      <c r="E77" s="36">
        <f>'_Data'!F95</f>
        <v/>
      </c>
      <c r="F77" s="37">
        <f>'_Data'!G95</f>
        <v/>
      </c>
      <c r="G77" s="37">
        <f>'_Data'!H95</f>
        <v/>
      </c>
      <c r="H77" s="37">
        <f>'_Data'!I95</f>
        <v/>
      </c>
      <c r="I77" s="40">
        <f>'_Data'!J95</f>
        <v/>
      </c>
      <c r="J77" s="39">
        <f>IF(AND(C77&gt;0,F77&gt;0),ABS(F77-C77)/C77,"")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'_Data'!K95</f>
        <v/>
      </c>
      <c r="N77" s="36">
        <f>'_Data'!L95</f>
        <v/>
      </c>
    </row>
    <row r="78">
      <c r="A78" s="36" t="inlineStr">
        <is>
          <t>2026 W43</t>
        </is>
      </c>
      <c r="B78" s="36" t="n">
        <v>43</v>
      </c>
      <c r="C78" s="36">
        <f>'_Data'!D96</f>
        <v/>
      </c>
      <c r="D78" s="36">
        <f>'_Data'!E96</f>
        <v/>
      </c>
      <c r="E78" s="36">
        <f>'_Data'!F96</f>
        <v/>
      </c>
      <c r="F78" s="37">
        <f>'_Data'!G96</f>
        <v/>
      </c>
      <c r="G78" s="37">
        <f>'_Data'!H96</f>
        <v/>
      </c>
      <c r="H78" s="37">
        <f>'_Data'!I96</f>
        <v/>
      </c>
      <c r="I78" s="40">
        <f>'_Data'!J96</f>
        <v/>
      </c>
      <c r="J78" s="39">
        <f>IF(AND(C78&gt;0,F78&gt;0),ABS(F78-C78)/C78,"")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'_Data'!K96</f>
        <v/>
      </c>
      <c r="N78" s="36">
        <f>'_Data'!L96</f>
        <v/>
      </c>
    </row>
    <row r="79">
      <c r="A79" s="36" t="inlineStr">
        <is>
          <t>2026 W44</t>
        </is>
      </c>
      <c r="B79" s="36" t="n">
        <v>44</v>
      </c>
      <c r="C79" s="36">
        <f>'_Data'!D97</f>
        <v/>
      </c>
      <c r="D79" s="36">
        <f>'_Data'!E97</f>
        <v/>
      </c>
      <c r="E79" s="36">
        <f>'_Data'!F97</f>
        <v/>
      </c>
      <c r="F79" s="37">
        <f>'_Data'!G97</f>
        <v/>
      </c>
      <c r="G79" s="37">
        <f>'_Data'!H97</f>
        <v/>
      </c>
      <c r="H79" s="37">
        <f>'_Data'!I97</f>
        <v/>
      </c>
      <c r="I79" s="40">
        <f>'_Data'!J97</f>
        <v/>
      </c>
      <c r="J79" s="39">
        <f>IF(AND(C79&gt;0,F79&gt;0),ABS(F79-C79)/C79,"")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'_Data'!K97</f>
        <v/>
      </c>
      <c r="N79" s="36">
        <f>'_Data'!L97</f>
        <v/>
      </c>
    </row>
    <row r="80">
      <c r="A80" s="36" t="inlineStr">
        <is>
          <t>2026 W45</t>
        </is>
      </c>
      <c r="B80" s="36" t="n">
        <v>45</v>
      </c>
      <c r="C80" s="36">
        <f>'_Data'!D98</f>
        <v/>
      </c>
      <c r="D80" s="36">
        <f>'_Data'!E98</f>
        <v/>
      </c>
      <c r="E80" s="36">
        <f>'_Data'!F98</f>
        <v/>
      </c>
      <c r="F80" s="37">
        <f>'_Data'!G98</f>
        <v/>
      </c>
      <c r="G80" s="37">
        <f>'_Data'!H98</f>
        <v/>
      </c>
      <c r="H80" s="37">
        <f>'_Data'!I98</f>
        <v/>
      </c>
      <c r="I80" s="40">
        <f>'_Data'!J98</f>
        <v/>
      </c>
      <c r="J80" s="39">
        <f>IF(AND(C80&gt;0,F80&gt;0),ABS(F80-C80)/C80,"")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'_Data'!K98</f>
        <v/>
      </c>
      <c r="N80" s="36">
        <f>'_Data'!L98</f>
        <v/>
      </c>
    </row>
    <row r="81">
      <c r="A81" s="36" t="inlineStr">
        <is>
          <t>2026 W46</t>
        </is>
      </c>
      <c r="B81" s="36" t="n">
        <v>46</v>
      </c>
      <c r="C81" s="36">
        <f>'_Data'!D99</f>
        <v/>
      </c>
      <c r="D81" s="36">
        <f>'_Data'!E99</f>
        <v/>
      </c>
      <c r="E81" s="36">
        <f>'_Data'!F99</f>
        <v/>
      </c>
      <c r="F81" s="37">
        <f>'_Data'!G99</f>
        <v/>
      </c>
      <c r="G81" s="37">
        <f>'_Data'!H99</f>
        <v/>
      </c>
      <c r="H81" s="37">
        <f>'_Data'!I99</f>
        <v/>
      </c>
      <c r="I81" s="40">
        <f>'_Data'!J99</f>
        <v/>
      </c>
      <c r="J81" s="39">
        <f>IF(AND(C81&gt;0,F81&gt;0),ABS(F81-C81)/C81,"")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'_Data'!K99</f>
        <v/>
      </c>
      <c r="N81" s="36">
        <f>'_Data'!L99</f>
        <v/>
      </c>
    </row>
    <row r="82">
      <c r="A82" s="36" t="inlineStr">
        <is>
          <t>2026 W47</t>
        </is>
      </c>
      <c r="B82" s="36" t="n">
        <v>47</v>
      </c>
      <c r="C82" s="36">
        <f>'_Data'!D100</f>
        <v/>
      </c>
      <c r="D82" s="36">
        <f>'_Data'!E100</f>
        <v/>
      </c>
      <c r="E82" s="36">
        <f>'_Data'!F100</f>
        <v/>
      </c>
      <c r="F82" s="37">
        <f>'_Data'!G100</f>
        <v/>
      </c>
      <c r="G82" s="37">
        <f>'_Data'!H100</f>
        <v/>
      </c>
      <c r="H82" s="37">
        <f>'_Data'!I100</f>
        <v/>
      </c>
      <c r="I82" s="40">
        <f>'_Data'!J100</f>
        <v/>
      </c>
      <c r="J82" s="39">
        <f>IF(AND(C82&gt;0,F82&gt;0),ABS(F82-C82)/C82,"")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'_Data'!K100</f>
        <v/>
      </c>
      <c r="N82" s="36">
        <f>'_Data'!L100</f>
        <v/>
      </c>
    </row>
    <row r="83">
      <c r="A83" s="36" t="inlineStr">
        <is>
          <t>2026 W48</t>
        </is>
      </c>
      <c r="B83" s="36" t="n">
        <v>48</v>
      </c>
      <c r="C83" s="36">
        <f>'_Data'!D101</f>
        <v/>
      </c>
      <c r="D83" s="36">
        <f>'_Data'!E101</f>
        <v/>
      </c>
      <c r="E83" s="36">
        <f>'_Data'!F101</f>
        <v/>
      </c>
      <c r="F83" s="37">
        <f>'_Data'!G101</f>
        <v/>
      </c>
      <c r="G83" s="37">
        <f>'_Data'!H101</f>
        <v/>
      </c>
      <c r="H83" s="37">
        <f>'_Data'!I101</f>
        <v/>
      </c>
      <c r="I83" s="40">
        <f>'_Data'!J101</f>
        <v/>
      </c>
      <c r="J83" s="39">
        <f>IF(AND(C83&gt;0,F83&gt;0),ABS(F83-C83)/C83,"")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'_Data'!K101</f>
        <v/>
      </c>
      <c r="N83" s="36">
        <f>'_Data'!L101</f>
        <v/>
      </c>
    </row>
    <row r="84">
      <c r="A84" s="36" t="inlineStr">
        <is>
          <t>2026 W49</t>
        </is>
      </c>
      <c r="B84" s="36" t="n">
        <v>49</v>
      </c>
      <c r="C84" s="36">
        <f>'_Data'!D102</f>
        <v/>
      </c>
      <c r="D84" s="36">
        <f>'_Data'!E102</f>
        <v/>
      </c>
      <c r="E84" s="36">
        <f>'_Data'!F102</f>
        <v/>
      </c>
      <c r="F84" s="37">
        <f>'_Data'!G102</f>
        <v/>
      </c>
      <c r="G84" s="37">
        <f>'_Data'!H102</f>
        <v/>
      </c>
      <c r="H84" s="37">
        <f>'_Data'!I102</f>
        <v/>
      </c>
      <c r="I84" s="40">
        <f>'_Data'!J102</f>
        <v/>
      </c>
      <c r="J84" s="39">
        <f>IF(AND(C84&gt;0,F84&gt;0),ABS(F84-C84)/C84,"")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'_Data'!K102</f>
        <v/>
      </c>
      <c r="N84" s="36">
        <f>'_Data'!L102</f>
        <v/>
      </c>
    </row>
    <row r="85">
      <c r="A85" s="36" t="inlineStr">
        <is>
          <t>2026 W50</t>
        </is>
      </c>
      <c r="B85" s="36" t="n">
        <v>50</v>
      </c>
      <c r="C85" s="36">
        <f>'_Data'!D103</f>
        <v/>
      </c>
      <c r="D85" s="36">
        <f>'_Data'!E103</f>
        <v/>
      </c>
      <c r="E85" s="36">
        <f>'_Data'!F103</f>
        <v/>
      </c>
      <c r="F85" s="37">
        <f>'_Data'!G103</f>
        <v/>
      </c>
      <c r="G85" s="37">
        <f>'_Data'!H103</f>
        <v/>
      </c>
      <c r="H85" s="37">
        <f>'_Data'!I103</f>
        <v/>
      </c>
      <c r="I85" s="40">
        <f>'_Data'!J103</f>
        <v/>
      </c>
      <c r="J85" s="39">
        <f>IF(AND(C85&gt;0,F85&gt;0),ABS(F85-C85)/C85,"")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'_Data'!K103</f>
        <v/>
      </c>
      <c r="N85" s="36">
        <f>'_Data'!L103</f>
        <v/>
      </c>
    </row>
    <row r="86">
      <c r="A86" s="36" t="inlineStr">
        <is>
          <t>2026 W51</t>
        </is>
      </c>
      <c r="B86" s="36" t="n">
        <v>51</v>
      </c>
      <c r="C86" s="36">
        <f>'_Data'!D104</f>
        <v/>
      </c>
      <c r="D86" s="36">
        <f>'_Data'!E104</f>
        <v/>
      </c>
      <c r="E86" s="36">
        <f>'_Data'!F104</f>
        <v/>
      </c>
      <c r="F86" s="37">
        <f>'_Data'!G104</f>
        <v/>
      </c>
      <c r="G86" s="37">
        <f>'_Data'!H104</f>
        <v/>
      </c>
      <c r="H86" s="37">
        <f>'_Data'!I104</f>
        <v/>
      </c>
      <c r="I86" s="40">
        <f>'_Data'!J104</f>
        <v/>
      </c>
      <c r="J86" s="39">
        <f>IF(AND(C86&gt;0,F86&gt;0),ABS(F86-C86)/C86,"")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'_Data'!K104</f>
        <v/>
      </c>
      <c r="N86" s="36">
        <f>'_Data'!L104</f>
        <v/>
      </c>
    </row>
    <row r="87">
      <c r="A87" s="36" t="inlineStr">
        <is>
          <t>2026 W52</t>
        </is>
      </c>
      <c r="B87" s="36" t="n">
        <v>52</v>
      </c>
      <c r="C87" s="36">
        <f>'_Data'!D105</f>
        <v/>
      </c>
      <c r="D87" s="36">
        <f>'_Data'!E105</f>
        <v/>
      </c>
      <c r="E87" s="36">
        <f>'_Data'!F105</f>
        <v/>
      </c>
      <c r="F87" s="37">
        <f>'_Data'!G105</f>
        <v/>
      </c>
      <c r="G87" s="37">
        <f>'_Data'!H105</f>
        <v/>
      </c>
      <c r="H87" s="37">
        <f>'_Data'!I105</f>
        <v/>
      </c>
      <c r="I87" s="40">
        <f>'_Data'!J105</f>
        <v/>
      </c>
      <c r="J87" s="39">
        <f>IF(AND(C87&gt;0,F87&gt;0),ABS(F87-C87)/C87,"")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'_Data'!K105</f>
        <v/>
      </c>
      <c r="N87" s="36">
        <f>'_Data'!L105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2ECC71"/>
      </dataBar>
    </cfRule>
  </conditionalFormatting>
  <conditionalFormatting sqref="J36:J87">
    <cfRule type="colorScale" priority="2">
      <colorScale>
        <cfvo type="num" val="0"/>
        <cfvo type="num" val="0.1"/>
        <cfvo type="num" val="0.3"/>
        <color rgb="FF27AE60"/>
        <color rgb="FFFFFFFF"/>
        <color rgb="FFE74C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E67E22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7109375" defaultRowHeight="15"/>
  <cols>
    <col width="12.7109375" customWidth="1" style="30" min="1" max="16384"/>
  </cols>
  <sheetData>
    <row r="1" ht="21" customHeight="1" s="71">
      <c r="A1" s="66" t="inlineStr">
        <is>
          <t>DE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TEXT(SUM('_Data'!D106:D157),"#,##0")</f>
        <v/>
      </c>
      <c r="B4" s="74" t="n"/>
      <c r="C4" s="33">
        <f>TEXT(SUM('_Data'!E106:E157),"$#,##0")</f>
        <v/>
      </c>
      <c r="D4" s="74" t="n"/>
      <c r="E4" s="33">
        <f>TEXT(IF(SUM('_Data'!D106:D157)&gt;0,SUM('_Data'!E106:E157)/SUM('_Data'!D106:D157),0),"$#,##0.00")</f>
        <v/>
      </c>
      <c r="F4" s="74" t="n"/>
      <c r="G4" s="33">
        <f>IF(AND('_Data'!C694&gt;0,'_Data'!F694&gt;0),TEXT(('_Data'!C694-'_Data'!F694)/'_Data'!F694,"+0.0%;-0.0%"),"")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7" t="inlineStr">
        <is>
          <t>Period</t>
        </is>
      </c>
      <c r="B9" s="67" t="inlineStr">
        <is>
          <t>Actual Regs</t>
        </is>
      </c>
      <c r="C9" s="67" t="inlineStr">
        <is>
          <t>Pred Regs</t>
        </is>
      </c>
      <c r="D9" s="67" t="inlineStr">
        <is>
          <t>CI Low</t>
        </is>
      </c>
      <c r="E9" s="67" t="inlineStr">
        <is>
          <t>CI High</t>
        </is>
      </c>
      <c r="F9" s="67" t="inlineStr">
        <is>
          <t>OP2 Target</t>
        </is>
      </c>
      <c r="G9" s="67" t="inlineStr">
        <is>
          <t>vs OP2 %</t>
        </is>
      </c>
      <c r="H9" s="67" t="inlineStr">
        <is>
          <t>Error %</t>
        </is>
      </c>
      <c r="I9" s="67" t="inlineStr">
        <is>
          <t>Confidence</t>
        </is>
      </c>
      <c r="J9" s="67" t="inlineStr">
        <is>
          <t>Score</t>
        </is>
      </c>
      <c r="K9" s="67" t="inlineStr">
        <is>
          <t>Notes</t>
        </is>
      </c>
    </row>
    <row r="10">
      <c r="A10" s="36" t="inlineStr">
        <is>
          <t>2026 Full Year</t>
        </is>
      </c>
      <c r="B10" s="37">
        <f>'_Data'!B694</f>
        <v/>
      </c>
      <c r="C10" s="37">
        <f>'_Data'!C694</f>
        <v/>
      </c>
      <c r="D10" s="37">
        <f>'_Data'!D694</f>
        <v/>
      </c>
      <c r="E10" s="37">
        <f>'_Data'!E694</f>
        <v/>
      </c>
      <c r="F10" s="37">
        <f>'_Data'!F694</f>
        <v/>
      </c>
      <c r="G10" s="38">
        <f>IF(AND(B10&gt;0,F10&gt;0),(B10-F10)/F10,"")</f>
        <v/>
      </c>
      <c r="H10" s="39">
        <f>IF(AND(B10&gt;0,C10&gt;0),ABS(C10-B10)/B10,"")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7" t="inlineStr">
        <is>
          <t>Period</t>
        </is>
      </c>
      <c r="B13" s="67" t="inlineStr">
        <is>
          <t>Actual Regs</t>
        </is>
      </c>
      <c r="C13" s="67" t="inlineStr">
        <is>
          <t>Pred Regs</t>
        </is>
      </c>
      <c r="D13" s="67" t="inlineStr">
        <is>
          <t>CI Low</t>
        </is>
      </c>
      <c r="E13" s="67" t="inlineStr">
        <is>
          <t>CI High</t>
        </is>
      </c>
      <c r="F13" s="67" t="inlineStr">
        <is>
          <t>OP2 Target</t>
        </is>
      </c>
      <c r="G13" s="67" t="inlineStr">
        <is>
          <t>vs OP2 %</t>
        </is>
      </c>
      <c r="H13" s="67" t="inlineStr">
        <is>
          <t>Error %</t>
        </is>
      </c>
      <c r="I13" s="67" t="inlineStr">
        <is>
          <t>Confidence</t>
        </is>
      </c>
      <c r="J13" s="67" t="inlineStr">
        <is>
          <t>Score</t>
        </is>
      </c>
      <c r="K13" s="67" t="inlineStr">
        <is>
          <t>Notes</t>
        </is>
      </c>
    </row>
    <row r="14">
      <c r="A14" s="41" t="inlineStr">
        <is>
          <t>Q1</t>
        </is>
      </c>
      <c r="B14" s="42">
        <f>'_Data'!D656</f>
        <v/>
      </c>
      <c r="C14" s="42">
        <f>'_Data'!E656</f>
        <v/>
      </c>
      <c r="D14" s="42">
        <f>'_Data'!F656</f>
        <v/>
      </c>
      <c r="E14" s="42">
        <f>'_Data'!G656</f>
        <v/>
      </c>
      <c r="F14" s="42">
        <f>'_Data'!H656</f>
        <v/>
      </c>
      <c r="G14" s="43">
        <f>IF(AND(B14&gt;0,F14&gt;0),(B14-F14)/F14,"")</f>
        <v/>
      </c>
      <c r="H14" s="44">
        <f>IF(AND(B14&gt;0,C14&gt;0),ABS(C14-B14)/B14,"")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'_Data'!D657</f>
        <v/>
      </c>
      <c r="C15" s="37">
        <f>'_Data'!E657</f>
        <v/>
      </c>
      <c r="D15" s="37">
        <f>'_Data'!F657</f>
        <v/>
      </c>
      <c r="E15" s="37">
        <f>'_Data'!G657</f>
        <v/>
      </c>
      <c r="F15" s="37">
        <f>'_Data'!H657</f>
        <v/>
      </c>
      <c r="G15" s="38">
        <f>IF(AND(B15&gt;0,F15&gt;0),(B15-F15)/F15,"")</f>
        <v/>
      </c>
      <c r="H15" s="39">
        <f>IF(AND(B15&gt;0,C15&gt;0),ABS(C15-B15)/B15,"")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'_Data'!D658</f>
        <v/>
      </c>
      <c r="C16" s="37">
        <f>'_Data'!E658</f>
        <v/>
      </c>
      <c r="D16" s="37">
        <f>'_Data'!F658</f>
        <v/>
      </c>
      <c r="E16" s="37">
        <f>'_Data'!G658</f>
        <v/>
      </c>
      <c r="F16" s="37">
        <f>'_Data'!H658</f>
        <v/>
      </c>
      <c r="G16" s="38">
        <f>IF(AND(B16&gt;0,F16&gt;0),(B16-F16)/F16,"")</f>
        <v/>
      </c>
      <c r="H16" s="39">
        <f>IF(AND(B16&gt;0,C16&gt;0),ABS(C16-B16)/B16,"")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'_Data'!D659</f>
        <v/>
      </c>
      <c r="C17" s="37">
        <f>'_Data'!E659</f>
        <v/>
      </c>
      <c r="D17" s="37">
        <f>'_Data'!F659</f>
        <v/>
      </c>
      <c r="E17" s="37">
        <f>'_Data'!G659</f>
        <v/>
      </c>
      <c r="F17" s="37">
        <f>'_Data'!H659</f>
        <v/>
      </c>
      <c r="G17" s="38">
        <f>IF(AND(B17&gt;0,F17&gt;0),(B17-F17)/F17,"")</f>
        <v/>
      </c>
      <c r="H17" s="39">
        <f>IF(AND(B17&gt;0,C17&gt;0),ABS(C17-B17)/B17,"")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7" t="inlineStr">
        <is>
          <t>Period</t>
        </is>
      </c>
      <c r="B20" s="67" t="inlineStr">
        <is>
          <t>Actual Regs</t>
        </is>
      </c>
      <c r="C20" s="67" t="inlineStr">
        <is>
          <t>Pred Regs</t>
        </is>
      </c>
      <c r="D20" s="67" t="inlineStr">
        <is>
          <t>CI Low</t>
        </is>
      </c>
      <c r="E20" s="67" t="inlineStr">
        <is>
          <t>CI High</t>
        </is>
      </c>
      <c r="F20" s="67" t="inlineStr">
        <is>
          <t>OP2 Target</t>
        </is>
      </c>
      <c r="G20" s="67" t="inlineStr">
        <is>
          <t>vs OP2 %</t>
        </is>
      </c>
      <c r="H20" s="67" t="inlineStr">
        <is>
          <t>Error %</t>
        </is>
      </c>
      <c r="I20" s="67" t="inlineStr">
        <is>
          <t>Confidence</t>
        </is>
      </c>
      <c r="J20" s="67" t="inlineStr">
        <is>
          <t>Score</t>
        </is>
      </c>
      <c r="K20" s="67" t="inlineStr">
        <is>
          <t>Notes</t>
        </is>
      </c>
    </row>
    <row r="21">
      <c r="A21" s="41" t="inlineStr">
        <is>
          <t>Jan</t>
        </is>
      </c>
      <c r="B21" s="42">
        <f>'_Data'!D548</f>
        <v/>
      </c>
      <c r="C21" s="42">
        <f>'_Data'!E548</f>
        <v/>
      </c>
      <c r="D21" s="42">
        <f>'_Data'!F548</f>
        <v/>
      </c>
      <c r="E21" s="42">
        <f>'_Data'!G548</f>
        <v/>
      </c>
      <c r="F21" s="42">
        <f>'_Data'!H548</f>
        <v/>
      </c>
      <c r="G21" s="43">
        <f>IF(AND(B21&gt;0,F21&gt;0),(B21-F21)/F21,"")</f>
        <v/>
      </c>
      <c r="H21" s="44">
        <f>IF(AND(B21&gt;0,C21&gt;0),ABS(C21-B21)/B21,"")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'_Data'!D549</f>
        <v/>
      </c>
      <c r="C22" s="47">
        <f>'_Data'!E549</f>
        <v/>
      </c>
      <c r="D22" s="47">
        <f>'_Data'!F549</f>
        <v/>
      </c>
      <c r="E22" s="47">
        <f>'_Data'!G549</f>
        <v/>
      </c>
      <c r="F22" s="47">
        <f>'_Data'!H549</f>
        <v/>
      </c>
      <c r="G22" s="48">
        <f>IF(AND(B22&gt;0,F22&gt;0),(B22-F22)/F22,"")</f>
        <v/>
      </c>
      <c r="H22" s="49">
        <f>IF(AND(B22&gt;0,C22&gt;0),ABS(C22-B22)/B22,"")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'_Data'!D550</f>
        <v/>
      </c>
      <c r="C23" s="42">
        <f>'_Data'!E550</f>
        <v/>
      </c>
      <c r="D23" s="42">
        <f>'_Data'!F550</f>
        <v/>
      </c>
      <c r="E23" s="42">
        <f>'_Data'!G550</f>
        <v/>
      </c>
      <c r="F23" s="42">
        <f>'_Data'!H550</f>
        <v/>
      </c>
      <c r="G23" s="43">
        <f>IF(AND(B23&gt;0,F23&gt;0),(B23-F23)/F23,"")</f>
        <v/>
      </c>
      <c r="H23" s="44">
        <f>IF(AND(B23&gt;0,C23&gt;0),ABS(C23-B23)/B23,"")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'_Data'!D551</f>
        <v/>
      </c>
      <c r="C24" s="37">
        <f>'_Data'!E551</f>
        <v/>
      </c>
      <c r="D24" s="37">
        <f>'_Data'!F551</f>
        <v/>
      </c>
      <c r="E24" s="37">
        <f>'_Data'!G551</f>
        <v/>
      </c>
      <c r="F24" s="37">
        <f>'_Data'!H551</f>
        <v/>
      </c>
      <c r="G24" s="38">
        <f>IF(AND(B24&gt;0,F24&gt;0),(B24-F24)/F24,"")</f>
        <v/>
      </c>
      <c r="H24" s="39">
        <f>IF(AND(B24&gt;0,C24&gt;0),ABS(C24-B24)/B24,"")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'_Data'!D552</f>
        <v/>
      </c>
      <c r="C25" s="37">
        <f>'_Data'!E552</f>
        <v/>
      </c>
      <c r="D25" s="37">
        <f>'_Data'!F552</f>
        <v/>
      </c>
      <c r="E25" s="37">
        <f>'_Data'!G552</f>
        <v/>
      </c>
      <c r="F25" s="37">
        <f>'_Data'!H552</f>
        <v/>
      </c>
      <c r="G25" s="38">
        <f>IF(AND(B25&gt;0,F25&gt;0),(B25-F25)/F25,"")</f>
        <v/>
      </c>
      <c r="H25" s="39">
        <f>IF(AND(B25&gt;0,C25&gt;0),ABS(C25-B25)/B25,"")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'_Data'!D553</f>
        <v/>
      </c>
      <c r="C26" s="37">
        <f>'_Data'!E553</f>
        <v/>
      </c>
      <c r="D26" s="37">
        <f>'_Data'!F553</f>
        <v/>
      </c>
      <c r="E26" s="37">
        <f>'_Data'!G553</f>
        <v/>
      </c>
      <c r="F26" s="37">
        <f>'_Data'!H553</f>
        <v/>
      </c>
      <c r="G26" s="38">
        <f>IF(AND(B26&gt;0,F26&gt;0),(B26-F26)/F26,"")</f>
        <v/>
      </c>
      <c r="H26" s="39">
        <f>IF(AND(B26&gt;0,C26&gt;0),ABS(C26-B26)/B26,"")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'_Data'!D554</f>
        <v/>
      </c>
      <c r="C27" s="37">
        <f>'_Data'!E554</f>
        <v/>
      </c>
      <c r="D27" s="37">
        <f>'_Data'!F554</f>
        <v/>
      </c>
      <c r="E27" s="37">
        <f>'_Data'!G554</f>
        <v/>
      </c>
      <c r="F27" s="37">
        <f>'_Data'!H554</f>
        <v/>
      </c>
      <c r="G27" s="38">
        <f>IF(AND(B27&gt;0,F27&gt;0),(B27-F27)/F27,"")</f>
        <v/>
      </c>
      <c r="H27" s="39">
        <f>IF(AND(B27&gt;0,C27&gt;0),ABS(C27-B27)/B27,"")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'_Data'!D555</f>
        <v/>
      </c>
      <c r="C28" s="37">
        <f>'_Data'!E555</f>
        <v/>
      </c>
      <c r="D28" s="37">
        <f>'_Data'!F555</f>
        <v/>
      </c>
      <c r="E28" s="37">
        <f>'_Data'!G555</f>
        <v/>
      </c>
      <c r="F28" s="37">
        <f>'_Data'!H555</f>
        <v/>
      </c>
      <c r="G28" s="38">
        <f>IF(AND(B28&gt;0,F28&gt;0),(B28-F28)/F28,"")</f>
        <v/>
      </c>
      <c r="H28" s="39">
        <f>IF(AND(B28&gt;0,C28&gt;0),ABS(C28-B28)/B28,"")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'_Data'!D556</f>
        <v/>
      </c>
      <c r="C29" s="37">
        <f>'_Data'!E556</f>
        <v/>
      </c>
      <c r="D29" s="37">
        <f>'_Data'!F556</f>
        <v/>
      </c>
      <c r="E29" s="37">
        <f>'_Data'!G556</f>
        <v/>
      </c>
      <c r="F29" s="37">
        <f>'_Data'!H556</f>
        <v/>
      </c>
      <c r="G29" s="38">
        <f>IF(AND(B29&gt;0,F29&gt;0),(B29-F29)/F29,"")</f>
        <v/>
      </c>
      <c r="H29" s="39">
        <f>IF(AND(B29&gt;0,C29&gt;0),ABS(C29-B29)/B29,"")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'_Data'!D557</f>
        <v/>
      </c>
      <c r="C30" s="37">
        <f>'_Data'!E557</f>
        <v/>
      </c>
      <c r="D30" s="37">
        <f>'_Data'!F557</f>
        <v/>
      </c>
      <c r="E30" s="37">
        <f>'_Data'!G557</f>
        <v/>
      </c>
      <c r="F30" s="37">
        <f>'_Data'!H557</f>
        <v/>
      </c>
      <c r="G30" s="38">
        <f>IF(AND(B30&gt;0,F30&gt;0),(B30-F30)/F30,"")</f>
        <v/>
      </c>
      <c r="H30" s="39">
        <f>IF(AND(B30&gt;0,C30&gt;0),ABS(C30-B30)/B30,"")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'_Data'!D558</f>
        <v/>
      </c>
      <c r="C31" s="37">
        <f>'_Data'!E558</f>
        <v/>
      </c>
      <c r="D31" s="37">
        <f>'_Data'!F558</f>
        <v/>
      </c>
      <c r="E31" s="37">
        <f>'_Data'!G558</f>
        <v/>
      </c>
      <c r="F31" s="37">
        <f>'_Data'!H558</f>
        <v/>
      </c>
      <c r="G31" s="38">
        <f>IF(AND(B31&gt;0,F31&gt;0),(B31-F31)/F31,"")</f>
        <v/>
      </c>
      <c r="H31" s="39">
        <f>IF(AND(B31&gt;0,C31&gt;0),ABS(C31-B31)/B31,"")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'_Data'!D559</f>
        <v/>
      </c>
      <c r="C32" s="37">
        <f>'_Data'!E559</f>
        <v/>
      </c>
      <c r="D32" s="37">
        <f>'_Data'!F559</f>
        <v/>
      </c>
      <c r="E32" s="37">
        <f>'_Data'!G559</f>
        <v/>
      </c>
      <c r="F32" s="37">
        <f>'_Data'!H559</f>
        <v/>
      </c>
      <c r="G32" s="38">
        <f>IF(AND(B32&gt;0,F32&gt;0),(B32-F32)/F32,"")</f>
        <v/>
      </c>
      <c r="H32" s="39">
        <f>IF(AND(B32&gt;0,C32&gt;0),ABS(C32-B32)/B32,"")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7" t="inlineStr">
        <is>
          <t>Week</t>
        </is>
      </c>
      <c r="B35" s="67" t="inlineStr">
        <is>
          <t>Wk#</t>
        </is>
      </c>
      <c r="C35" s="67" t="inlineStr">
        <is>
          <t>Actual Regs</t>
        </is>
      </c>
      <c r="D35" s="67" t="inlineStr">
        <is>
          <t>Actual Cost</t>
        </is>
      </c>
      <c r="E35" s="67" t="inlineStr">
        <is>
          <t>Actual CPA</t>
        </is>
      </c>
      <c r="F35" s="67" t="inlineStr">
        <is>
          <t>Pred Regs</t>
        </is>
      </c>
      <c r="G35" s="67" t="inlineStr">
        <is>
          <t>CI Low</t>
        </is>
      </c>
      <c r="H35" s="67" t="inlineStr">
        <is>
          <t>CI High</t>
        </is>
      </c>
      <c r="I35" s="67" t="inlineStr">
        <is>
          <t>Confidence</t>
        </is>
      </c>
      <c r="J35" s="67" t="inlineStr">
        <is>
          <t>Error %</t>
        </is>
      </c>
      <c r="K35" s="67" t="inlineStr">
        <is>
          <t>Within CI</t>
        </is>
      </c>
      <c r="L35" s="67" t="inlineStr">
        <is>
          <t>WoW Δ%</t>
        </is>
      </c>
      <c r="M35" s="67" t="inlineStr">
        <is>
          <t>Brand Regs</t>
        </is>
      </c>
      <c r="N35" s="6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'_Data'!D106</f>
        <v/>
      </c>
      <c r="D36" s="51">
        <f>'_Data'!E106</f>
        <v/>
      </c>
      <c r="E36" s="52">
        <f>'_Data'!F106</f>
        <v/>
      </c>
      <c r="F36" s="42">
        <f>'_Data'!G106</f>
        <v/>
      </c>
      <c r="G36" s="42">
        <f>'_Data'!H106</f>
        <v/>
      </c>
      <c r="H36" s="42">
        <f>'_Data'!I106</f>
        <v/>
      </c>
      <c r="I36" s="45">
        <f>'_Data'!J106</f>
        <v/>
      </c>
      <c r="J36" s="44">
        <f>IF(AND(C36&gt;0,F36&gt;0),ABS(F36-C36)/C36,"")</f>
        <v/>
      </c>
      <c r="K36" s="41">
        <f>IF(AND(C36&gt;0,G36&gt;0),IF(AND(C36&gt;=G36,C36&lt;=H36),"✓","✗"),"")</f>
        <v/>
      </c>
      <c r="L36" s="41" t="n"/>
      <c r="M36" s="42">
        <f>'_Data'!K106</f>
        <v/>
      </c>
      <c r="N36" s="42">
        <f>'_Data'!L106</f>
        <v/>
      </c>
    </row>
    <row r="37">
      <c r="A37" s="46" t="inlineStr">
        <is>
          <t>2026 W2</t>
        </is>
      </c>
      <c r="B37" s="46" t="n">
        <v>2</v>
      </c>
      <c r="C37" s="47">
        <f>'_Data'!D107</f>
        <v/>
      </c>
      <c r="D37" s="53">
        <f>'_Data'!E107</f>
        <v/>
      </c>
      <c r="E37" s="54">
        <f>'_Data'!F107</f>
        <v/>
      </c>
      <c r="F37" s="47">
        <f>'_Data'!G107</f>
        <v/>
      </c>
      <c r="G37" s="47">
        <f>'_Data'!H107</f>
        <v/>
      </c>
      <c r="H37" s="47">
        <f>'_Data'!I107</f>
        <v/>
      </c>
      <c r="I37" s="50">
        <f>'_Data'!J107</f>
        <v/>
      </c>
      <c r="J37" s="49">
        <f>IF(AND(C37&gt;0,F37&gt;0),ABS(F37-C37)/C37,"")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'_Data'!K107</f>
        <v/>
      </c>
      <c r="N37" s="47">
        <f>'_Data'!L107</f>
        <v/>
      </c>
    </row>
    <row r="38">
      <c r="A38" s="41" t="inlineStr">
        <is>
          <t>2026 W3</t>
        </is>
      </c>
      <c r="B38" s="41" t="n">
        <v>3</v>
      </c>
      <c r="C38" s="42">
        <f>'_Data'!D108</f>
        <v/>
      </c>
      <c r="D38" s="51">
        <f>'_Data'!E108</f>
        <v/>
      </c>
      <c r="E38" s="52">
        <f>'_Data'!F108</f>
        <v/>
      </c>
      <c r="F38" s="42">
        <f>'_Data'!G108</f>
        <v/>
      </c>
      <c r="G38" s="42">
        <f>'_Data'!H108</f>
        <v/>
      </c>
      <c r="H38" s="42">
        <f>'_Data'!I108</f>
        <v/>
      </c>
      <c r="I38" s="45">
        <f>'_Data'!J108</f>
        <v/>
      </c>
      <c r="J38" s="44">
        <f>IF(AND(C38&gt;0,F38&gt;0),ABS(F38-C38)/C38,"")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'_Data'!K108</f>
        <v/>
      </c>
      <c r="N38" s="42">
        <f>'_Data'!L108</f>
        <v/>
      </c>
    </row>
    <row r="39">
      <c r="A39" s="46" t="inlineStr">
        <is>
          <t>2026 W4</t>
        </is>
      </c>
      <c r="B39" s="46" t="n">
        <v>4</v>
      </c>
      <c r="C39" s="47">
        <f>'_Data'!D109</f>
        <v/>
      </c>
      <c r="D39" s="53">
        <f>'_Data'!E109</f>
        <v/>
      </c>
      <c r="E39" s="54">
        <f>'_Data'!F109</f>
        <v/>
      </c>
      <c r="F39" s="47">
        <f>'_Data'!G109</f>
        <v/>
      </c>
      <c r="G39" s="47">
        <f>'_Data'!H109</f>
        <v/>
      </c>
      <c r="H39" s="47">
        <f>'_Data'!I109</f>
        <v/>
      </c>
      <c r="I39" s="50">
        <f>'_Data'!J109</f>
        <v/>
      </c>
      <c r="J39" s="49">
        <f>IF(AND(C39&gt;0,F39&gt;0),ABS(F39-C39)/C39,"")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'_Data'!K109</f>
        <v/>
      </c>
      <c r="N39" s="47">
        <f>'_Data'!L109</f>
        <v/>
      </c>
    </row>
    <row r="40">
      <c r="A40" s="41" t="inlineStr">
        <is>
          <t>2026 W5</t>
        </is>
      </c>
      <c r="B40" s="41" t="n">
        <v>5</v>
      </c>
      <c r="C40" s="42">
        <f>'_Data'!D110</f>
        <v/>
      </c>
      <c r="D40" s="51">
        <f>'_Data'!E110</f>
        <v/>
      </c>
      <c r="E40" s="52">
        <f>'_Data'!F110</f>
        <v/>
      </c>
      <c r="F40" s="42">
        <f>'_Data'!G110</f>
        <v/>
      </c>
      <c r="G40" s="42">
        <f>'_Data'!H110</f>
        <v/>
      </c>
      <c r="H40" s="42">
        <f>'_Data'!I110</f>
        <v/>
      </c>
      <c r="I40" s="45">
        <f>'_Data'!J110</f>
        <v/>
      </c>
      <c r="J40" s="44">
        <f>IF(AND(C40&gt;0,F40&gt;0),ABS(F40-C40)/C40,"")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'_Data'!K110</f>
        <v/>
      </c>
      <c r="N40" s="42">
        <f>'_Data'!L110</f>
        <v/>
      </c>
    </row>
    <row r="41">
      <c r="A41" s="46" t="inlineStr">
        <is>
          <t>2026 W6</t>
        </is>
      </c>
      <c r="B41" s="46" t="n">
        <v>6</v>
      </c>
      <c r="C41" s="47">
        <f>'_Data'!D111</f>
        <v/>
      </c>
      <c r="D41" s="53">
        <f>'_Data'!E111</f>
        <v/>
      </c>
      <c r="E41" s="54">
        <f>'_Data'!F111</f>
        <v/>
      </c>
      <c r="F41" s="47">
        <f>'_Data'!G111</f>
        <v/>
      </c>
      <c r="G41" s="47">
        <f>'_Data'!H111</f>
        <v/>
      </c>
      <c r="H41" s="47">
        <f>'_Data'!I111</f>
        <v/>
      </c>
      <c r="I41" s="50">
        <f>'_Data'!J111</f>
        <v/>
      </c>
      <c r="J41" s="49">
        <f>IF(AND(C41&gt;0,F41&gt;0),ABS(F41-C41)/C41,"")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'_Data'!K111</f>
        <v/>
      </c>
      <c r="N41" s="47">
        <f>'_Data'!L111</f>
        <v/>
      </c>
    </row>
    <row r="42">
      <c r="A42" s="41" t="inlineStr">
        <is>
          <t>2026 W7</t>
        </is>
      </c>
      <c r="B42" s="41" t="n">
        <v>7</v>
      </c>
      <c r="C42" s="42">
        <f>'_Data'!D112</f>
        <v/>
      </c>
      <c r="D42" s="51">
        <f>'_Data'!E112</f>
        <v/>
      </c>
      <c r="E42" s="52">
        <f>'_Data'!F112</f>
        <v/>
      </c>
      <c r="F42" s="42">
        <f>'_Data'!G112</f>
        <v/>
      </c>
      <c r="G42" s="42">
        <f>'_Data'!H112</f>
        <v/>
      </c>
      <c r="H42" s="42">
        <f>'_Data'!I112</f>
        <v/>
      </c>
      <c r="I42" s="45">
        <f>'_Data'!J112</f>
        <v/>
      </c>
      <c r="J42" s="44">
        <f>IF(AND(C42&gt;0,F42&gt;0),ABS(F42-C42)/C42,"")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'_Data'!K112</f>
        <v/>
      </c>
      <c r="N42" s="42">
        <f>'_Data'!L112</f>
        <v/>
      </c>
    </row>
    <row r="43">
      <c r="A43" s="46" t="inlineStr">
        <is>
          <t>2026 W8</t>
        </is>
      </c>
      <c r="B43" s="46" t="n">
        <v>8</v>
      </c>
      <c r="C43" s="47">
        <f>'_Data'!D113</f>
        <v/>
      </c>
      <c r="D43" s="53">
        <f>'_Data'!E113</f>
        <v/>
      </c>
      <c r="E43" s="54">
        <f>'_Data'!F113</f>
        <v/>
      </c>
      <c r="F43" s="47">
        <f>'_Data'!G113</f>
        <v/>
      </c>
      <c r="G43" s="47">
        <f>'_Data'!H113</f>
        <v/>
      </c>
      <c r="H43" s="47">
        <f>'_Data'!I113</f>
        <v/>
      </c>
      <c r="I43" s="50">
        <f>'_Data'!J113</f>
        <v/>
      </c>
      <c r="J43" s="49">
        <f>IF(AND(C43&gt;0,F43&gt;0),ABS(F43-C43)/C43,"")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'_Data'!K113</f>
        <v/>
      </c>
      <c r="N43" s="47">
        <f>'_Data'!L113</f>
        <v/>
      </c>
    </row>
    <row r="44">
      <c r="A44" s="41" t="inlineStr">
        <is>
          <t>2026 W9</t>
        </is>
      </c>
      <c r="B44" s="41" t="n">
        <v>9</v>
      </c>
      <c r="C44" s="42">
        <f>'_Data'!D114</f>
        <v/>
      </c>
      <c r="D44" s="51">
        <f>'_Data'!E114</f>
        <v/>
      </c>
      <c r="E44" s="52">
        <f>'_Data'!F114</f>
        <v/>
      </c>
      <c r="F44" s="42">
        <f>'_Data'!G114</f>
        <v/>
      </c>
      <c r="G44" s="42">
        <f>'_Data'!H114</f>
        <v/>
      </c>
      <c r="H44" s="42">
        <f>'_Data'!I114</f>
        <v/>
      </c>
      <c r="I44" s="45">
        <f>'_Data'!J114</f>
        <v/>
      </c>
      <c r="J44" s="44">
        <f>IF(AND(C44&gt;0,F44&gt;0),ABS(F44-C44)/C44,"")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'_Data'!K114</f>
        <v/>
      </c>
      <c r="N44" s="42">
        <f>'_Data'!L114</f>
        <v/>
      </c>
    </row>
    <row r="45">
      <c r="A45" s="46" t="inlineStr">
        <is>
          <t>2026 W10</t>
        </is>
      </c>
      <c r="B45" s="46" t="n">
        <v>10</v>
      </c>
      <c r="C45" s="47">
        <f>'_Data'!D115</f>
        <v/>
      </c>
      <c r="D45" s="53">
        <f>'_Data'!E115</f>
        <v/>
      </c>
      <c r="E45" s="54">
        <f>'_Data'!F115</f>
        <v/>
      </c>
      <c r="F45" s="47">
        <f>'_Data'!G115</f>
        <v/>
      </c>
      <c r="G45" s="47">
        <f>'_Data'!H115</f>
        <v/>
      </c>
      <c r="H45" s="47">
        <f>'_Data'!I115</f>
        <v/>
      </c>
      <c r="I45" s="50">
        <f>'_Data'!J115</f>
        <v/>
      </c>
      <c r="J45" s="49">
        <f>IF(AND(C45&gt;0,F45&gt;0),ABS(F45-C45)/C45,"")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'_Data'!K115</f>
        <v/>
      </c>
      <c r="N45" s="47">
        <f>'_Data'!L115</f>
        <v/>
      </c>
    </row>
    <row r="46">
      <c r="A46" s="41" t="inlineStr">
        <is>
          <t>2026 W11</t>
        </is>
      </c>
      <c r="B46" s="41" t="n">
        <v>11</v>
      </c>
      <c r="C46" s="42">
        <f>'_Data'!D116</f>
        <v/>
      </c>
      <c r="D46" s="51">
        <f>'_Data'!E116</f>
        <v/>
      </c>
      <c r="E46" s="52">
        <f>'_Data'!F116</f>
        <v/>
      </c>
      <c r="F46" s="42">
        <f>'_Data'!G116</f>
        <v/>
      </c>
      <c r="G46" s="42">
        <f>'_Data'!H116</f>
        <v/>
      </c>
      <c r="H46" s="42">
        <f>'_Data'!I116</f>
        <v/>
      </c>
      <c r="I46" s="45">
        <f>'_Data'!J116</f>
        <v/>
      </c>
      <c r="J46" s="44">
        <f>IF(AND(C46&gt;0,F46&gt;0),ABS(F46-C46)/C46,"")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'_Data'!K116</f>
        <v/>
      </c>
      <c r="N46" s="42">
        <f>'_Data'!L116</f>
        <v/>
      </c>
    </row>
    <row r="47">
      <c r="A47" s="46" t="inlineStr">
        <is>
          <t>2026 W12</t>
        </is>
      </c>
      <c r="B47" s="46" t="n">
        <v>12</v>
      </c>
      <c r="C47" s="47">
        <f>'_Data'!D117</f>
        <v/>
      </c>
      <c r="D47" s="53">
        <f>'_Data'!E117</f>
        <v/>
      </c>
      <c r="E47" s="54">
        <f>'_Data'!F117</f>
        <v/>
      </c>
      <c r="F47" s="47">
        <f>'_Data'!G117</f>
        <v/>
      </c>
      <c r="G47" s="47">
        <f>'_Data'!H117</f>
        <v/>
      </c>
      <c r="H47" s="47">
        <f>'_Data'!I117</f>
        <v/>
      </c>
      <c r="I47" s="50">
        <f>'_Data'!J117</f>
        <v/>
      </c>
      <c r="J47" s="49">
        <f>IF(AND(C47&gt;0,F47&gt;0),ABS(F47-C47)/C47,"")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'_Data'!K117</f>
        <v/>
      </c>
      <c r="N47" s="47">
        <f>'_Data'!L117</f>
        <v/>
      </c>
    </row>
    <row r="48">
      <c r="A48" s="41" t="inlineStr">
        <is>
          <t>2026 W13</t>
        </is>
      </c>
      <c r="B48" s="41" t="n">
        <v>13</v>
      </c>
      <c r="C48" s="42">
        <f>'_Data'!D118</f>
        <v/>
      </c>
      <c r="D48" s="51">
        <f>'_Data'!E118</f>
        <v/>
      </c>
      <c r="E48" s="52">
        <f>'_Data'!F118</f>
        <v/>
      </c>
      <c r="F48" s="42">
        <f>'_Data'!G118</f>
        <v/>
      </c>
      <c r="G48" s="42">
        <f>'_Data'!H118</f>
        <v/>
      </c>
      <c r="H48" s="42">
        <f>'_Data'!I118</f>
        <v/>
      </c>
      <c r="I48" s="45">
        <f>'_Data'!J118</f>
        <v/>
      </c>
      <c r="J48" s="44">
        <f>IF(AND(C48&gt;0,F48&gt;0),ABS(F48-C48)/C48,"")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'_Data'!K118</f>
        <v/>
      </c>
      <c r="N48" s="42">
        <f>'_Data'!L118</f>
        <v/>
      </c>
    </row>
    <row r="49">
      <c r="A49" s="46" t="inlineStr">
        <is>
          <t>2026 W14</t>
        </is>
      </c>
      <c r="B49" s="46" t="n">
        <v>14</v>
      </c>
      <c r="C49" s="47">
        <f>'_Data'!D119</f>
        <v/>
      </c>
      <c r="D49" s="53">
        <f>'_Data'!E119</f>
        <v/>
      </c>
      <c r="E49" s="54">
        <f>'_Data'!F119</f>
        <v/>
      </c>
      <c r="F49" s="47">
        <f>'_Data'!G119</f>
        <v/>
      </c>
      <c r="G49" s="47">
        <f>'_Data'!H119</f>
        <v/>
      </c>
      <c r="H49" s="47">
        <f>'_Data'!I119</f>
        <v/>
      </c>
      <c r="I49" s="50">
        <f>'_Data'!J119</f>
        <v/>
      </c>
      <c r="J49" s="49">
        <f>IF(AND(C49&gt;0,F49&gt;0),ABS(F49-C49)/C49,"")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'_Data'!K119</f>
        <v/>
      </c>
      <c r="N49" s="47">
        <f>'_Data'!L119</f>
        <v/>
      </c>
    </row>
    <row r="50">
      <c r="A50" s="41" t="inlineStr">
        <is>
          <t>2026 W15</t>
        </is>
      </c>
      <c r="B50" s="41" t="n">
        <v>15</v>
      </c>
      <c r="C50" s="42">
        <f>'_Data'!D120</f>
        <v/>
      </c>
      <c r="D50" s="51">
        <f>'_Data'!E120</f>
        <v/>
      </c>
      <c r="E50" s="52">
        <f>'_Data'!F120</f>
        <v/>
      </c>
      <c r="F50" s="42">
        <f>'_Data'!G120</f>
        <v/>
      </c>
      <c r="G50" s="42">
        <f>'_Data'!H120</f>
        <v/>
      </c>
      <c r="H50" s="42">
        <f>'_Data'!I120</f>
        <v/>
      </c>
      <c r="I50" s="45">
        <f>'_Data'!J120</f>
        <v/>
      </c>
      <c r="J50" s="44">
        <f>IF(AND(C50&gt;0,F50&gt;0),ABS(F50-C50)/C50,"")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'_Data'!K120</f>
        <v/>
      </c>
      <c r="N50" s="42">
        <f>'_Data'!L120</f>
        <v/>
      </c>
    </row>
    <row r="51">
      <c r="A51" s="36" t="inlineStr">
        <is>
          <t>2026 W16</t>
        </is>
      </c>
      <c r="B51" s="36" t="n">
        <v>16</v>
      </c>
      <c r="C51" s="36">
        <f>'_Data'!D121</f>
        <v/>
      </c>
      <c r="D51" s="36">
        <f>'_Data'!E121</f>
        <v/>
      </c>
      <c r="E51" s="36">
        <f>'_Data'!F121</f>
        <v/>
      </c>
      <c r="F51" s="37">
        <f>'_Data'!G121</f>
        <v/>
      </c>
      <c r="G51" s="37">
        <f>'_Data'!H121</f>
        <v/>
      </c>
      <c r="H51" s="37">
        <f>'_Data'!I121</f>
        <v/>
      </c>
      <c r="I51" s="40">
        <f>'_Data'!J121</f>
        <v/>
      </c>
      <c r="J51" s="39">
        <f>IF(AND(C51&gt;0,F51&gt;0),ABS(F51-C51)/C51,"")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'_Data'!K121</f>
        <v/>
      </c>
      <c r="N51" s="36">
        <f>'_Data'!L121</f>
        <v/>
      </c>
    </row>
    <row r="52">
      <c r="A52" s="36" t="inlineStr">
        <is>
          <t>2026 W17</t>
        </is>
      </c>
      <c r="B52" s="36" t="n">
        <v>17</v>
      </c>
      <c r="C52" s="36">
        <f>'_Data'!D122</f>
        <v/>
      </c>
      <c r="D52" s="36">
        <f>'_Data'!E122</f>
        <v/>
      </c>
      <c r="E52" s="36">
        <f>'_Data'!F122</f>
        <v/>
      </c>
      <c r="F52" s="37">
        <f>'_Data'!G122</f>
        <v/>
      </c>
      <c r="G52" s="37">
        <f>'_Data'!H122</f>
        <v/>
      </c>
      <c r="H52" s="37">
        <f>'_Data'!I122</f>
        <v/>
      </c>
      <c r="I52" s="40">
        <f>'_Data'!J122</f>
        <v/>
      </c>
      <c r="J52" s="39">
        <f>IF(AND(C52&gt;0,F52&gt;0),ABS(F52-C52)/C52,"")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'_Data'!K122</f>
        <v/>
      </c>
      <c r="N52" s="36">
        <f>'_Data'!L122</f>
        <v/>
      </c>
    </row>
    <row r="53">
      <c r="A53" s="36" t="inlineStr">
        <is>
          <t>2026 W18</t>
        </is>
      </c>
      <c r="B53" s="36" t="n">
        <v>18</v>
      </c>
      <c r="C53" s="36">
        <f>'_Data'!D123</f>
        <v/>
      </c>
      <c r="D53" s="36">
        <f>'_Data'!E123</f>
        <v/>
      </c>
      <c r="E53" s="36">
        <f>'_Data'!F123</f>
        <v/>
      </c>
      <c r="F53" s="37">
        <f>'_Data'!G123</f>
        <v/>
      </c>
      <c r="G53" s="37">
        <f>'_Data'!H123</f>
        <v/>
      </c>
      <c r="H53" s="37">
        <f>'_Data'!I123</f>
        <v/>
      </c>
      <c r="I53" s="40">
        <f>'_Data'!J123</f>
        <v/>
      </c>
      <c r="J53" s="39">
        <f>IF(AND(C53&gt;0,F53&gt;0),ABS(F53-C53)/C53,"")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'_Data'!K123</f>
        <v/>
      </c>
      <c r="N53" s="36">
        <f>'_Data'!L123</f>
        <v/>
      </c>
    </row>
    <row r="54">
      <c r="A54" s="36" t="inlineStr">
        <is>
          <t>2026 W19</t>
        </is>
      </c>
      <c r="B54" s="36" t="n">
        <v>19</v>
      </c>
      <c r="C54" s="36">
        <f>'_Data'!D124</f>
        <v/>
      </c>
      <c r="D54" s="36">
        <f>'_Data'!E124</f>
        <v/>
      </c>
      <c r="E54" s="36">
        <f>'_Data'!F124</f>
        <v/>
      </c>
      <c r="F54" s="37">
        <f>'_Data'!G124</f>
        <v/>
      </c>
      <c r="G54" s="37">
        <f>'_Data'!H124</f>
        <v/>
      </c>
      <c r="H54" s="37">
        <f>'_Data'!I124</f>
        <v/>
      </c>
      <c r="I54" s="40">
        <f>'_Data'!J124</f>
        <v/>
      </c>
      <c r="J54" s="39">
        <f>IF(AND(C54&gt;0,F54&gt;0),ABS(F54-C54)/C54,"")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'_Data'!K124</f>
        <v/>
      </c>
      <c r="N54" s="36">
        <f>'_Data'!L124</f>
        <v/>
      </c>
    </row>
    <row r="55">
      <c r="A55" s="36" t="inlineStr">
        <is>
          <t>2026 W20</t>
        </is>
      </c>
      <c r="B55" s="36" t="n">
        <v>20</v>
      </c>
      <c r="C55" s="36">
        <f>'_Data'!D125</f>
        <v/>
      </c>
      <c r="D55" s="36">
        <f>'_Data'!E125</f>
        <v/>
      </c>
      <c r="E55" s="36">
        <f>'_Data'!F125</f>
        <v/>
      </c>
      <c r="F55" s="37">
        <f>'_Data'!G125</f>
        <v/>
      </c>
      <c r="G55" s="37">
        <f>'_Data'!H125</f>
        <v/>
      </c>
      <c r="H55" s="37">
        <f>'_Data'!I125</f>
        <v/>
      </c>
      <c r="I55" s="40">
        <f>'_Data'!J125</f>
        <v/>
      </c>
      <c r="J55" s="39">
        <f>IF(AND(C55&gt;0,F55&gt;0),ABS(F55-C55)/C55,"")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'_Data'!K125</f>
        <v/>
      </c>
      <c r="N55" s="36">
        <f>'_Data'!L125</f>
        <v/>
      </c>
    </row>
    <row r="56">
      <c r="A56" s="36" t="inlineStr">
        <is>
          <t>2026 W21</t>
        </is>
      </c>
      <c r="B56" s="36" t="n">
        <v>21</v>
      </c>
      <c r="C56" s="36">
        <f>'_Data'!D126</f>
        <v/>
      </c>
      <c r="D56" s="36">
        <f>'_Data'!E126</f>
        <v/>
      </c>
      <c r="E56" s="36">
        <f>'_Data'!F126</f>
        <v/>
      </c>
      <c r="F56" s="37">
        <f>'_Data'!G126</f>
        <v/>
      </c>
      <c r="G56" s="37">
        <f>'_Data'!H126</f>
        <v/>
      </c>
      <c r="H56" s="37">
        <f>'_Data'!I126</f>
        <v/>
      </c>
      <c r="I56" s="40">
        <f>'_Data'!J126</f>
        <v/>
      </c>
      <c r="J56" s="39">
        <f>IF(AND(C56&gt;0,F56&gt;0),ABS(F56-C56)/C56,"")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'_Data'!K126</f>
        <v/>
      </c>
      <c r="N56" s="36">
        <f>'_Data'!L126</f>
        <v/>
      </c>
    </row>
    <row r="57">
      <c r="A57" s="36" t="inlineStr">
        <is>
          <t>2026 W22</t>
        </is>
      </c>
      <c r="B57" s="36" t="n">
        <v>22</v>
      </c>
      <c r="C57" s="36">
        <f>'_Data'!D127</f>
        <v/>
      </c>
      <c r="D57" s="36">
        <f>'_Data'!E127</f>
        <v/>
      </c>
      <c r="E57" s="36">
        <f>'_Data'!F127</f>
        <v/>
      </c>
      <c r="F57" s="37">
        <f>'_Data'!G127</f>
        <v/>
      </c>
      <c r="G57" s="37">
        <f>'_Data'!H127</f>
        <v/>
      </c>
      <c r="H57" s="37">
        <f>'_Data'!I127</f>
        <v/>
      </c>
      <c r="I57" s="40">
        <f>'_Data'!J127</f>
        <v/>
      </c>
      <c r="J57" s="39">
        <f>IF(AND(C57&gt;0,F57&gt;0),ABS(F57-C57)/C57,"")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'_Data'!K127</f>
        <v/>
      </c>
      <c r="N57" s="36">
        <f>'_Data'!L127</f>
        <v/>
      </c>
    </row>
    <row r="58">
      <c r="A58" s="36" t="inlineStr">
        <is>
          <t>2026 W23</t>
        </is>
      </c>
      <c r="B58" s="36" t="n">
        <v>23</v>
      </c>
      <c r="C58" s="36">
        <f>'_Data'!D128</f>
        <v/>
      </c>
      <c r="D58" s="36">
        <f>'_Data'!E128</f>
        <v/>
      </c>
      <c r="E58" s="36">
        <f>'_Data'!F128</f>
        <v/>
      </c>
      <c r="F58" s="37">
        <f>'_Data'!G128</f>
        <v/>
      </c>
      <c r="G58" s="37">
        <f>'_Data'!H128</f>
        <v/>
      </c>
      <c r="H58" s="37">
        <f>'_Data'!I128</f>
        <v/>
      </c>
      <c r="I58" s="40">
        <f>'_Data'!J128</f>
        <v/>
      </c>
      <c r="J58" s="39">
        <f>IF(AND(C58&gt;0,F58&gt;0),ABS(F58-C58)/C58,"")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'_Data'!K128</f>
        <v/>
      </c>
      <c r="N58" s="36">
        <f>'_Data'!L128</f>
        <v/>
      </c>
    </row>
    <row r="59">
      <c r="A59" s="36" t="inlineStr">
        <is>
          <t>2026 W24</t>
        </is>
      </c>
      <c r="B59" s="36" t="n">
        <v>24</v>
      </c>
      <c r="C59" s="36">
        <f>'_Data'!D129</f>
        <v/>
      </c>
      <c r="D59" s="36">
        <f>'_Data'!E129</f>
        <v/>
      </c>
      <c r="E59" s="36">
        <f>'_Data'!F129</f>
        <v/>
      </c>
      <c r="F59" s="37">
        <f>'_Data'!G129</f>
        <v/>
      </c>
      <c r="G59" s="37">
        <f>'_Data'!H129</f>
        <v/>
      </c>
      <c r="H59" s="37">
        <f>'_Data'!I129</f>
        <v/>
      </c>
      <c r="I59" s="40">
        <f>'_Data'!J129</f>
        <v/>
      </c>
      <c r="J59" s="39">
        <f>IF(AND(C59&gt;0,F59&gt;0),ABS(F59-C59)/C59,"")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'_Data'!K129</f>
        <v/>
      </c>
      <c r="N59" s="36">
        <f>'_Data'!L129</f>
        <v/>
      </c>
    </row>
    <row r="60">
      <c r="A60" s="36" t="inlineStr">
        <is>
          <t>2026 W25</t>
        </is>
      </c>
      <c r="B60" s="36" t="n">
        <v>25</v>
      </c>
      <c r="C60" s="36">
        <f>'_Data'!D130</f>
        <v/>
      </c>
      <c r="D60" s="36">
        <f>'_Data'!E130</f>
        <v/>
      </c>
      <c r="E60" s="36">
        <f>'_Data'!F130</f>
        <v/>
      </c>
      <c r="F60" s="37">
        <f>'_Data'!G130</f>
        <v/>
      </c>
      <c r="G60" s="37">
        <f>'_Data'!H130</f>
        <v/>
      </c>
      <c r="H60" s="37">
        <f>'_Data'!I130</f>
        <v/>
      </c>
      <c r="I60" s="40">
        <f>'_Data'!J130</f>
        <v/>
      </c>
      <c r="J60" s="39">
        <f>IF(AND(C60&gt;0,F60&gt;0),ABS(F60-C60)/C60,"")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'_Data'!K130</f>
        <v/>
      </c>
      <c r="N60" s="36">
        <f>'_Data'!L130</f>
        <v/>
      </c>
    </row>
    <row r="61">
      <c r="A61" s="36" t="inlineStr">
        <is>
          <t>2026 W26</t>
        </is>
      </c>
      <c r="B61" s="36" t="n">
        <v>26</v>
      </c>
      <c r="C61" s="36">
        <f>'_Data'!D131</f>
        <v/>
      </c>
      <c r="D61" s="36">
        <f>'_Data'!E131</f>
        <v/>
      </c>
      <c r="E61" s="36">
        <f>'_Data'!F131</f>
        <v/>
      </c>
      <c r="F61" s="37">
        <f>'_Data'!G131</f>
        <v/>
      </c>
      <c r="G61" s="37">
        <f>'_Data'!H131</f>
        <v/>
      </c>
      <c r="H61" s="37">
        <f>'_Data'!I131</f>
        <v/>
      </c>
      <c r="I61" s="40">
        <f>'_Data'!J131</f>
        <v/>
      </c>
      <c r="J61" s="39">
        <f>IF(AND(C61&gt;0,F61&gt;0),ABS(F61-C61)/C61,"")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'_Data'!K131</f>
        <v/>
      </c>
      <c r="N61" s="36">
        <f>'_Data'!L131</f>
        <v/>
      </c>
    </row>
    <row r="62">
      <c r="A62" s="36" t="inlineStr">
        <is>
          <t>2026 W27</t>
        </is>
      </c>
      <c r="B62" s="36" t="n">
        <v>27</v>
      </c>
      <c r="C62" s="36">
        <f>'_Data'!D132</f>
        <v/>
      </c>
      <c r="D62" s="36">
        <f>'_Data'!E132</f>
        <v/>
      </c>
      <c r="E62" s="36">
        <f>'_Data'!F132</f>
        <v/>
      </c>
      <c r="F62" s="37">
        <f>'_Data'!G132</f>
        <v/>
      </c>
      <c r="G62" s="37">
        <f>'_Data'!H132</f>
        <v/>
      </c>
      <c r="H62" s="37">
        <f>'_Data'!I132</f>
        <v/>
      </c>
      <c r="I62" s="40">
        <f>'_Data'!J132</f>
        <v/>
      </c>
      <c r="J62" s="39">
        <f>IF(AND(C62&gt;0,F62&gt;0),ABS(F62-C62)/C62,"")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'_Data'!K132</f>
        <v/>
      </c>
      <c r="N62" s="36">
        <f>'_Data'!L132</f>
        <v/>
      </c>
    </row>
    <row r="63">
      <c r="A63" s="36" t="inlineStr">
        <is>
          <t>2026 W28</t>
        </is>
      </c>
      <c r="B63" s="36" t="n">
        <v>28</v>
      </c>
      <c r="C63" s="36">
        <f>'_Data'!D133</f>
        <v/>
      </c>
      <c r="D63" s="36">
        <f>'_Data'!E133</f>
        <v/>
      </c>
      <c r="E63" s="36">
        <f>'_Data'!F133</f>
        <v/>
      </c>
      <c r="F63" s="37">
        <f>'_Data'!G133</f>
        <v/>
      </c>
      <c r="G63" s="37">
        <f>'_Data'!H133</f>
        <v/>
      </c>
      <c r="H63" s="37">
        <f>'_Data'!I133</f>
        <v/>
      </c>
      <c r="I63" s="40">
        <f>'_Data'!J133</f>
        <v/>
      </c>
      <c r="J63" s="39">
        <f>IF(AND(C63&gt;0,F63&gt;0),ABS(F63-C63)/C63,"")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'_Data'!K133</f>
        <v/>
      </c>
      <c r="N63" s="36">
        <f>'_Data'!L133</f>
        <v/>
      </c>
    </row>
    <row r="64">
      <c r="A64" s="36" t="inlineStr">
        <is>
          <t>2026 W29</t>
        </is>
      </c>
      <c r="B64" s="36" t="n">
        <v>29</v>
      </c>
      <c r="C64" s="36">
        <f>'_Data'!D134</f>
        <v/>
      </c>
      <c r="D64" s="36">
        <f>'_Data'!E134</f>
        <v/>
      </c>
      <c r="E64" s="36">
        <f>'_Data'!F134</f>
        <v/>
      </c>
      <c r="F64" s="37">
        <f>'_Data'!G134</f>
        <v/>
      </c>
      <c r="G64" s="37">
        <f>'_Data'!H134</f>
        <v/>
      </c>
      <c r="H64" s="37">
        <f>'_Data'!I134</f>
        <v/>
      </c>
      <c r="I64" s="40">
        <f>'_Data'!J134</f>
        <v/>
      </c>
      <c r="J64" s="39">
        <f>IF(AND(C64&gt;0,F64&gt;0),ABS(F64-C64)/C64,"")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'_Data'!K134</f>
        <v/>
      </c>
      <c r="N64" s="36">
        <f>'_Data'!L134</f>
        <v/>
      </c>
    </row>
    <row r="65">
      <c r="A65" s="36" t="inlineStr">
        <is>
          <t>2026 W30</t>
        </is>
      </c>
      <c r="B65" s="36" t="n">
        <v>30</v>
      </c>
      <c r="C65" s="36">
        <f>'_Data'!D135</f>
        <v/>
      </c>
      <c r="D65" s="36">
        <f>'_Data'!E135</f>
        <v/>
      </c>
      <c r="E65" s="36">
        <f>'_Data'!F135</f>
        <v/>
      </c>
      <c r="F65" s="37">
        <f>'_Data'!G135</f>
        <v/>
      </c>
      <c r="G65" s="37">
        <f>'_Data'!H135</f>
        <v/>
      </c>
      <c r="H65" s="37">
        <f>'_Data'!I135</f>
        <v/>
      </c>
      <c r="I65" s="40">
        <f>'_Data'!J135</f>
        <v/>
      </c>
      <c r="J65" s="39">
        <f>IF(AND(C65&gt;0,F65&gt;0),ABS(F65-C65)/C65,"")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'_Data'!K135</f>
        <v/>
      </c>
      <c r="N65" s="36">
        <f>'_Data'!L135</f>
        <v/>
      </c>
    </row>
    <row r="66">
      <c r="A66" s="36" t="inlineStr">
        <is>
          <t>2026 W31</t>
        </is>
      </c>
      <c r="B66" s="36" t="n">
        <v>31</v>
      </c>
      <c r="C66" s="36">
        <f>'_Data'!D136</f>
        <v/>
      </c>
      <c r="D66" s="36">
        <f>'_Data'!E136</f>
        <v/>
      </c>
      <c r="E66" s="36">
        <f>'_Data'!F136</f>
        <v/>
      </c>
      <c r="F66" s="37">
        <f>'_Data'!G136</f>
        <v/>
      </c>
      <c r="G66" s="37">
        <f>'_Data'!H136</f>
        <v/>
      </c>
      <c r="H66" s="37">
        <f>'_Data'!I136</f>
        <v/>
      </c>
      <c r="I66" s="40">
        <f>'_Data'!J136</f>
        <v/>
      </c>
      <c r="J66" s="39">
        <f>IF(AND(C66&gt;0,F66&gt;0),ABS(F66-C66)/C66,"")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'_Data'!K136</f>
        <v/>
      </c>
      <c r="N66" s="36">
        <f>'_Data'!L136</f>
        <v/>
      </c>
    </row>
    <row r="67">
      <c r="A67" s="36" t="inlineStr">
        <is>
          <t>2026 W32</t>
        </is>
      </c>
      <c r="B67" s="36" t="n">
        <v>32</v>
      </c>
      <c r="C67" s="36">
        <f>'_Data'!D137</f>
        <v/>
      </c>
      <c r="D67" s="36">
        <f>'_Data'!E137</f>
        <v/>
      </c>
      <c r="E67" s="36">
        <f>'_Data'!F137</f>
        <v/>
      </c>
      <c r="F67" s="37">
        <f>'_Data'!G137</f>
        <v/>
      </c>
      <c r="G67" s="37">
        <f>'_Data'!H137</f>
        <v/>
      </c>
      <c r="H67" s="37">
        <f>'_Data'!I137</f>
        <v/>
      </c>
      <c r="I67" s="40">
        <f>'_Data'!J137</f>
        <v/>
      </c>
      <c r="J67" s="39">
        <f>IF(AND(C67&gt;0,F67&gt;0),ABS(F67-C67)/C67,"")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'_Data'!K137</f>
        <v/>
      </c>
      <c r="N67" s="36">
        <f>'_Data'!L137</f>
        <v/>
      </c>
    </row>
    <row r="68">
      <c r="A68" s="36" t="inlineStr">
        <is>
          <t>2026 W33</t>
        </is>
      </c>
      <c r="B68" s="36" t="n">
        <v>33</v>
      </c>
      <c r="C68" s="36">
        <f>'_Data'!D138</f>
        <v/>
      </c>
      <c r="D68" s="36">
        <f>'_Data'!E138</f>
        <v/>
      </c>
      <c r="E68" s="36">
        <f>'_Data'!F138</f>
        <v/>
      </c>
      <c r="F68" s="37">
        <f>'_Data'!G138</f>
        <v/>
      </c>
      <c r="G68" s="37">
        <f>'_Data'!H138</f>
        <v/>
      </c>
      <c r="H68" s="37">
        <f>'_Data'!I138</f>
        <v/>
      </c>
      <c r="I68" s="40">
        <f>'_Data'!J138</f>
        <v/>
      </c>
      <c r="J68" s="39">
        <f>IF(AND(C68&gt;0,F68&gt;0),ABS(F68-C68)/C68,"")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'_Data'!K138</f>
        <v/>
      </c>
      <c r="N68" s="36">
        <f>'_Data'!L138</f>
        <v/>
      </c>
    </row>
    <row r="69">
      <c r="A69" s="36" t="inlineStr">
        <is>
          <t>2026 W34</t>
        </is>
      </c>
      <c r="B69" s="36" t="n">
        <v>34</v>
      </c>
      <c r="C69" s="36">
        <f>'_Data'!D139</f>
        <v/>
      </c>
      <c r="D69" s="36">
        <f>'_Data'!E139</f>
        <v/>
      </c>
      <c r="E69" s="36">
        <f>'_Data'!F139</f>
        <v/>
      </c>
      <c r="F69" s="37">
        <f>'_Data'!G139</f>
        <v/>
      </c>
      <c r="G69" s="37">
        <f>'_Data'!H139</f>
        <v/>
      </c>
      <c r="H69" s="37">
        <f>'_Data'!I139</f>
        <v/>
      </c>
      <c r="I69" s="40">
        <f>'_Data'!J139</f>
        <v/>
      </c>
      <c r="J69" s="39">
        <f>IF(AND(C69&gt;0,F69&gt;0),ABS(F69-C69)/C69,"")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'_Data'!K139</f>
        <v/>
      </c>
      <c r="N69" s="36">
        <f>'_Data'!L139</f>
        <v/>
      </c>
    </row>
    <row r="70">
      <c r="A70" s="36" t="inlineStr">
        <is>
          <t>2026 W35</t>
        </is>
      </c>
      <c r="B70" s="36" t="n">
        <v>35</v>
      </c>
      <c r="C70" s="36">
        <f>'_Data'!D140</f>
        <v/>
      </c>
      <c r="D70" s="36">
        <f>'_Data'!E140</f>
        <v/>
      </c>
      <c r="E70" s="36">
        <f>'_Data'!F140</f>
        <v/>
      </c>
      <c r="F70" s="37">
        <f>'_Data'!G140</f>
        <v/>
      </c>
      <c r="G70" s="37">
        <f>'_Data'!H140</f>
        <v/>
      </c>
      <c r="H70" s="37">
        <f>'_Data'!I140</f>
        <v/>
      </c>
      <c r="I70" s="40">
        <f>'_Data'!J140</f>
        <v/>
      </c>
      <c r="J70" s="39">
        <f>IF(AND(C70&gt;0,F70&gt;0),ABS(F70-C70)/C70,"")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'_Data'!K140</f>
        <v/>
      </c>
      <c r="N70" s="36">
        <f>'_Data'!L140</f>
        <v/>
      </c>
    </row>
    <row r="71">
      <c r="A71" s="36" t="inlineStr">
        <is>
          <t>2026 W36</t>
        </is>
      </c>
      <c r="B71" s="36" t="n">
        <v>36</v>
      </c>
      <c r="C71" s="36">
        <f>'_Data'!D141</f>
        <v/>
      </c>
      <c r="D71" s="36">
        <f>'_Data'!E141</f>
        <v/>
      </c>
      <c r="E71" s="36">
        <f>'_Data'!F141</f>
        <v/>
      </c>
      <c r="F71" s="37">
        <f>'_Data'!G141</f>
        <v/>
      </c>
      <c r="G71" s="37">
        <f>'_Data'!H141</f>
        <v/>
      </c>
      <c r="H71" s="37">
        <f>'_Data'!I141</f>
        <v/>
      </c>
      <c r="I71" s="40">
        <f>'_Data'!J141</f>
        <v/>
      </c>
      <c r="J71" s="39">
        <f>IF(AND(C71&gt;0,F71&gt;0),ABS(F71-C71)/C71,"")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'_Data'!K141</f>
        <v/>
      </c>
      <c r="N71" s="36">
        <f>'_Data'!L141</f>
        <v/>
      </c>
    </row>
    <row r="72">
      <c r="A72" s="36" t="inlineStr">
        <is>
          <t>2026 W37</t>
        </is>
      </c>
      <c r="B72" s="36" t="n">
        <v>37</v>
      </c>
      <c r="C72" s="36">
        <f>'_Data'!D142</f>
        <v/>
      </c>
      <c r="D72" s="36">
        <f>'_Data'!E142</f>
        <v/>
      </c>
      <c r="E72" s="36">
        <f>'_Data'!F142</f>
        <v/>
      </c>
      <c r="F72" s="37">
        <f>'_Data'!G142</f>
        <v/>
      </c>
      <c r="G72" s="37">
        <f>'_Data'!H142</f>
        <v/>
      </c>
      <c r="H72" s="37">
        <f>'_Data'!I142</f>
        <v/>
      </c>
      <c r="I72" s="40">
        <f>'_Data'!J142</f>
        <v/>
      </c>
      <c r="J72" s="39">
        <f>IF(AND(C72&gt;0,F72&gt;0),ABS(F72-C72)/C72,"")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'_Data'!K142</f>
        <v/>
      </c>
      <c r="N72" s="36">
        <f>'_Data'!L142</f>
        <v/>
      </c>
    </row>
    <row r="73">
      <c r="A73" s="36" t="inlineStr">
        <is>
          <t>2026 W38</t>
        </is>
      </c>
      <c r="B73" s="36" t="n">
        <v>38</v>
      </c>
      <c r="C73" s="36">
        <f>'_Data'!D143</f>
        <v/>
      </c>
      <c r="D73" s="36">
        <f>'_Data'!E143</f>
        <v/>
      </c>
      <c r="E73" s="36">
        <f>'_Data'!F143</f>
        <v/>
      </c>
      <c r="F73" s="37">
        <f>'_Data'!G143</f>
        <v/>
      </c>
      <c r="G73" s="37">
        <f>'_Data'!H143</f>
        <v/>
      </c>
      <c r="H73" s="37">
        <f>'_Data'!I143</f>
        <v/>
      </c>
      <c r="I73" s="40">
        <f>'_Data'!J143</f>
        <v/>
      </c>
      <c r="J73" s="39">
        <f>IF(AND(C73&gt;0,F73&gt;0),ABS(F73-C73)/C73,"")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'_Data'!K143</f>
        <v/>
      </c>
      <c r="N73" s="36">
        <f>'_Data'!L143</f>
        <v/>
      </c>
    </row>
    <row r="74">
      <c r="A74" s="36" t="inlineStr">
        <is>
          <t>2026 W39</t>
        </is>
      </c>
      <c r="B74" s="36" t="n">
        <v>39</v>
      </c>
      <c r="C74" s="36">
        <f>'_Data'!D144</f>
        <v/>
      </c>
      <c r="D74" s="36">
        <f>'_Data'!E144</f>
        <v/>
      </c>
      <c r="E74" s="36">
        <f>'_Data'!F144</f>
        <v/>
      </c>
      <c r="F74" s="37">
        <f>'_Data'!G144</f>
        <v/>
      </c>
      <c r="G74" s="37">
        <f>'_Data'!H144</f>
        <v/>
      </c>
      <c r="H74" s="37">
        <f>'_Data'!I144</f>
        <v/>
      </c>
      <c r="I74" s="40">
        <f>'_Data'!J144</f>
        <v/>
      </c>
      <c r="J74" s="39">
        <f>IF(AND(C74&gt;0,F74&gt;0),ABS(F74-C74)/C74,"")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'_Data'!K144</f>
        <v/>
      </c>
      <c r="N74" s="36">
        <f>'_Data'!L144</f>
        <v/>
      </c>
    </row>
    <row r="75">
      <c r="A75" s="36" t="inlineStr">
        <is>
          <t>2026 W40</t>
        </is>
      </c>
      <c r="B75" s="36" t="n">
        <v>40</v>
      </c>
      <c r="C75" s="36">
        <f>'_Data'!D145</f>
        <v/>
      </c>
      <c r="D75" s="36">
        <f>'_Data'!E145</f>
        <v/>
      </c>
      <c r="E75" s="36">
        <f>'_Data'!F145</f>
        <v/>
      </c>
      <c r="F75" s="37">
        <f>'_Data'!G145</f>
        <v/>
      </c>
      <c r="G75" s="37">
        <f>'_Data'!H145</f>
        <v/>
      </c>
      <c r="H75" s="37">
        <f>'_Data'!I145</f>
        <v/>
      </c>
      <c r="I75" s="40">
        <f>'_Data'!J145</f>
        <v/>
      </c>
      <c r="J75" s="39">
        <f>IF(AND(C75&gt;0,F75&gt;0),ABS(F75-C75)/C75,"")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'_Data'!K145</f>
        <v/>
      </c>
      <c r="N75" s="36">
        <f>'_Data'!L145</f>
        <v/>
      </c>
    </row>
    <row r="76">
      <c r="A76" s="36" t="inlineStr">
        <is>
          <t>2026 W41</t>
        </is>
      </c>
      <c r="B76" s="36" t="n">
        <v>41</v>
      </c>
      <c r="C76" s="36">
        <f>'_Data'!D146</f>
        <v/>
      </c>
      <c r="D76" s="36">
        <f>'_Data'!E146</f>
        <v/>
      </c>
      <c r="E76" s="36">
        <f>'_Data'!F146</f>
        <v/>
      </c>
      <c r="F76" s="37">
        <f>'_Data'!G146</f>
        <v/>
      </c>
      <c r="G76" s="37">
        <f>'_Data'!H146</f>
        <v/>
      </c>
      <c r="H76" s="37">
        <f>'_Data'!I146</f>
        <v/>
      </c>
      <c r="I76" s="40">
        <f>'_Data'!J146</f>
        <v/>
      </c>
      <c r="J76" s="39">
        <f>IF(AND(C76&gt;0,F76&gt;0),ABS(F76-C76)/C76,"")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'_Data'!K146</f>
        <v/>
      </c>
      <c r="N76" s="36">
        <f>'_Data'!L146</f>
        <v/>
      </c>
    </row>
    <row r="77">
      <c r="A77" s="36" t="inlineStr">
        <is>
          <t>2026 W42</t>
        </is>
      </c>
      <c r="B77" s="36" t="n">
        <v>42</v>
      </c>
      <c r="C77" s="36">
        <f>'_Data'!D147</f>
        <v/>
      </c>
      <c r="D77" s="36">
        <f>'_Data'!E147</f>
        <v/>
      </c>
      <c r="E77" s="36">
        <f>'_Data'!F147</f>
        <v/>
      </c>
      <c r="F77" s="37">
        <f>'_Data'!G147</f>
        <v/>
      </c>
      <c r="G77" s="37">
        <f>'_Data'!H147</f>
        <v/>
      </c>
      <c r="H77" s="37">
        <f>'_Data'!I147</f>
        <v/>
      </c>
      <c r="I77" s="40">
        <f>'_Data'!J147</f>
        <v/>
      </c>
      <c r="J77" s="39">
        <f>IF(AND(C77&gt;0,F77&gt;0),ABS(F77-C77)/C77,"")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'_Data'!K147</f>
        <v/>
      </c>
      <c r="N77" s="36">
        <f>'_Data'!L147</f>
        <v/>
      </c>
    </row>
    <row r="78">
      <c r="A78" s="36" t="inlineStr">
        <is>
          <t>2026 W43</t>
        </is>
      </c>
      <c r="B78" s="36" t="n">
        <v>43</v>
      </c>
      <c r="C78" s="36">
        <f>'_Data'!D148</f>
        <v/>
      </c>
      <c r="D78" s="36">
        <f>'_Data'!E148</f>
        <v/>
      </c>
      <c r="E78" s="36">
        <f>'_Data'!F148</f>
        <v/>
      </c>
      <c r="F78" s="37">
        <f>'_Data'!G148</f>
        <v/>
      </c>
      <c r="G78" s="37">
        <f>'_Data'!H148</f>
        <v/>
      </c>
      <c r="H78" s="37">
        <f>'_Data'!I148</f>
        <v/>
      </c>
      <c r="I78" s="40">
        <f>'_Data'!J148</f>
        <v/>
      </c>
      <c r="J78" s="39">
        <f>IF(AND(C78&gt;0,F78&gt;0),ABS(F78-C78)/C78,"")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'_Data'!K148</f>
        <v/>
      </c>
      <c r="N78" s="36">
        <f>'_Data'!L148</f>
        <v/>
      </c>
    </row>
    <row r="79">
      <c r="A79" s="36" t="inlineStr">
        <is>
          <t>2026 W44</t>
        </is>
      </c>
      <c r="B79" s="36" t="n">
        <v>44</v>
      </c>
      <c r="C79" s="36">
        <f>'_Data'!D149</f>
        <v/>
      </c>
      <c r="D79" s="36">
        <f>'_Data'!E149</f>
        <v/>
      </c>
      <c r="E79" s="36">
        <f>'_Data'!F149</f>
        <v/>
      </c>
      <c r="F79" s="37">
        <f>'_Data'!G149</f>
        <v/>
      </c>
      <c r="G79" s="37">
        <f>'_Data'!H149</f>
        <v/>
      </c>
      <c r="H79" s="37">
        <f>'_Data'!I149</f>
        <v/>
      </c>
      <c r="I79" s="40">
        <f>'_Data'!J149</f>
        <v/>
      </c>
      <c r="J79" s="39">
        <f>IF(AND(C79&gt;0,F79&gt;0),ABS(F79-C79)/C79,"")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'_Data'!K149</f>
        <v/>
      </c>
      <c r="N79" s="36">
        <f>'_Data'!L149</f>
        <v/>
      </c>
    </row>
    <row r="80">
      <c r="A80" s="36" t="inlineStr">
        <is>
          <t>2026 W45</t>
        </is>
      </c>
      <c r="B80" s="36" t="n">
        <v>45</v>
      </c>
      <c r="C80" s="36">
        <f>'_Data'!D150</f>
        <v/>
      </c>
      <c r="D80" s="36">
        <f>'_Data'!E150</f>
        <v/>
      </c>
      <c r="E80" s="36">
        <f>'_Data'!F150</f>
        <v/>
      </c>
      <c r="F80" s="37">
        <f>'_Data'!G150</f>
        <v/>
      </c>
      <c r="G80" s="37">
        <f>'_Data'!H150</f>
        <v/>
      </c>
      <c r="H80" s="37">
        <f>'_Data'!I150</f>
        <v/>
      </c>
      <c r="I80" s="40">
        <f>'_Data'!J150</f>
        <v/>
      </c>
      <c r="J80" s="39">
        <f>IF(AND(C80&gt;0,F80&gt;0),ABS(F80-C80)/C80,"")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'_Data'!K150</f>
        <v/>
      </c>
      <c r="N80" s="36">
        <f>'_Data'!L150</f>
        <v/>
      </c>
    </row>
    <row r="81">
      <c r="A81" s="36" t="inlineStr">
        <is>
          <t>2026 W46</t>
        </is>
      </c>
      <c r="B81" s="36" t="n">
        <v>46</v>
      </c>
      <c r="C81" s="36">
        <f>'_Data'!D151</f>
        <v/>
      </c>
      <c r="D81" s="36">
        <f>'_Data'!E151</f>
        <v/>
      </c>
      <c r="E81" s="36">
        <f>'_Data'!F151</f>
        <v/>
      </c>
      <c r="F81" s="37">
        <f>'_Data'!G151</f>
        <v/>
      </c>
      <c r="G81" s="37">
        <f>'_Data'!H151</f>
        <v/>
      </c>
      <c r="H81" s="37">
        <f>'_Data'!I151</f>
        <v/>
      </c>
      <c r="I81" s="40">
        <f>'_Data'!J151</f>
        <v/>
      </c>
      <c r="J81" s="39">
        <f>IF(AND(C81&gt;0,F81&gt;0),ABS(F81-C81)/C81,"")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'_Data'!K151</f>
        <v/>
      </c>
      <c r="N81" s="36">
        <f>'_Data'!L151</f>
        <v/>
      </c>
    </row>
    <row r="82">
      <c r="A82" s="36" t="inlineStr">
        <is>
          <t>2026 W47</t>
        </is>
      </c>
      <c r="B82" s="36" t="n">
        <v>47</v>
      </c>
      <c r="C82" s="36">
        <f>'_Data'!D152</f>
        <v/>
      </c>
      <c r="D82" s="36">
        <f>'_Data'!E152</f>
        <v/>
      </c>
      <c r="E82" s="36">
        <f>'_Data'!F152</f>
        <v/>
      </c>
      <c r="F82" s="37">
        <f>'_Data'!G152</f>
        <v/>
      </c>
      <c r="G82" s="37">
        <f>'_Data'!H152</f>
        <v/>
      </c>
      <c r="H82" s="37">
        <f>'_Data'!I152</f>
        <v/>
      </c>
      <c r="I82" s="40">
        <f>'_Data'!J152</f>
        <v/>
      </c>
      <c r="J82" s="39">
        <f>IF(AND(C82&gt;0,F82&gt;0),ABS(F82-C82)/C82,"")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'_Data'!K152</f>
        <v/>
      </c>
      <c r="N82" s="36">
        <f>'_Data'!L152</f>
        <v/>
      </c>
    </row>
    <row r="83">
      <c r="A83" s="36" t="inlineStr">
        <is>
          <t>2026 W48</t>
        </is>
      </c>
      <c r="B83" s="36" t="n">
        <v>48</v>
      </c>
      <c r="C83" s="36">
        <f>'_Data'!D153</f>
        <v/>
      </c>
      <c r="D83" s="36">
        <f>'_Data'!E153</f>
        <v/>
      </c>
      <c r="E83" s="36">
        <f>'_Data'!F153</f>
        <v/>
      </c>
      <c r="F83" s="37">
        <f>'_Data'!G153</f>
        <v/>
      </c>
      <c r="G83" s="37">
        <f>'_Data'!H153</f>
        <v/>
      </c>
      <c r="H83" s="37">
        <f>'_Data'!I153</f>
        <v/>
      </c>
      <c r="I83" s="40">
        <f>'_Data'!J153</f>
        <v/>
      </c>
      <c r="J83" s="39">
        <f>IF(AND(C83&gt;0,F83&gt;0),ABS(F83-C83)/C83,"")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'_Data'!K153</f>
        <v/>
      </c>
      <c r="N83" s="36">
        <f>'_Data'!L153</f>
        <v/>
      </c>
    </row>
    <row r="84">
      <c r="A84" s="36" t="inlineStr">
        <is>
          <t>2026 W49</t>
        </is>
      </c>
      <c r="B84" s="36" t="n">
        <v>49</v>
      </c>
      <c r="C84" s="36">
        <f>'_Data'!D154</f>
        <v/>
      </c>
      <c r="D84" s="36">
        <f>'_Data'!E154</f>
        <v/>
      </c>
      <c r="E84" s="36">
        <f>'_Data'!F154</f>
        <v/>
      </c>
      <c r="F84" s="37">
        <f>'_Data'!G154</f>
        <v/>
      </c>
      <c r="G84" s="37">
        <f>'_Data'!H154</f>
        <v/>
      </c>
      <c r="H84" s="37">
        <f>'_Data'!I154</f>
        <v/>
      </c>
      <c r="I84" s="40">
        <f>'_Data'!J154</f>
        <v/>
      </c>
      <c r="J84" s="39">
        <f>IF(AND(C84&gt;0,F84&gt;0),ABS(F84-C84)/C84,"")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'_Data'!K154</f>
        <v/>
      </c>
      <c r="N84" s="36">
        <f>'_Data'!L154</f>
        <v/>
      </c>
    </row>
    <row r="85">
      <c r="A85" s="36" t="inlineStr">
        <is>
          <t>2026 W50</t>
        </is>
      </c>
      <c r="B85" s="36" t="n">
        <v>50</v>
      </c>
      <c r="C85" s="36">
        <f>'_Data'!D155</f>
        <v/>
      </c>
      <c r="D85" s="36">
        <f>'_Data'!E155</f>
        <v/>
      </c>
      <c r="E85" s="36">
        <f>'_Data'!F155</f>
        <v/>
      </c>
      <c r="F85" s="37">
        <f>'_Data'!G155</f>
        <v/>
      </c>
      <c r="G85" s="37">
        <f>'_Data'!H155</f>
        <v/>
      </c>
      <c r="H85" s="37">
        <f>'_Data'!I155</f>
        <v/>
      </c>
      <c r="I85" s="40">
        <f>'_Data'!J155</f>
        <v/>
      </c>
      <c r="J85" s="39">
        <f>IF(AND(C85&gt;0,F85&gt;0),ABS(F85-C85)/C85,"")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'_Data'!K155</f>
        <v/>
      </c>
      <c r="N85" s="36">
        <f>'_Data'!L155</f>
        <v/>
      </c>
    </row>
    <row r="86">
      <c r="A86" s="36" t="inlineStr">
        <is>
          <t>2026 W51</t>
        </is>
      </c>
      <c r="B86" s="36" t="n">
        <v>51</v>
      </c>
      <c r="C86" s="36">
        <f>'_Data'!D156</f>
        <v/>
      </c>
      <c r="D86" s="36">
        <f>'_Data'!E156</f>
        <v/>
      </c>
      <c r="E86" s="36">
        <f>'_Data'!F156</f>
        <v/>
      </c>
      <c r="F86" s="37">
        <f>'_Data'!G156</f>
        <v/>
      </c>
      <c r="G86" s="37">
        <f>'_Data'!H156</f>
        <v/>
      </c>
      <c r="H86" s="37">
        <f>'_Data'!I156</f>
        <v/>
      </c>
      <c r="I86" s="40">
        <f>'_Data'!J156</f>
        <v/>
      </c>
      <c r="J86" s="39">
        <f>IF(AND(C86&gt;0,F86&gt;0),ABS(F86-C86)/C86,"")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'_Data'!K156</f>
        <v/>
      </c>
      <c r="N86" s="36">
        <f>'_Data'!L156</f>
        <v/>
      </c>
    </row>
    <row r="87">
      <c r="A87" s="36" t="inlineStr">
        <is>
          <t>2026 W52</t>
        </is>
      </c>
      <c r="B87" s="36" t="n">
        <v>52</v>
      </c>
      <c r="C87" s="36">
        <f>'_Data'!D157</f>
        <v/>
      </c>
      <c r="D87" s="36">
        <f>'_Data'!E157</f>
        <v/>
      </c>
      <c r="E87" s="36">
        <f>'_Data'!F157</f>
        <v/>
      </c>
      <c r="F87" s="37">
        <f>'_Data'!G157</f>
        <v/>
      </c>
      <c r="G87" s="37">
        <f>'_Data'!H157</f>
        <v/>
      </c>
      <c r="H87" s="37">
        <f>'_Data'!I157</f>
        <v/>
      </c>
      <c r="I87" s="40">
        <f>'_Data'!J157</f>
        <v/>
      </c>
      <c r="J87" s="39">
        <f>IF(AND(C87&gt;0,F87&gt;0),ABS(F87-C87)/C87,"")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'_Data'!K157</f>
        <v/>
      </c>
      <c r="N87" s="36">
        <f>'_Data'!L157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E67E22"/>
      </dataBar>
    </cfRule>
  </conditionalFormatting>
  <conditionalFormatting sqref="J36:J87">
    <cfRule type="colorScale" priority="2">
      <colorScale>
        <cfvo type="num" val="0"/>
        <cfvo type="num" val="0.1"/>
        <cfvo type="num" val="0.3"/>
        <color rgb="FF27AE60"/>
        <color rgb="FFFFFFFF"/>
        <color rgb="FFE74C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4" t="inlineStr">
        <is>
          <t>FR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TEXT(SUM('_Data'!D158:D209),"#,##0")</f>
        <v/>
      </c>
      <c r="B4" s="74" t="n"/>
      <c r="C4" s="33">
        <f>TEXT(SUM('_Data'!E158:E209),"$#,##0")</f>
        <v/>
      </c>
      <c r="D4" s="74" t="n"/>
      <c r="E4" s="33">
        <f>TEXT(IF(SUM('_Data'!D158:D209)&gt;0,SUM('_Data'!E158:E209)/SUM('_Data'!D158:D209),0),"$#,##0.00")</f>
        <v/>
      </c>
      <c r="F4" s="74" t="n"/>
      <c r="G4" s="33">
        <f>IF(AND('_Data'!C695&gt;0,'_Data'!F695&gt;0),TEXT(('_Data'!C695-'_Data'!F695)/'_Data'!F695,"+0.0%;-0.0%"),"")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5" t="inlineStr">
        <is>
          <t>Period</t>
        </is>
      </c>
      <c r="B9" s="65" t="inlineStr">
        <is>
          <t>Actual Regs</t>
        </is>
      </c>
      <c r="C9" s="65" t="inlineStr">
        <is>
          <t>Pred Regs</t>
        </is>
      </c>
      <c r="D9" s="65" t="inlineStr">
        <is>
          <t>CI Low</t>
        </is>
      </c>
      <c r="E9" s="65" t="inlineStr">
        <is>
          <t>CI High</t>
        </is>
      </c>
      <c r="F9" s="65" t="inlineStr">
        <is>
          <t>OP2 Target</t>
        </is>
      </c>
      <c r="G9" s="65" t="inlineStr">
        <is>
          <t>vs OP2 %</t>
        </is>
      </c>
      <c r="H9" s="65" t="inlineStr">
        <is>
          <t>Error %</t>
        </is>
      </c>
      <c r="I9" s="65" t="inlineStr">
        <is>
          <t>Confidence</t>
        </is>
      </c>
      <c r="J9" s="65" t="inlineStr">
        <is>
          <t>Score</t>
        </is>
      </c>
      <c r="K9" s="65" t="inlineStr">
        <is>
          <t>Notes</t>
        </is>
      </c>
    </row>
    <row r="10">
      <c r="A10" s="36" t="inlineStr">
        <is>
          <t>2026 Full Year</t>
        </is>
      </c>
      <c r="B10" s="37">
        <f>'_Data'!B695</f>
        <v/>
      </c>
      <c r="C10" s="37">
        <f>'_Data'!C695</f>
        <v/>
      </c>
      <c r="D10" s="37">
        <f>'_Data'!D695</f>
        <v/>
      </c>
      <c r="E10" s="37">
        <f>'_Data'!E695</f>
        <v/>
      </c>
      <c r="F10" s="37">
        <f>'_Data'!F695</f>
        <v/>
      </c>
      <c r="G10" s="38">
        <f>IF(AND(B10&gt;0,F10&gt;0),(B10-F10)/F10,"")</f>
        <v/>
      </c>
      <c r="H10" s="39">
        <f>IF(AND(B10&gt;0,C10&gt;0),ABS(C10-B10)/B10,"")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5" t="inlineStr">
        <is>
          <t>Period</t>
        </is>
      </c>
      <c r="B13" s="65" t="inlineStr">
        <is>
          <t>Actual Regs</t>
        </is>
      </c>
      <c r="C13" s="65" t="inlineStr">
        <is>
          <t>Pred Regs</t>
        </is>
      </c>
      <c r="D13" s="65" t="inlineStr">
        <is>
          <t>CI Low</t>
        </is>
      </c>
      <c r="E13" s="65" t="inlineStr">
        <is>
          <t>CI High</t>
        </is>
      </c>
      <c r="F13" s="65" t="inlineStr">
        <is>
          <t>OP2 Target</t>
        </is>
      </c>
      <c r="G13" s="65" t="inlineStr">
        <is>
          <t>vs OP2 %</t>
        </is>
      </c>
      <c r="H13" s="65" t="inlineStr">
        <is>
          <t>Error %</t>
        </is>
      </c>
      <c r="I13" s="65" t="inlineStr">
        <is>
          <t>Confidence</t>
        </is>
      </c>
      <c r="J13" s="65" t="inlineStr">
        <is>
          <t>Score</t>
        </is>
      </c>
      <c r="K13" s="65" t="inlineStr">
        <is>
          <t>Notes</t>
        </is>
      </c>
    </row>
    <row r="14">
      <c r="A14" s="41" t="inlineStr">
        <is>
          <t>Q1</t>
        </is>
      </c>
      <c r="B14" s="42">
        <f>'_Data'!D660</f>
        <v/>
      </c>
      <c r="C14" s="42">
        <f>'_Data'!E660</f>
        <v/>
      </c>
      <c r="D14" s="42">
        <f>'_Data'!F660</f>
        <v/>
      </c>
      <c r="E14" s="42">
        <f>'_Data'!G660</f>
        <v/>
      </c>
      <c r="F14" s="42">
        <f>'_Data'!H660</f>
        <v/>
      </c>
      <c r="G14" s="43">
        <f>IF(AND(B14&gt;0,F14&gt;0),(B14-F14)/F14,"")</f>
        <v/>
      </c>
      <c r="H14" s="44">
        <f>IF(AND(B14&gt;0,C14&gt;0),ABS(C14-B14)/B14,"")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'_Data'!D661</f>
        <v/>
      </c>
      <c r="C15" s="37">
        <f>'_Data'!E661</f>
        <v/>
      </c>
      <c r="D15" s="37">
        <f>'_Data'!F661</f>
        <v/>
      </c>
      <c r="E15" s="37">
        <f>'_Data'!G661</f>
        <v/>
      </c>
      <c r="F15" s="37">
        <f>'_Data'!H661</f>
        <v/>
      </c>
      <c r="G15" s="38">
        <f>IF(AND(B15&gt;0,F15&gt;0),(B15-F15)/F15,"")</f>
        <v/>
      </c>
      <c r="H15" s="39">
        <f>IF(AND(B15&gt;0,C15&gt;0),ABS(C15-B15)/B15,"")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'_Data'!D662</f>
        <v/>
      </c>
      <c r="C16" s="37">
        <f>'_Data'!E662</f>
        <v/>
      </c>
      <c r="D16" s="37">
        <f>'_Data'!F662</f>
        <v/>
      </c>
      <c r="E16" s="37">
        <f>'_Data'!G662</f>
        <v/>
      </c>
      <c r="F16" s="37">
        <f>'_Data'!H662</f>
        <v/>
      </c>
      <c r="G16" s="38">
        <f>IF(AND(B16&gt;0,F16&gt;0),(B16-F16)/F16,"")</f>
        <v/>
      </c>
      <c r="H16" s="39">
        <f>IF(AND(B16&gt;0,C16&gt;0),ABS(C16-B16)/B16,"")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'_Data'!D663</f>
        <v/>
      </c>
      <c r="C17" s="37">
        <f>'_Data'!E663</f>
        <v/>
      </c>
      <c r="D17" s="37">
        <f>'_Data'!F663</f>
        <v/>
      </c>
      <c r="E17" s="37">
        <f>'_Data'!G663</f>
        <v/>
      </c>
      <c r="F17" s="37">
        <f>'_Data'!H663</f>
        <v/>
      </c>
      <c r="G17" s="38">
        <f>IF(AND(B17&gt;0,F17&gt;0),(B17-F17)/F17,"")</f>
        <v/>
      </c>
      <c r="H17" s="39">
        <f>IF(AND(B17&gt;0,C17&gt;0),ABS(C17-B17)/B17,"")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5" t="inlineStr">
        <is>
          <t>Period</t>
        </is>
      </c>
      <c r="B20" s="65" t="inlineStr">
        <is>
          <t>Actual Regs</t>
        </is>
      </c>
      <c r="C20" s="65" t="inlineStr">
        <is>
          <t>Pred Regs</t>
        </is>
      </c>
      <c r="D20" s="65" t="inlineStr">
        <is>
          <t>CI Low</t>
        </is>
      </c>
      <c r="E20" s="65" t="inlineStr">
        <is>
          <t>CI High</t>
        </is>
      </c>
      <c r="F20" s="65" t="inlineStr">
        <is>
          <t>OP2 Target</t>
        </is>
      </c>
      <c r="G20" s="65" t="inlineStr">
        <is>
          <t>vs OP2 %</t>
        </is>
      </c>
      <c r="H20" s="65" t="inlineStr">
        <is>
          <t>Error %</t>
        </is>
      </c>
      <c r="I20" s="65" t="inlineStr">
        <is>
          <t>Confidence</t>
        </is>
      </c>
      <c r="J20" s="65" t="inlineStr">
        <is>
          <t>Score</t>
        </is>
      </c>
      <c r="K20" s="65" t="inlineStr">
        <is>
          <t>Notes</t>
        </is>
      </c>
    </row>
    <row r="21">
      <c r="A21" s="41" t="inlineStr">
        <is>
          <t>Jan</t>
        </is>
      </c>
      <c r="B21" s="42">
        <f>'_Data'!D560</f>
        <v/>
      </c>
      <c r="C21" s="42">
        <f>'_Data'!E560</f>
        <v/>
      </c>
      <c r="D21" s="42">
        <f>'_Data'!F560</f>
        <v/>
      </c>
      <c r="E21" s="42">
        <f>'_Data'!G560</f>
        <v/>
      </c>
      <c r="F21" s="42">
        <f>'_Data'!H560</f>
        <v/>
      </c>
      <c r="G21" s="43">
        <f>IF(AND(B21&gt;0,F21&gt;0),(B21-F21)/F21,"")</f>
        <v/>
      </c>
      <c r="H21" s="44">
        <f>IF(AND(B21&gt;0,C21&gt;0),ABS(C21-B21)/B21,"")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'_Data'!D561</f>
        <v/>
      </c>
      <c r="C22" s="47">
        <f>'_Data'!E561</f>
        <v/>
      </c>
      <c r="D22" s="47">
        <f>'_Data'!F561</f>
        <v/>
      </c>
      <c r="E22" s="47">
        <f>'_Data'!G561</f>
        <v/>
      </c>
      <c r="F22" s="47">
        <f>'_Data'!H561</f>
        <v/>
      </c>
      <c r="G22" s="48">
        <f>IF(AND(B22&gt;0,F22&gt;0),(B22-F22)/F22,"")</f>
        <v/>
      </c>
      <c r="H22" s="49">
        <f>IF(AND(B22&gt;0,C22&gt;0),ABS(C22-B22)/B22,"")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'_Data'!D562</f>
        <v/>
      </c>
      <c r="C23" s="42">
        <f>'_Data'!E562</f>
        <v/>
      </c>
      <c r="D23" s="42">
        <f>'_Data'!F562</f>
        <v/>
      </c>
      <c r="E23" s="42">
        <f>'_Data'!G562</f>
        <v/>
      </c>
      <c r="F23" s="42">
        <f>'_Data'!H562</f>
        <v/>
      </c>
      <c r="G23" s="43">
        <f>IF(AND(B23&gt;0,F23&gt;0),(B23-F23)/F23,"")</f>
        <v/>
      </c>
      <c r="H23" s="44">
        <f>IF(AND(B23&gt;0,C23&gt;0),ABS(C23-B23)/B23,"")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'_Data'!D563</f>
        <v/>
      </c>
      <c r="C24" s="37">
        <f>'_Data'!E563</f>
        <v/>
      </c>
      <c r="D24" s="37">
        <f>'_Data'!F563</f>
        <v/>
      </c>
      <c r="E24" s="37">
        <f>'_Data'!G563</f>
        <v/>
      </c>
      <c r="F24" s="37">
        <f>'_Data'!H563</f>
        <v/>
      </c>
      <c r="G24" s="38">
        <f>IF(AND(B24&gt;0,F24&gt;0),(B24-F24)/F24,"")</f>
        <v/>
      </c>
      <c r="H24" s="39">
        <f>IF(AND(B24&gt;0,C24&gt;0),ABS(C24-B24)/B24,"")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'_Data'!D564</f>
        <v/>
      </c>
      <c r="C25" s="37">
        <f>'_Data'!E564</f>
        <v/>
      </c>
      <c r="D25" s="37">
        <f>'_Data'!F564</f>
        <v/>
      </c>
      <c r="E25" s="37">
        <f>'_Data'!G564</f>
        <v/>
      </c>
      <c r="F25" s="37">
        <f>'_Data'!H564</f>
        <v/>
      </c>
      <c r="G25" s="38">
        <f>IF(AND(B25&gt;0,F25&gt;0),(B25-F25)/F25,"")</f>
        <v/>
      </c>
      <c r="H25" s="39">
        <f>IF(AND(B25&gt;0,C25&gt;0),ABS(C25-B25)/B25,"")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'_Data'!D565</f>
        <v/>
      </c>
      <c r="C26" s="37">
        <f>'_Data'!E565</f>
        <v/>
      </c>
      <c r="D26" s="37">
        <f>'_Data'!F565</f>
        <v/>
      </c>
      <c r="E26" s="37">
        <f>'_Data'!G565</f>
        <v/>
      </c>
      <c r="F26" s="37">
        <f>'_Data'!H565</f>
        <v/>
      </c>
      <c r="G26" s="38">
        <f>IF(AND(B26&gt;0,F26&gt;0),(B26-F26)/F26,"")</f>
        <v/>
      </c>
      <c r="H26" s="39">
        <f>IF(AND(B26&gt;0,C26&gt;0),ABS(C26-B26)/B26,"")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'_Data'!D566</f>
        <v/>
      </c>
      <c r="C27" s="37">
        <f>'_Data'!E566</f>
        <v/>
      </c>
      <c r="D27" s="37">
        <f>'_Data'!F566</f>
        <v/>
      </c>
      <c r="E27" s="37">
        <f>'_Data'!G566</f>
        <v/>
      </c>
      <c r="F27" s="37">
        <f>'_Data'!H566</f>
        <v/>
      </c>
      <c r="G27" s="38">
        <f>IF(AND(B27&gt;0,F27&gt;0),(B27-F27)/F27,"")</f>
        <v/>
      </c>
      <c r="H27" s="39">
        <f>IF(AND(B27&gt;0,C27&gt;0),ABS(C27-B27)/B27,"")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'_Data'!D567</f>
        <v/>
      </c>
      <c r="C28" s="37">
        <f>'_Data'!E567</f>
        <v/>
      </c>
      <c r="D28" s="37">
        <f>'_Data'!F567</f>
        <v/>
      </c>
      <c r="E28" s="37">
        <f>'_Data'!G567</f>
        <v/>
      </c>
      <c r="F28" s="37">
        <f>'_Data'!H567</f>
        <v/>
      </c>
      <c r="G28" s="38">
        <f>IF(AND(B28&gt;0,F28&gt;0),(B28-F28)/F28,"")</f>
        <v/>
      </c>
      <c r="H28" s="39">
        <f>IF(AND(B28&gt;0,C28&gt;0),ABS(C28-B28)/B28,"")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'_Data'!D568</f>
        <v/>
      </c>
      <c r="C29" s="37">
        <f>'_Data'!E568</f>
        <v/>
      </c>
      <c r="D29" s="37">
        <f>'_Data'!F568</f>
        <v/>
      </c>
      <c r="E29" s="37">
        <f>'_Data'!G568</f>
        <v/>
      </c>
      <c r="F29" s="37">
        <f>'_Data'!H568</f>
        <v/>
      </c>
      <c r="G29" s="38">
        <f>IF(AND(B29&gt;0,F29&gt;0),(B29-F29)/F29,"")</f>
        <v/>
      </c>
      <c r="H29" s="39">
        <f>IF(AND(B29&gt;0,C29&gt;0),ABS(C29-B29)/B29,"")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'_Data'!D569</f>
        <v/>
      </c>
      <c r="C30" s="37">
        <f>'_Data'!E569</f>
        <v/>
      </c>
      <c r="D30" s="37">
        <f>'_Data'!F569</f>
        <v/>
      </c>
      <c r="E30" s="37">
        <f>'_Data'!G569</f>
        <v/>
      </c>
      <c r="F30" s="37">
        <f>'_Data'!H569</f>
        <v/>
      </c>
      <c r="G30" s="38">
        <f>IF(AND(B30&gt;0,F30&gt;0),(B30-F30)/F30,"")</f>
        <v/>
      </c>
      <c r="H30" s="39">
        <f>IF(AND(B30&gt;0,C30&gt;0),ABS(C30-B30)/B30,"")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'_Data'!D570</f>
        <v/>
      </c>
      <c r="C31" s="37">
        <f>'_Data'!E570</f>
        <v/>
      </c>
      <c r="D31" s="37">
        <f>'_Data'!F570</f>
        <v/>
      </c>
      <c r="E31" s="37">
        <f>'_Data'!G570</f>
        <v/>
      </c>
      <c r="F31" s="37">
        <f>'_Data'!H570</f>
        <v/>
      </c>
      <c r="G31" s="38">
        <f>IF(AND(B31&gt;0,F31&gt;0),(B31-F31)/F31,"")</f>
        <v/>
      </c>
      <c r="H31" s="39">
        <f>IF(AND(B31&gt;0,C31&gt;0),ABS(C31-B31)/B31,"")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'_Data'!D571</f>
        <v/>
      </c>
      <c r="C32" s="37">
        <f>'_Data'!E571</f>
        <v/>
      </c>
      <c r="D32" s="37">
        <f>'_Data'!F571</f>
        <v/>
      </c>
      <c r="E32" s="37">
        <f>'_Data'!G571</f>
        <v/>
      </c>
      <c r="F32" s="37">
        <f>'_Data'!H571</f>
        <v/>
      </c>
      <c r="G32" s="38">
        <f>IF(AND(B32&gt;0,F32&gt;0),(B32-F32)/F32,"")</f>
        <v/>
      </c>
      <c r="H32" s="39">
        <f>IF(AND(B32&gt;0,C32&gt;0),ABS(C32-B32)/B32,"")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5" t="inlineStr">
        <is>
          <t>Week</t>
        </is>
      </c>
      <c r="B35" s="65" t="inlineStr">
        <is>
          <t>Wk#</t>
        </is>
      </c>
      <c r="C35" s="65" t="inlineStr">
        <is>
          <t>Actual Regs</t>
        </is>
      </c>
      <c r="D35" s="65" t="inlineStr">
        <is>
          <t>Actual Cost</t>
        </is>
      </c>
      <c r="E35" s="65" t="inlineStr">
        <is>
          <t>Actual CPA</t>
        </is>
      </c>
      <c r="F35" s="65" t="inlineStr">
        <is>
          <t>Pred Regs</t>
        </is>
      </c>
      <c r="G35" s="65" t="inlineStr">
        <is>
          <t>CI Low</t>
        </is>
      </c>
      <c r="H35" s="65" t="inlineStr">
        <is>
          <t>CI High</t>
        </is>
      </c>
      <c r="I35" s="65" t="inlineStr">
        <is>
          <t>Confidence</t>
        </is>
      </c>
      <c r="J35" s="65" t="inlineStr">
        <is>
          <t>Error %</t>
        </is>
      </c>
      <c r="K35" s="65" t="inlineStr">
        <is>
          <t>Within CI</t>
        </is>
      </c>
      <c r="L35" s="65" t="inlineStr">
        <is>
          <t>WoW Δ%</t>
        </is>
      </c>
      <c r="M35" s="65" t="inlineStr">
        <is>
          <t>Brand Regs</t>
        </is>
      </c>
      <c r="N35" s="6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'_Data'!D158</f>
        <v/>
      </c>
      <c r="D36" s="51">
        <f>'_Data'!E158</f>
        <v/>
      </c>
      <c r="E36" s="52">
        <f>'_Data'!F158</f>
        <v/>
      </c>
      <c r="F36" s="42">
        <f>'_Data'!G158</f>
        <v/>
      </c>
      <c r="G36" s="42">
        <f>'_Data'!H158</f>
        <v/>
      </c>
      <c r="H36" s="42">
        <f>'_Data'!I158</f>
        <v/>
      </c>
      <c r="I36" s="45">
        <f>'_Data'!J158</f>
        <v/>
      </c>
      <c r="J36" s="44">
        <f>IF(AND(C36&gt;0,F36&gt;0),ABS(F36-C36)/C36,"")</f>
        <v/>
      </c>
      <c r="K36" s="41">
        <f>IF(AND(C36&gt;0,G36&gt;0),IF(AND(C36&gt;=G36,C36&lt;=H36),"✓","✗"),"")</f>
        <v/>
      </c>
      <c r="L36" s="41" t="n"/>
      <c r="M36" s="42">
        <f>'_Data'!K158</f>
        <v/>
      </c>
      <c r="N36" s="42">
        <f>'_Data'!L158</f>
        <v/>
      </c>
    </row>
    <row r="37">
      <c r="A37" s="46" t="inlineStr">
        <is>
          <t>2026 W2</t>
        </is>
      </c>
      <c r="B37" s="46" t="n">
        <v>2</v>
      </c>
      <c r="C37" s="47">
        <f>'_Data'!D159</f>
        <v/>
      </c>
      <c r="D37" s="53">
        <f>'_Data'!E159</f>
        <v/>
      </c>
      <c r="E37" s="54">
        <f>'_Data'!F159</f>
        <v/>
      </c>
      <c r="F37" s="47">
        <f>'_Data'!G159</f>
        <v/>
      </c>
      <c r="G37" s="47">
        <f>'_Data'!H159</f>
        <v/>
      </c>
      <c r="H37" s="47">
        <f>'_Data'!I159</f>
        <v/>
      </c>
      <c r="I37" s="50">
        <f>'_Data'!J159</f>
        <v/>
      </c>
      <c r="J37" s="49">
        <f>IF(AND(C37&gt;0,F37&gt;0),ABS(F37-C37)/C37,"")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'_Data'!K159</f>
        <v/>
      </c>
      <c r="N37" s="47">
        <f>'_Data'!L159</f>
        <v/>
      </c>
    </row>
    <row r="38">
      <c r="A38" s="41" t="inlineStr">
        <is>
          <t>2026 W3</t>
        </is>
      </c>
      <c r="B38" s="41" t="n">
        <v>3</v>
      </c>
      <c r="C38" s="42">
        <f>'_Data'!D160</f>
        <v/>
      </c>
      <c r="D38" s="51">
        <f>'_Data'!E160</f>
        <v/>
      </c>
      <c r="E38" s="52">
        <f>'_Data'!F160</f>
        <v/>
      </c>
      <c r="F38" s="42">
        <f>'_Data'!G160</f>
        <v/>
      </c>
      <c r="G38" s="42">
        <f>'_Data'!H160</f>
        <v/>
      </c>
      <c r="H38" s="42">
        <f>'_Data'!I160</f>
        <v/>
      </c>
      <c r="I38" s="45">
        <f>'_Data'!J160</f>
        <v/>
      </c>
      <c r="J38" s="44">
        <f>IF(AND(C38&gt;0,F38&gt;0),ABS(F38-C38)/C38,"")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'_Data'!K160</f>
        <v/>
      </c>
      <c r="N38" s="42">
        <f>'_Data'!L160</f>
        <v/>
      </c>
    </row>
    <row r="39">
      <c r="A39" s="46" t="inlineStr">
        <is>
          <t>2026 W4</t>
        </is>
      </c>
      <c r="B39" s="46" t="n">
        <v>4</v>
      </c>
      <c r="C39" s="47">
        <f>'_Data'!D161</f>
        <v/>
      </c>
      <c r="D39" s="53">
        <f>'_Data'!E161</f>
        <v/>
      </c>
      <c r="E39" s="54">
        <f>'_Data'!F161</f>
        <v/>
      </c>
      <c r="F39" s="47">
        <f>'_Data'!G161</f>
        <v/>
      </c>
      <c r="G39" s="47">
        <f>'_Data'!H161</f>
        <v/>
      </c>
      <c r="H39" s="47">
        <f>'_Data'!I161</f>
        <v/>
      </c>
      <c r="I39" s="50">
        <f>'_Data'!J161</f>
        <v/>
      </c>
      <c r="J39" s="49">
        <f>IF(AND(C39&gt;0,F39&gt;0),ABS(F39-C39)/C39,"")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'_Data'!K161</f>
        <v/>
      </c>
      <c r="N39" s="47">
        <f>'_Data'!L161</f>
        <v/>
      </c>
    </row>
    <row r="40">
      <c r="A40" s="41" t="inlineStr">
        <is>
          <t>2026 W5</t>
        </is>
      </c>
      <c r="B40" s="41" t="n">
        <v>5</v>
      </c>
      <c r="C40" s="42">
        <f>'_Data'!D162</f>
        <v/>
      </c>
      <c r="D40" s="51">
        <f>'_Data'!E162</f>
        <v/>
      </c>
      <c r="E40" s="52">
        <f>'_Data'!F162</f>
        <v/>
      </c>
      <c r="F40" s="42">
        <f>'_Data'!G162</f>
        <v/>
      </c>
      <c r="G40" s="42">
        <f>'_Data'!H162</f>
        <v/>
      </c>
      <c r="H40" s="42">
        <f>'_Data'!I162</f>
        <v/>
      </c>
      <c r="I40" s="45">
        <f>'_Data'!J162</f>
        <v/>
      </c>
      <c r="J40" s="44">
        <f>IF(AND(C40&gt;0,F40&gt;0),ABS(F40-C40)/C40,"")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'_Data'!K162</f>
        <v/>
      </c>
      <c r="N40" s="42">
        <f>'_Data'!L162</f>
        <v/>
      </c>
    </row>
    <row r="41">
      <c r="A41" s="46" t="inlineStr">
        <is>
          <t>2026 W6</t>
        </is>
      </c>
      <c r="B41" s="46" t="n">
        <v>6</v>
      </c>
      <c r="C41" s="47">
        <f>'_Data'!D163</f>
        <v/>
      </c>
      <c r="D41" s="53">
        <f>'_Data'!E163</f>
        <v/>
      </c>
      <c r="E41" s="54">
        <f>'_Data'!F163</f>
        <v/>
      </c>
      <c r="F41" s="47">
        <f>'_Data'!G163</f>
        <v/>
      </c>
      <c r="G41" s="47">
        <f>'_Data'!H163</f>
        <v/>
      </c>
      <c r="H41" s="47">
        <f>'_Data'!I163</f>
        <v/>
      </c>
      <c r="I41" s="50">
        <f>'_Data'!J163</f>
        <v/>
      </c>
      <c r="J41" s="49">
        <f>IF(AND(C41&gt;0,F41&gt;0),ABS(F41-C41)/C41,"")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'_Data'!K163</f>
        <v/>
      </c>
      <c r="N41" s="47">
        <f>'_Data'!L163</f>
        <v/>
      </c>
    </row>
    <row r="42">
      <c r="A42" s="41" t="inlineStr">
        <is>
          <t>2026 W7</t>
        </is>
      </c>
      <c r="B42" s="41" t="n">
        <v>7</v>
      </c>
      <c r="C42" s="42">
        <f>'_Data'!D164</f>
        <v/>
      </c>
      <c r="D42" s="51">
        <f>'_Data'!E164</f>
        <v/>
      </c>
      <c r="E42" s="52">
        <f>'_Data'!F164</f>
        <v/>
      </c>
      <c r="F42" s="42">
        <f>'_Data'!G164</f>
        <v/>
      </c>
      <c r="G42" s="42">
        <f>'_Data'!H164</f>
        <v/>
      </c>
      <c r="H42" s="42">
        <f>'_Data'!I164</f>
        <v/>
      </c>
      <c r="I42" s="45">
        <f>'_Data'!J164</f>
        <v/>
      </c>
      <c r="J42" s="44">
        <f>IF(AND(C42&gt;0,F42&gt;0),ABS(F42-C42)/C42,"")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'_Data'!K164</f>
        <v/>
      </c>
      <c r="N42" s="42">
        <f>'_Data'!L164</f>
        <v/>
      </c>
    </row>
    <row r="43">
      <c r="A43" s="46" t="inlineStr">
        <is>
          <t>2026 W8</t>
        </is>
      </c>
      <c r="B43" s="46" t="n">
        <v>8</v>
      </c>
      <c r="C43" s="47">
        <f>'_Data'!D165</f>
        <v/>
      </c>
      <c r="D43" s="53">
        <f>'_Data'!E165</f>
        <v/>
      </c>
      <c r="E43" s="54">
        <f>'_Data'!F165</f>
        <v/>
      </c>
      <c r="F43" s="47">
        <f>'_Data'!G165</f>
        <v/>
      </c>
      <c r="G43" s="47">
        <f>'_Data'!H165</f>
        <v/>
      </c>
      <c r="H43" s="47">
        <f>'_Data'!I165</f>
        <v/>
      </c>
      <c r="I43" s="50">
        <f>'_Data'!J165</f>
        <v/>
      </c>
      <c r="J43" s="49">
        <f>IF(AND(C43&gt;0,F43&gt;0),ABS(F43-C43)/C43,"")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'_Data'!K165</f>
        <v/>
      </c>
      <c r="N43" s="47">
        <f>'_Data'!L165</f>
        <v/>
      </c>
    </row>
    <row r="44">
      <c r="A44" s="41" t="inlineStr">
        <is>
          <t>2026 W9</t>
        </is>
      </c>
      <c r="B44" s="41" t="n">
        <v>9</v>
      </c>
      <c r="C44" s="42">
        <f>'_Data'!D166</f>
        <v/>
      </c>
      <c r="D44" s="51">
        <f>'_Data'!E166</f>
        <v/>
      </c>
      <c r="E44" s="52">
        <f>'_Data'!F166</f>
        <v/>
      </c>
      <c r="F44" s="42">
        <f>'_Data'!G166</f>
        <v/>
      </c>
      <c r="G44" s="42">
        <f>'_Data'!H166</f>
        <v/>
      </c>
      <c r="H44" s="42">
        <f>'_Data'!I166</f>
        <v/>
      </c>
      <c r="I44" s="45">
        <f>'_Data'!J166</f>
        <v/>
      </c>
      <c r="J44" s="44">
        <f>IF(AND(C44&gt;0,F44&gt;0),ABS(F44-C44)/C44,"")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'_Data'!K166</f>
        <v/>
      </c>
      <c r="N44" s="42">
        <f>'_Data'!L166</f>
        <v/>
      </c>
    </row>
    <row r="45">
      <c r="A45" s="46" t="inlineStr">
        <is>
          <t>2026 W10</t>
        </is>
      </c>
      <c r="B45" s="46" t="n">
        <v>10</v>
      </c>
      <c r="C45" s="47">
        <f>'_Data'!D167</f>
        <v/>
      </c>
      <c r="D45" s="53">
        <f>'_Data'!E167</f>
        <v/>
      </c>
      <c r="E45" s="54">
        <f>'_Data'!F167</f>
        <v/>
      </c>
      <c r="F45" s="47">
        <f>'_Data'!G167</f>
        <v/>
      </c>
      <c r="G45" s="47">
        <f>'_Data'!H167</f>
        <v/>
      </c>
      <c r="H45" s="47">
        <f>'_Data'!I167</f>
        <v/>
      </c>
      <c r="I45" s="50">
        <f>'_Data'!J167</f>
        <v/>
      </c>
      <c r="J45" s="49">
        <f>IF(AND(C45&gt;0,F45&gt;0),ABS(F45-C45)/C45,"")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'_Data'!K167</f>
        <v/>
      </c>
      <c r="N45" s="47">
        <f>'_Data'!L167</f>
        <v/>
      </c>
    </row>
    <row r="46">
      <c r="A46" s="41" t="inlineStr">
        <is>
          <t>2026 W11</t>
        </is>
      </c>
      <c r="B46" s="41" t="n">
        <v>11</v>
      </c>
      <c r="C46" s="42">
        <f>'_Data'!D168</f>
        <v/>
      </c>
      <c r="D46" s="51">
        <f>'_Data'!E168</f>
        <v/>
      </c>
      <c r="E46" s="52">
        <f>'_Data'!F168</f>
        <v/>
      </c>
      <c r="F46" s="42">
        <f>'_Data'!G168</f>
        <v/>
      </c>
      <c r="G46" s="42">
        <f>'_Data'!H168</f>
        <v/>
      </c>
      <c r="H46" s="42">
        <f>'_Data'!I168</f>
        <v/>
      </c>
      <c r="I46" s="45">
        <f>'_Data'!J168</f>
        <v/>
      </c>
      <c r="J46" s="44">
        <f>IF(AND(C46&gt;0,F46&gt;0),ABS(F46-C46)/C46,"")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'_Data'!K168</f>
        <v/>
      </c>
      <c r="N46" s="42">
        <f>'_Data'!L168</f>
        <v/>
      </c>
    </row>
    <row r="47">
      <c r="A47" s="46" t="inlineStr">
        <is>
          <t>2026 W12</t>
        </is>
      </c>
      <c r="B47" s="46" t="n">
        <v>12</v>
      </c>
      <c r="C47" s="47">
        <f>'_Data'!D169</f>
        <v/>
      </c>
      <c r="D47" s="53">
        <f>'_Data'!E169</f>
        <v/>
      </c>
      <c r="E47" s="54">
        <f>'_Data'!F169</f>
        <v/>
      </c>
      <c r="F47" s="47">
        <f>'_Data'!G169</f>
        <v/>
      </c>
      <c r="G47" s="47">
        <f>'_Data'!H169</f>
        <v/>
      </c>
      <c r="H47" s="47">
        <f>'_Data'!I169</f>
        <v/>
      </c>
      <c r="I47" s="50">
        <f>'_Data'!J169</f>
        <v/>
      </c>
      <c r="J47" s="49">
        <f>IF(AND(C47&gt;0,F47&gt;0),ABS(F47-C47)/C47,"")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'_Data'!K169</f>
        <v/>
      </c>
      <c r="N47" s="47">
        <f>'_Data'!L169</f>
        <v/>
      </c>
    </row>
    <row r="48">
      <c r="A48" s="41" t="inlineStr">
        <is>
          <t>2026 W13</t>
        </is>
      </c>
      <c r="B48" s="41" t="n">
        <v>13</v>
      </c>
      <c r="C48" s="42">
        <f>'_Data'!D170</f>
        <v/>
      </c>
      <c r="D48" s="51">
        <f>'_Data'!E170</f>
        <v/>
      </c>
      <c r="E48" s="52">
        <f>'_Data'!F170</f>
        <v/>
      </c>
      <c r="F48" s="42">
        <f>'_Data'!G170</f>
        <v/>
      </c>
      <c r="G48" s="42">
        <f>'_Data'!H170</f>
        <v/>
      </c>
      <c r="H48" s="42">
        <f>'_Data'!I170</f>
        <v/>
      </c>
      <c r="I48" s="45">
        <f>'_Data'!J170</f>
        <v/>
      </c>
      <c r="J48" s="44">
        <f>IF(AND(C48&gt;0,F48&gt;0),ABS(F48-C48)/C48,"")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'_Data'!K170</f>
        <v/>
      </c>
      <c r="N48" s="42">
        <f>'_Data'!L170</f>
        <v/>
      </c>
    </row>
    <row r="49">
      <c r="A49" s="46" t="inlineStr">
        <is>
          <t>2026 W14</t>
        </is>
      </c>
      <c r="B49" s="46" t="n">
        <v>14</v>
      </c>
      <c r="C49" s="47">
        <f>'_Data'!D171</f>
        <v/>
      </c>
      <c r="D49" s="53">
        <f>'_Data'!E171</f>
        <v/>
      </c>
      <c r="E49" s="54">
        <f>'_Data'!F171</f>
        <v/>
      </c>
      <c r="F49" s="47">
        <f>'_Data'!G171</f>
        <v/>
      </c>
      <c r="G49" s="47">
        <f>'_Data'!H171</f>
        <v/>
      </c>
      <c r="H49" s="47">
        <f>'_Data'!I171</f>
        <v/>
      </c>
      <c r="I49" s="50">
        <f>'_Data'!J171</f>
        <v/>
      </c>
      <c r="J49" s="49">
        <f>IF(AND(C49&gt;0,F49&gt;0),ABS(F49-C49)/C49,"")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'_Data'!K171</f>
        <v/>
      </c>
      <c r="N49" s="47">
        <f>'_Data'!L171</f>
        <v/>
      </c>
    </row>
    <row r="50">
      <c r="A50" s="41" t="inlineStr">
        <is>
          <t>2026 W15</t>
        </is>
      </c>
      <c r="B50" s="41" t="n">
        <v>15</v>
      </c>
      <c r="C50" s="42">
        <f>'_Data'!D172</f>
        <v/>
      </c>
      <c r="D50" s="51">
        <f>'_Data'!E172</f>
        <v/>
      </c>
      <c r="E50" s="52">
        <f>'_Data'!F172</f>
        <v/>
      </c>
      <c r="F50" s="42">
        <f>'_Data'!G172</f>
        <v/>
      </c>
      <c r="G50" s="42">
        <f>'_Data'!H172</f>
        <v/>
      </c>
      <c r="H50" s="42">
        <f>'_Data'!I172</f>
        <v/>
      </c>
      <c r="I50" s="45">
        <f>'_Data'!J172</f>
        <v/>
      </c>
      <c r="J50" s="44">
        <f>IF(AND(C50&gt;0,F50&gt;0),ABS(F50-C50)/C50,"")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'_Data'!K172</f>
        <v/>
      </c>
      <c r="N50" s="42">
        <f>'_Data'!L172</f>
        <v/>
      </c>
    </row>
    <row r="51">
      <c r="A51" s="36" t="inlineStr">
        <is>
          <t>2026 W16</t>
        </is>
      </c>
      <c r="B51" s="36" t="n">
        <v>16</v>
      </c>
      <c r="C51" s="36">
        <f>'_Data'!D173</f>
        <v/>
      </c>
      <c r="D51" s="36">
        <f>'_Data'!E173</f>
        <v/>
      </c>
      <c r="E51" s="36">
        <f>'_Data'!F173</f>
        <v/>
      </c>
      <c r="F51" s="37">
        <f>'_Data'!G173</f>
        <v/>
      </c>
      <c r="G51" s="37">
        <f>'_Data'!H173</f>
        <v/>
      </c>
      <c r="H51" s="37">
        <f>'_Data'!I173</f>
        <v/>
      </c>
      <c r="I51" s="40">
        <f>'_Data'!J173</f>
        <v/>
      </c>
      <c r="J51" s="39">
        <f>IF(AND(C51&gt;0,F51&gt;0),ABS(F51-C51)/C51,"")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'_Data'!K173</f>
        <v/>
      </c>
      <c r="N51" s="36">
        <f>'_Data'!L173</f>
        <v/>
      </c>
    </row>
    <row r="52">
      <c r="A52" s="36" t="inlineStr">
        <is>
          <t>2026 W17</t>
        </is>
      </c>
      <c r="B52" s="36" t="n">
        <v>17</v>
      </c>
      <c r="C52" s="36">
        <f>'_Data'!D174</f>
        <v/>
      </c>
      <c r="D52" s="36">
        <f>'_Data'!E174</f>
        <v/>
      </c>
      <c r="E52" s="36">
        <f>'_Data'!F174</f>
        <v/>
      </c>
      <c r="F52" s="37">
        <f>'_Data'!G174</f>
        <v/>
      </c>
      <c r="G52" s="37">
        <f>'_Data'!H174</f>
        <v/>
      </c>
      <c r="H52" s="37">
        <f>'_Data'!I174</f>
        <v/>
      </c>
      <c r="I52" s="40">
        <f>'_Data'!J174</f>
        <v/>
      </c>
      <c r="J52" s="39">
        <f>IF(AND(C52&gt;0,F52&gt;0),ABS(F52-C52)/C52,"")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'_Data'!K174</f>
        <v/>
      </c>
      <c r="N52" s="36">
        <f>'_Data'!L174</f>
        <v/>
      </c>
    </row>
    <row r="53">
      <c r="A53" s="36" t="inlineStr">
        <is>
          <t>2026 W18</t>
        </is>
      </c>
      <c r="B53" s="36" t="n">
        <v>18</v>
      </c>
      <c r="C53" s="36">
        <f>'_Data'!D175</f>
        <v/>
      </c>
      <c r="D53" s="36">
        <f>'_Data'!E175</f>
        <v/>
      </c>
      <c r="E53" s="36">
        <f>'_Data'!F175</f>
        <v/>
      </c>
      <c r="F53" s="37">
        <f>'_Data'!G175</f>
        <v/>
      </c>
      <c r="G53" s="37">
        <f>'_Data'!H175</f>
        <v/>
      </c>
      <c r="H53" s="37">
        <f>'_Data'!I175</f>
        <v/>
      </c>
      <c r="I53" s="40">
        <f>'_Data'!J175</f>
        <v/>
      </c>
      <c r="J53" s="39">
        <f>IF(AND(C53&gt;0,F53&gt;0),ABS(F53-C53)/C53,"")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'_Data'!K175</f>
        <v/>
      </c>
      <c r="N53" s="36">
        <f>'_Data'!L175</f>
        <v/>
      </c>
    </row>
    <row r="54">
      <c r="A54" s="36" t="inlineStr">
        <is>
          <t>2026 W19</t>
        </is>
      </c>
      <c r="B54" s="36" t="n">
        <v>19</v>
      </c>
      <c r="C54" s="36">
        <f>'_Data'!D176</f>
        <v/>
      </c>
      <c r="D54" s="36">
        <f>'_Data'!E176</f>
        <v/>
      </c>
      <c r="E54" s="36">
        <f>'_Data'!F176</f>
        <v/>
      </c>
      <c r="F54" s="37">
        <f>'_Data'!G176</f>
        <v/>
      </c>
      <c r="G54" s="37">
        <f>'_Data'!H176</f>
        <v/>
      </c>
      <c r="H54" s="37">
        <f>'_Data'!I176</f>
        <v/>
      </c>
      <c r="I54" s="40">
        <f>'_Data'!J176</f>
        <v/>
      </c>
      <c r="J54" s="39">
        <f>IF(AND(C54&gt;0,F54&gt;0),ABS(F54-C54)/C54,"")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'_Data'!K176</f>
        <v/>
      </c>
      <c r="N54" s="36">
        <f>'_Data'!L176</f>
        <v/>
      </c>
    </row>
    <row r="55">
      <c r="A55" s="36" t="inlineStr">
        <is>
          <t>2026 W20</t>
        </is>
      </c>
      <c r="B55" s="36" t="n">
        <v>20</v>
      </c>
      <c r="C55" s="36">
        <f>'_Data'!D177</f>
        <v/>
      </c>
      <c r="D55" s="36">
        <f>'_Data'!E177</f>
        <v/>
      </c>
      <c r="E55" s="36">
        <f>'_Data'!F177</f>
        <v/>
      </c>
      <c r="F55" s="37">
        <f>'_Data'!G177</f>
        <v/>
      </c>
      <c r="G55" s="37">
        <f>'_Data'!H177</f>
        <v/>
      </c>
      <c r="H55" s="37">
        <f>'_Data'!I177</f>
        <v/>
      </c>
      <c r="I55" s="40">
        <f>'_Data'!J177</f>
        <v/>
      </c>
      <c r="J55" s="39">
        <f>IF(AND(C55&gt;0,F55&gt;0),ABS(F55-C55)/C55,"")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'_Data'!K177</f>
        <v/>
      </c>
      <c r="N55" s="36">
        <f>'_Data'!L177</f>
        <v/>
      </c>
    </row>
    <row r="56">
      <c r="A56" s="36" t="inlineStr">
        <is>
          <t>2026 W21</t>
        </is>
      </c>
      <c r="B56" s="36" t="n">
        <v>21</v>
      </c>
      <c r="C56" s="36">
        <f>'_Data'!D178</f>
        <v/>
      </c>
      <c r="D56" s="36">
        <f>'_Data'!E178</f>
        <v/>
      </c>
      <c r="E56" s="36">
        <f>'_Data'!F178</f>
        <v/>
      </c>
      <c r="F56" s="37">
        <f>'_Data'!G178</f>
        <v/>
      </c>
      <c r="G56" s="37">
        <f>'_Data'!H178</f>
        <v/>
      </c>
      <c r="H56" s="37">
        <f>'_Data'!I178</f>
        <v/>
      </c>
      <c r="I56" s="40">
        <f>'_Data'!J178</f>
        <v/>
      </c>
      <c r="J56" s="39">
        <f>IF(AND(C56&gt;0,F56&gt;0),ABS(F56-C56)/C56,"")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'_Data'!K178</f>
        <v/>
      </c>
      <c r="N56" s="36">
        <f>'_Data'!L178</f>
        <v/>
      </c>
    </row>
    <row r="57">
      <c r="A57" s="36" t="inlineStr">
        <is>
          <t>2026 W22</t>
        </is>
      </c>
      <c r="B57" s="36" t="n">
        <v>22</v>
      </c>
      <c r="C57" s="36">
        <f>'_Data'!D179</f>
        <v/>
      </c>
      <c r="D57" s="36">
        <f>'_Data'!E179</f>
        <v/>
      </c>
      <c r="E57" s="36">
        <f>'_Data'!F179</f>
        <v/>
      </c>
      <c r="F57" s="37">
        <f>'_Data'!G179</f>
        <v/>
      </c>
      <c r="G57" s="37">
        <f>'_Data'!H179</f>
        <v/>
      </c>
      <c r="H57" s="37">
        <f>'_Data'!I179</f>
        <v/>
      </c>
      <c r="I57" s="40">
        <f>'_Data'!J179</f>
        <v/>
      </c>
      <c r="J57" s="39">
        <f>IF(AND(C57&gt;0,F57&gt;0),ABS(F57-C57)/C57,"")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'_Data'!K179</f>
        <v/>
      </c>
      <c r="N57" s="36">
        <f>'_Data'!L179</f>
        <v/>
      </c>
    </row>
    <row r="58">
      <c r="A58" s="36" t="inlineStr">
        <is>
          <t>2026 W23</t>
        </is>
      </c>
      <c r="B58" s="36" t="n">
        <v>23</v>
      </c>
      <c r="C58" s="36">
        <f>'_Data'!D180</f>
        <v/>
      </c>
      <c r="D58" s="36">
        <f>'_Data'!E180</f>
        <v/>
      </c>
      <c r="E58" s="36">
        <f>'_Data'!F180</f>
        <v/>
      </c>
      <c r="F58" s="37">
        <f>'_Data'!G180</f>
        <v/>
      </c>
      <c r="G58" s="37">
        <f>'_Data'!H180</f>
        <v/>
      </c>
      <c r="H58" s="37">
        <f>'_Data'!I180</f>
        <v/>
      </c>
      <c r="I58" s="40">
        <f>'_Data'!J180</f>
        <v/>
      </c>
      <c r="J58" s="39">
        <f>IF(AND(C58&gt;0,F58&gt;0),ABS(F58-C58)/C58,"")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'_Data'!K180</f>
        <v/>
      </c>
      <c r="N58" s="36">
        <f>'_Data'!L180</f>
        <v/>
      </c>
    </row>
    <row r="59">
      <c r="A59" s="36" t="inlineStr">
        <is>
          <t>2026 W24</t>
        </is>
      </c>
      <c r="B59" s="36" t="n">
        <v>24</v>
      </c>
      <c r="C59" s="36">
        <f>'_Data'!D181</f>
        <v/>
      </c>
      <c r="D59" s="36">
        <f>'_Data'!E181</f>
        <v/>
      </c>
      <c r="E59" s="36">
        <f>'_Data'!F181</f>
        <v/>
      </c>
      <c r="F59" s="37">
        <f>'_Data'!G181</f>
        <v/>
      </c>
      <c r="G59" s="37">
        <f>'_Data'!H181</f>
        <v/>
      </c>
      <c r="H59" s="37">
        <f>'_Data'!I181</f>
        <v/>
      </c>
      <c r="I59" s="40">
        <f>'_Data'!J181</f>
        <v/>
      </c>
      <c r="J59" s="39">
        <f>IF(AND(C59&gt;0,F59&gt;0),ABS(F59-C59)/C59,"")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'_Data'!K181</f>
        <v/>
      </c>
      <c r="N59" s="36">
        <f>'_Data'!L181</f>
        <v/>
      </c>
    </row>
    <row r="60">
      <c r="A60" s="36" t="inlineStr">
        <is>
          <t>2026 W25</t>
        </is>
      </c>
      <c r="B60" s="36" t="n">
        <v>25</v>
      </c>
      <c r="C60" s="36">
        <f>'_Data'!D182</f>
        <v/>
      </c>
      <c r="D60" s="36">
        <f>'_Data'!E182</f>
        <v/>
      </c>
      <c r="E60" s="36">
        <f>'_Data'!F182</f>
        <v/>
      </c>
      <c r="F60" s="37">
        <f>'_Data'!G182</f>
        <v/>
      </c>
      <c r="G60" s="37">
        <f>'_Data'!H182</f>
        <v/>
      </c>
      <c r="H60" s="37">
        <f>'_Data'!I182</f>
        <v/>
      </c>
      <c r="I60" s="40">
        <f>'_Data'!J182</f>
        <v/>
      </c>
      <c r="J60" s="39">
        <f>IF(AND(C60&gt;0,F60&gt;0),ABS(F60-C60)/C60,"")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'_Data'!K182</f>
        <v/>
      </c>
      <c r="N60" s="36">
        <f>'_Data'!L182</f>
        <v/>
      </c>
    </row>
    <row r="61">
      <c r="A61" s="36" t="inlineStr">
        <is>
          <t>2026 W26</t>
        </is>
      </c>
      <c r="B61" s="36" t="n">
        <v>26</v>
      </c>
      <c r="C61" s="36">
        <f>'_Data'!D183</f>
        <v/>
      </c>
      <c r="D61" s="36">
        <f>'_Data'!E183</f>
        <v/>
      </c>
      <c r="E61" s="36">
        <f>'_Data'!F183</f>
        <v/>
      </c>
      <c r="F61" s="37">
        <f>'_Data'!G183</f>
        <v/>
      </c>
      <c r="G61" s="37">
        <f>'_Data'!H183</f>
        <v/>
      </c>
      <c r="H61" s="37">
        <f>'_Data'!I183</f>
        <v/>
      </c>
      <c r="I61" s="40">
        <f>'_Data'!J183</f>
        <v/>
      </c>
      <c r="J61" s="39">
        <f>IF(AND(C61&gt;0,F61&gt;0),ABS(F61-C61)/C61,"")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'_Data'!K183</f>
        <v/>
      </c>
      <c r="N61" s="36">
        <f>'_Data'!L183</f>
        <v/>
      </c>
    </row>
    <row r="62">
      <c r="A62" s="36" t="inlineStr">
        <is>
          <t>2026 W27</t>
        </is>
      </c>
      <c r="B62" s="36" t="n">
        <v>27</v>
      </c>
      <c r="C62" s="36">
        <f>'_Data'!D184</f>
        <v/>
      </c>
      <c r="D62" s="36">
        <f>'_Data'!E184</f>
        <v/>
      </c>
      <c r="E62" s="36">
        <f>'_Data'!F184</f>
        <v/>
      </c>
      <c r="F62" s="37">
        <f>'_Data'!G184</f>
        <v/>
      </c>
      <c r="G62" s="37">
        <f>'_Data'!H184</f>
        <v/>
      </c>
      <c r="H62" s="37">
        <f>'_Data'!I184</f>
        <v/>
      </c>
      <c r="I62" s="40">
        <f>'_Data'!J184</f>
        <v/>
      </c>
      <c r="J62" s="39">
        <f>IF(AND(C62&gt;0,F62&gt;0),ABS(F62-C62)/C62,"")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'_Data'!K184</f>
        <v/>
      </c>
      <c r="N62" s="36">
        <f>'_Data'!L184</f>
        <v/>
      </c>
    </row>
    <row r="63">
      <c r="A63" s="36" t="inlineStr">
        <is>
          <t>2026 W28</t>
        </is>
      </c>
      <c r="B63" s="36" t="n">
        <v>28</v>
      </c>
      <c r="C63" s="36">
        <f>'_Data'!D185</f>
        <v/>
      </c>
      <c r="D63" s="36">
        <f>'_Data'!E185</f>
        <v/>
      </c>
      <c r="E63" s="36">
        <f>'_Data'!F185</f>
        <v/>
      </c>
      <c r="F63" s="37">
        <f>'_Data'!G185</f>
        <v/>
      </c>
      <c r="G63" s="37">
        <f>'_Data'!H185</f>
        <v/>
      </c>
      <c r="H63" s="37">
        <f>'_Data'!I185</f>
        <v/>
      </c>
      <c r="I63" s="40">
        <f>'_Data'!J185</f>
        <v/>
      </c>
      <c r="J63" s="39">
        <f>IF(AND(C63&gt;0,F63&gt;0),ABS(F63-C63)/C63,"")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'_Data'!K185</f>
        <v/>
      </c>
      <c r="N63" s="36">
        <f>'_Data'!L185</f>
        <v/>
      </c>
    </row>
    <row r="64">
      <c r="A64" s="36" t="inlineStr">
        <is>
          <t>2026 W29</t>
        </is>
      </c>
      <c r="B64" s="36" t="n">
        <v>29</v>
      </c>
      <c r="C64" s="36">
        <f>'_Data'!D186</f>
        <v/>
      </c>
      <c r="D64" s="36">
        <f>'_Data'!E186</f>
        <v/>
      </c>
      <c r="E64" s="36">
        <f>'_Data'!F186</f>
        <v/>
      </c>
      <c r="F64" s="37">
        <f>'_Data'!G186</f>
        <v/>
      </c>
      <c r="G64" s="37">
        <f>'_Data'!H186</f>
        <v/>
      </c>
      <c r="H64" s="37">
        <f>'_Data'!I186</f>
        <v/>
      </c>
      <c r="I64" s="40">
        <f>'_Data'!J186</f>
        <v/>
      </c>
      <c r="J64" s="39">
        <f>IF(AND(C64&gt;0,F64&gt;0),ABS(F64-C64)/C64,"")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'_Data'!K186</f>
        <v/>
      </c>
      <c r="N64" s="36">
        <f>'_Data'!L186</f>
        <v/>
      </c>
    </row>
    <row r="65">
      <c r="A65" s="36" t="inlineStr">
        <is>
          <t>2026 W30</t>
        </is>
      </c>
      <c r="B65" s="36" t="n">
        <v>30</v>
      </c>
      <c r="C65" s="36">
        <f>'_Data'!D187</f>
        <v/>
      </c>
      <c r="D65" s="36">
        <f>'_Data'!E187</f>
        <v/>
      </c>
      <c r="E65" s="36">
        <f>'_Data'!F187</f>
        <v/>
      </c>
      <c r="F65" s="37">
        <f>'_Data'!G187</f>
        <v/>
      </c>
      <c r="G65" s="37">
        <f>'_Data'!H187</f>
        <v/>
      </c>
      <c r="H65" s="37">
        <f>'_Data'!I187</f>
        <v/>
      </c>
      <c r="I65" s="40">
        <f>'_Data'!J187</f>
        <v/>
      </c>
      <c r="J65" s="39">
        <f>IF(AND(C65&gt;0,F65&gt;0),ABS(F65-C65)/C65,"")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'_Data'!K187</f>
        <v/>
      </c>
      <c r="N65" s="36">
        <f>'_Data'!L187</f>
        <v/>
      </c>
    </row>
    <row r="66">
      <c r="A66" s="36" t="inlineStr">
        <is>
          <t>2026 W31</t>
        </is>
      </c>
      <c r="B66" s="36" t="n">
        <v>31</v>
      </c>
      <c r="C66" s="36">
        <f>'_Data'!D188</f>
        <v/>
      </c>
      <c r="D66" s="36">
        <f>'_Data'!E188</f>
        <v/>
      </c>
      <c r="E66" s="36">
        <f>'_Data'!F188</f>
        <v/>
      </c>
      <c r="F66" s="37">
        <f>'_Data'!G188</f>
        <v/>
      </c>
      <c r="G66" s="37">
        <f>'_Data'!H188</f>
        <v/>
      </c>
      <c r="H66" s="37">
        <f>'_Data'!I188</f>
        <v/>
      </c>
      <c r="I66" s="40">
        <f>'_Data'!J188</f>
        <v/>
      </c>
      <c r="J66" s="39">
        <f>IF(AND(C66&gt;0,F66&gt;0),ABS(F66-C66)/C66,"")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'_Data'!K188</f>
        <v/>
      </c>
      <c r="N66" s="36">
        <f>'_Data'!L188</f>
        <v/>
      </c>
    </row>
    <row r="67">
      <c r="A67" s="36" t="inlineStr">
        <is>
          <t>2026 W32</t>
        </is>
      </c>
      <c r="B67" s="36" t="n">
        <v>32</v>
      </c>
      <c r="C67" s="36">
        <f>'_Data'!D189</f>
        <v/>
      </c>
      <c r="D67" s="36">
        <f>'_Data'!E189</f>
        <v/>
      </c>
      <c r="E67" s="36">
        <f>'_Data'!F189</f>
        <v/>
      </c>
      <c r="F67" s="37">
        <f>'_Data'!G189</f>
        <v/>
      </c>
      <c r="G67" s="37">
        <f>'_Data'!H189</f>
        <v/>
      </c>
      <c r="H67" s="37">
        <f>'_Data'!I189</f>
        <v/>
      </c>
      <c r="I67" s="40">
        <f>'_Data'!J189</f>
        <v/>
      </c>
      <c r="J67" s="39">
        <f>IF(AND(C67&gt;0,F67&gt;0),ABS(F67-C67)/C67,"")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'_Data'!K189</f>
        <v/>
      </c>
      <c r="N67" s="36">
        <f>'_Data'!L189</f>
        <v/>
      </c>
    </row>
    <row r="68">
      <c r="A68" s="36" t="inlineStr">
        <is>
          <t>2026 W33</t>
        </is>
      </c>
      <c r="B68" s="36" t="n">
        <v>33</v>
      </c>
      <c r="C68" s="36">
        <f>'_Data'!D190</f>
        <v/>
      </c>
      <c r="D68" s="36">
        <f>'_Data'!E190</f>
        <v/>
      </c>
      <c r="E68" s="36">
        <f>'_Data'!F190</f>
        <v/>
      </c>
      <c r="F68" s="37">
        <f>'_Data'!G190</f>
        <v/>
      </c>
      <c r="G68" s="37">
        <f>'_Data'!H190</f>
        <v/>
      </c>
      <c r="H68" s="37">
        <f>'_Data'!I190</f>
        <v/>
      </c>
      <c r="I68" s="40">
        <f>'_Data'!J190</f>
        <v/>
      </c>
      <c r="J68" s="39">
        <f>IF(AND(C68&gt;0,F68&gt;0),ABS(F68-C68)/C68,"")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'_Data'!K190</f>
        <v/>
      </c>
      <c r="N68" s="36">
        <f>'_Data'!L190</f>
        <v/>
      </c>
    </row>
    <row r="69">
      <c r="A69" s="36" t="inlineStr">
        <is>
          <t>2026 W34</t>
        </is>
      </c>
      <c r="B69" s="36" t="n">
        <v>34</v>
      </c>
      <c r="C69" s="36">
        <f>'_Data'!D191</f>
        <v/>
      </c>
      <c r="D69" s="36">
        <f>'_Data'!E191</f>
        <v/>
      </c>
      <c r="E69" s="36">
        <f>'_Data'!F191</f>
        <v/>
      </c>
      <c r="F69" s="37">
        <f>'_Data'!G191</f>
        <v/>
      </c>
      <c r="G69" s="37">
        <f>'_Data'!H191</f>
        <v/>
      </c>
      <c r="H69" s="37">
        <f>'_Data'!I191</f>
        <v/>
      </c>
      <c r="I69" s="40">
        <f>'_Data'!J191</f>
        <v/>
      </c>
      <c r="J69" s="39">
        <f>IF(AND(C69&gt;0,F69&gt;0),ABS(F69-C69)/C69,"")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'_Data'!K191</f>
        <v/>
      </c>
      <c r="N69" s="36">
        <f>'_Data'!L191</f>
        <v/>
      </c>
    </row>
    <row r="70">
      <c r="A70" s="36" t="inlineStr">
        <is>
          <t>2026 W35</t>
        </is>
      </c>
      <c r="B70" s="36" t="n">
        <v>35</v>
      </c>
      <c r="C70" s="36">
        <f>'_Data'!D192</f>
        <v/>
      </c>
      <c r="D70" s="36">
        <f>'_Data'!E192</f>
        <v/>
      </c>
      <c r="E70" s="36">
        <f>'_Data'!F192</f>
        <v/>
      </c>
      <c r="F70" s="37">
        <f>'_Data'!G192</f>
        <v/>
      </c>
      <c r="G70" s="37">
        <f>'_Data'!H192</f>
        <v/>
      </c>
      <c r="H70" s="37">
        <f>'_Data'!I192</f>
        <v/>
      </c>
      <c r="I70" s="40">
        <f>'_Data'!J192</f>
        <v/>
      </c>
      <c r="J70" s="39">
        <f>IF(AND(C70&gt;0,F70&gt;0),ABS(F70-C70)/C70,"")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'_Data'!K192</f>
        <v/>
      </c>
      <c r="N70" s="36">
        <f>'_Data'!L192</f>
        <v/>
      </c>
    </row>
    <row r="71">
      <c r="A71" s="36" t="inlineStr">
        <is>
          <t>2026 W36</t>
        </is>
      </c>
      <c r="B71" s="36" t="n">
        <v>36</v>
      </c>
      <c r="C71" s="36">
        <f>'_Data'!D193</f>
        <v/>
      </c>
      <c r="D71" s="36">
        <f>'_Data'!E193</f>
        <v/>
      </c>
      <c r="E71" s="36">
        <f>'_Data'!F193</f>
        <v/>
      </c>
      <c r="F71" s="37">
        <f>'_Data'!G193</f>
        <v/>
      </c>
      <c r="G71" s="37">
        <f>'_Data'!H193</f>
        <v/>
      </c>
      <c r="H71" s="37">
        <f>'_Data'!I193</f>
        <v/>
      </c>
      <c r="I71" s="40">
        <f>'_Data'!J193</f>
        <v/>
      </c>
      <c r="J71" s="39">
        <f>IF(AND(C71&gt;0,F71&gt;0),ABS(F71-C71)/C71,"")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'_Data'!K193</f>
        <v/>
      </c>
      <c r="N71" s="36">
        <f>'_Data'!L193</f>
        <v/>
      </c>
    </row>
    <row r="72">
      <c r="A72" s="36" t="inlineStr">
        <is>
          <t>2026 W37</t>
        </is>
      </c>
      <c r="B72" s="36" t="n">
        <v>37</v>
      </c>
      <c r="C72" s="36">
        <f>'_Data'!D194</f>
        <v/>
      </c>
      <c r="D72" s="36">
        <f>'_Data'!E194</f>
        <v/>
      </c>
      <c r="E72" s="36">
        <f>'_Data'!F194</f>
        <v/>
      </c>
      <c r="F72" s="37">
        <f>'_Data'!G194</f>
        <v/>
      </c>
      <c r="G72" s="37">
        <f>'_Data'!H194</f>
        <v/>
      </c>
      <c r="H72" s="37">
        <f>'_Data'!I194</f>
        <v/>
      </c>
      <c r="I72" s="40">
        <f>'_Data'!J194</f>
        <v/>
      </c>
      <c r="J72" s="39">
        <f>IF(AND(C72&gt;0,F72&gt;0),ABS(F72-C72)/C72,"")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'_Data'!K194</f>
        <v/>
      </c>
      <c r="N72" s="36">
        <f>'_Data'!L194</f>
        <v/>
      </c>
    </row>
    <row r="73">
      <c r="A73" s="36" t="inlineStr">
        <is>
          <t>2026 W38</t>
        </is>
      </c>
      <c r="B73" s="36" t="n">
        <v>38</v>
      </c>
      <c r="C73" s="36">
        <f>'_Data'!D195</f>
        <v/>
      </c>
      <c r="D73" s="36">
        <f>'_Data'!E195</f>
        <v/>
      </c>
      <c r="E73" s="36">
        <f>'_Data'!F195</f>
        <v/>
      </c>
      <c r="F73" s="37">
        <f>'_Data'!G195</f>
        <v/>
      </c>
      <c r="G73" s="37">
        <f>'_Data'!H195</f>
        <v/>
      </c>
      <c r="H73" s="37">
        <f>'_Data'!I195</f>
        <v/>
      </c>
      <c r="I73" s="40">
        <f>'_Data'!J195</f>
        <v/>
      </c>
      <c r="J73" s="39">
        <f>IF(AND(C73&gt;0,F73&gt;0),ABS(F73-C73)/C73,"")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'_Data'!K195</f>
        <v/>
      </c>
      <c r="N73" s="36">
        <f>'_Data'!L195</f>
        <v/>
      </c>
    </row>
    <row r="74">
      <c r="A74" s="36" t="inlineStr">
        <is>
          <t>2026 W39</t>
        </is>
      </c>
      <c r="B74" s="36" t="n">
        <v>39</v>
      </c>
      <c r="C74" s="36">
        <f>'_Data'!D196</f>
        <v/>
      </c>
      <c r="D74" s="36">
        <f>'_Data'!E196</f>
        <v/>
      </c>
      <c r="E74" s="36">
        <f>'_Data'!F196</f>
        <v/>
      </c>
      <c r="F74" s="37">
        <f>'_Data'!G196</f>
        <v/>
      </c>
      <c r="G74" s="37">
        <f>'_Data'!H196</f>
        <v/>
      </c>
      <c r="H74" s="37">
        <f>'_Data'!I196</f>
        <v/>
      </c>
      <c r="I74" s="40">
        <f>'_Data'!J196</f>
        <v/>
      </c>
      <c r="J74" s="39">
        <f>IF(AND(C74&gt;0,F74&gt;0),ABS(F74-C74)/C74,"")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'_Data'!K196</f>
        <v/>
      </c>
      <c r="N74" s="36">
        <f>'_Data'!L196</f>
        <v/>
      </c>
    </row>
    <row r="75">
      <c r="A75" s="36" t="inlineStr">
        <is>
          <t>2026 W40</t>
        </is>
      </c>
      <c r="B75" s="36" t="n">
        <v>40</v>
      </c>
      <c r="C75" s="36">
        <f>'_Data'!D197</f>
        <v/>
      </c>
      <c r="D75" s="36">
        <f>'_Data'!E197</f>
        <v/>
      </c>
      <c r="E75" s="36">
        <f>'_Data'!F197</f>
        <v/>
      </c>
      <c r="F75" s="37">
        <f>'_Data'!G197</f>
        <v/>
      </c>
      <c r="G75" s="37">
        <f>'_Data'!H197</f>
        <v/>
      </c>
      <c r="H75" s="37">
        <f>'_Data'!I197</f>
        <v/>
      </c>
      <c r="I75" s="40">
        <f>'_Data'!J197</f>
        <v/>
      </c>
      <c r="J75" s="39">
        <f>IF(AND(C75&gt;0,F75&gt;0),ABS(F75-C75)/C75,"")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'_Data'!K197</f>
        <v/>
      </c>
      <c r="N75" s="36">
        <f>'_Data'!L197</f>
        <v/>
      </c>
    </row>
    <row r="76">
      <c r="A76" s="36" t="inlineStr">
        <is>
          <t>2026 W41</t>
        </is>
      </c>
      <c r="B76" s="36" t="n">
        <v>41</v>
      </c>
      <c r="C76" s="36">
        <f>'_Data'!D198</f>
        <v/>
      </c>
      <c r="D76" s="36">
        <f>'_Data'!E198</f>
        <v/>
      </c>
      <c r="E76" s="36">
        <f>'_Data'!F198</f>
        <v/>
      </c>
      <c r="F76" s="37">
        <f>'_Data'!G198</f>
        <v/>
      </c>
      <c r="G76" s="37">
        <f>'_Data'!H198</f>
        <v/>
      </c>
      <c r="H76" s="37">
        <f>'_Data'!I198</f>
        <v/>
      </c>
      <c r="I76" s="40">
        <f>'_Data'!J198</f>
        <v/>
      </c>
      <c r="J76" s="39">
        <f>IF(AND(C76&gt;0,F76&gt;0),ABS(F76-C76)/C76,"")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'_Data'!K198</f>
        <v/>
      </c>
      <c r="N76" s="36">
        <f>'_Data'!L198</f>
        <v/>
      </c>
    </row>
    <row r="77">
      <c r="A77" s="36" t="inlineStr">
        <is>
          <t>2026 W42</t>
        </is>
      </c>
      <c r="B77" s="36" t="n">
        <v>42</v>
      </c>
      <c r="C77" s="36">
        <f>'_Data'!D199</f>
        <v/>
      </c>
      <c r="D77" s="36">
        <f>'_Data'!E199</f>
        <v/>
      </c>
      <c r="E77" s="36">
        <f>'_Data'!F199</f>
        <v/>
      </c>
      <c r="F77" s="37">
        <f>'_Data'!G199</f>
        <v/>
      </c>
      <c r="G77" s="37">
        <f>'_Data'!H199</f>
        <v/>
      </c>
      <c r="H77" s="37">
        <f>'_Data'!I199</f>
        <v/>
      </c>
      <c r="I77" s="40">
        <f>'_Data'!J199</f>
        <v/>
      </c>
      <c r="J77" s="39">
        <f>IF(AND(C77&gt;0,F77&gt;0),ABS(F77-C77)/C77,"")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'_Data'!K199</f>
        <v/>
      </c>
      <c r="N77" s="36">
        <f>'_Data'!L199</f>
        <v/>
      </c>
    </row>
    <row r="78">
      <c r="A78" s="36" t="inlineStr">
        <is>
          <t>2026 W43</t>
        </is>
      </c>
      <c r="B78" s="36" t="n">
        <v>43</v>
      </c>
      <c r="C78" s="36">
        <f>'_Data'!D200</f>
        <v/>
      </c>
      <c r="D78" s="36">
        <f>'_Data'!E200</f>
        <v/>
      </c>
      <c r="E78" s="36">
        <f>'_Data'!F200</f>
        <v/>
      </c>
      <c r="F78" s="37">
        <f>'_Data'!G200</f>
        <v/>
      </c>
      <c r="G78" s="37">
        <f>'_Data'!H200</f>
        <v/>
      </c>
      <c r="H78" s="37">
        <f>'_Data'!I200</f>
        <v/>
      </c>
      <c r="I78" s="40">
        <f>'_Data'!J200</f>
        <v/>
      </c>
      <c r="J78" s="39">
        <f>IF(AND(C78&gt;0,F78&gt;0),ABS(F78-C78)/C78,"")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'_Data'!K200</f>
        <v/>
      </c>
      <c r="N78" s="36">
        <f>'_Data'!L200</f>
        <v/>
      </c>
    </row>
    <row r="79">
      <c r="A79" s="36" t="inlineStr">
        <is>
          <t>2026 W44</t>
        </is>
      </c>
      <c r="B79" s="36" t="n">
        <v>44</v>
      </c>
      <c r="C79" s="36">
        <f>'_Data'!D201</f>
        <v/>
      </c>
      <c r="D79" s="36">
        <f>'_Data'!E201</f>
        <v/>
      </c>
      <c r="E79" s="36">
        <f>'_Data'!F201</f>
        <v/>
      </c>
      <c r="F79" s="37">
        <f>'_Data'!G201</f>
        <v/>
      </c>
      <c r="G79" s="37">
        <f>'_Data'!H201</f>
        <v/>
      </c>
      <c r="H79" s="37">
        <f>'_Data'!I201</f>
        <v/>
      </c>
      <c r="I79" s="40">
        <f>'_Data'!J201</f>
        <v/>
      </c>
      <c r="J79" s="39">
        <f>IF(AND(C79&gt;0,F79&gt;0),ABS(F79-C79)/C79,"")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'_Data'!K201</f>
        <v/>
      </c>
      <c r="N79" s="36">
        <f>'_Data'!L201</f>
        <v/>
      </c>
    </row>
    <row r="80">
      <c r="A80" s="36" t="inlineStr">
        <is>
          <t>2026 W45</t>
        </is>
      </c>
      <c r="B80" s="36" t="n">
        <v>45</v>
      </c>
      <c r="C80" s="36">
        <f>'_Data'!D202</f>
        <v/>
      </c>
      <c r="D80" s="36">
        <f>'_Data'!E202</f>
        <v/>
      </c>
      <c r="E80" s="36">
        <f>'_Data'!F202</f>
        <v/>
      </c>
      <c r="F80" s="37">
        <f>'_Data'!G202</f>
        <v/>
      </c>
      <c r="G80" s="37">
        <f>'_Data'!H202</f>
        <v/>
      </c>
      <c r="H80" s="37">
        <f>'_Data'!I202</f>
        <v/>
      </c>
      <c r="I80" s="40">
        <f>'_Data'!J202</f>
        <v/>
      </c>
      <c r="J80" s="39">
        <f>IF(AND(C80&gt;0,F80&gt;0),ABS(F80-C80)/C80,"")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'_Data'!K202</f>
        <v/>
      </c>
      <c r="N80" s="36">
        <f>'_Data'!L202</f>
        <v/>
      </c>
    </row>
    <row r="81">
      <c r="A81" s="36" t="inlineStr">
        <is>
          <t>2026 W46</t>
        </is>
      </c>
      <c r="B81" s="36" t="n">
        <v>46</v>
      </c>
      <c r="C81" s="36">
        <f>'_Data'!D203</f>
        <v/>
      </c>
      <c r="D81" s="36">
        <f>'_Data'!E203</f>
        <v/>
      </c>
      <c r="E81" s="36">
        <f>'_Data'!F203</f>
        <v/>
      </c>
      <c r="F81" s="37">
        <f>'_Data'!G203</f>
        <v/>
      </c>
      <c r="G81" s="37">
        <f>'_Data'!H203</f>
        <v/>
      </c>
      <c r="H81" s="37">
        <f>'_Data'!I203</f>
        <v/>
      </c>
      <c r="I81" s="40">
        <f>'_Data'!J203</f>
        <v/>
      </c>
      <c r="J81" s="39">
        <f>IF(AND(C81&gt;0,F81&gt;0),ABS(F81-C81)/C81,"")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'_Data'!K203</f>
        <v/>
      </c>
      <c r="N81" s="36">
        <f>'_Data'!L203</f>
        <v/>
      </c>
    </row>
    <row r="82">
      <c r="A82" s="36" t="inlineStr">
        <is>
          <t>2026 W47</t>
        </is>
      </c>
      <c r="B82" s="36" t="n">
        <v>47</v>
      </c>
      <c r="C82" s="36">
        <f>'_Data'!D204</f>
        <v/>
      </c>
      <c r="D82" s="36">
        <f>'_Data'!E204</f>
        <v/>
      </c>
      <c r="E82" s="36">
        <f>'_Data'!F204</f>
        <v/>
      </c>
      <c r="F82" s="37">
        <f>'_Data'!G204</f>
        <v/>
      </c>
      <c r="G82" s="37">
        <f>'_Data'!H204</f>
        <v/>
      </c>
      <c r="H82" s="37">
        <f>'_Data'!I204</f>
        <v/>
      </c>
      <c r="I82" s="40">
        <f>'_Data'!J204</f>
        <v/>
      </c>
      <c r="J82" s="39">
        <f>IF(AND(C82&gt;0,F82&gt;0),ABS(F82-C82)/C82,"")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'_Data'!K204</f>
        <v/>
      </c>
      <c r="N82" s="36">
        <f>'_Data'!L204</f>
        <v/>
      </c>
    </row>
    <row r="83">
      <c r="A83" s="36" t="inlineStr">
        <is>
          <t>2026 W48</t>
        </is>
      </c>
      <c r="B83" s="36" t="n">
        <v>48</v>
      </c>
      <c r="C83" s="36">
        <f>'_Data'!D205</f>
        <v/>
      </c>
      <c r="D83" s="36">
        <f>'_Data'!E205</f>
        <v/>
      </c>
      <c r="E83" s="36">
        <f>'_Data'!F205</f>
        <v/>
      </c>
      <c r="F83" s="37">
        <f>'_Data'!G205</f>
        <v/>
      </c>
      <c r="G83" s="37">
        <f>'_Data'!H205</f>
        <v/>
      </c>
      <c r="H83" s="37">
        <f>'_Data'!I205</f>
        <v/>
      </c>
      <c r="I83" s="40">
        <f>'_Data'!J205</f>
        <v/>
      </c>
      <c r="J83" s="39">
        <f>IF(AND(C83&gt;0,F83&gt;0),ABS(F83-C83)/C83,"")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'_Data'!K205</f>
        <v/>
      </c>
      <c r="N83" s="36">
        <f>'_Data'!L205</f>
        <v/>
      </c>
    </row>
    <row r="84">
      <c r="A84" s="36" t="inlineStr">
        <is>
          <t>2026 W49</t>
        </is>
      </c>
      <c r="B84" s="36" t="n">
        <v>49</v>
      </c>
      <c r="C84" s="36">
        <f>'_Data'!D206</f>
        <v/>
      </c>
      <c r="D84" s="36">
        <f>'_Data'!E206</f>
        <v/>
      </c>
      <c r="E84" s="36">
        <f>'_Data'!F206</f>
        <v/>
      </c>
      <c r="F84" s="37">
        <f>'_Data'!G206</f>
        <v/>
      </c>
      <c r="G84" s="37">
        <f>'_Data'!H206</f>
        <v/>
      </c>
      <c r="H84" s="37">
        <f>'_Data'!I206</f>
        <v/>
      </c>
      <c r="I84" s="40">
        <f>'_Data'!J206</f>
        <v/>
      </c>
      <c r="J84" s="39">
        <f>IF(AND(C84&gt;0,F84&gt;0),ABS(F84-C84)/C84,"")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'_Data'!K206</f>
        <v/>
      </c>
      <c r="N84" s="36">
        <f>'_Data'!L206</f>
        <v/>
      </c>
    </row>
    <row r="85">
      <c r="A85" s="36" t="inlineStr">
        <is>
          <t>2026 W50</t>
        </is>
      </c>
      <c r="B85" s="36" t="n">
        <v>50</v>
      </c>
      <c r="C85" s="36">
        <f>'_Data'!D207</f>
        <v/>
      </c>
      <c r="D85" s="36">
        <f>'_Data'!E207</f>
        <v/>
      </c>
      <c r="E85" s="36">
        <f>'_Data'!F207</f>
        <v/>
      </c>
      <c r="F85" s="37">
        <f>'_Data'!G207</f>
        <v/>
      </c>
      <c r="G85" s="37">
        <f>'_Data'!H207</f>
        <v/>
      </c>
      <c r="H85" s="37">
        <f>'_Data'!I207</f>
        <v/>
      </c>
      <c r="I85" s="40">
        <f>'_Data'!J207</f>
        <v/>
      </c>
      <c r="J85" s="39">
        <f>IF(AND(C85&gt;0,F85&gt;0),ABS(F85-C85)/C85,"")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'_Data'!K207</f>
        <v/>
      </c>
      <c r="N85" s="36">
        <f>'_Data'!L207</f>
        <v/>
      </c>
    </row>
    <row r="86">
      <c r="A86" s="36" t="inlineStr">
        <is>
          <t>2026 W51</t>
        </is>
      </c>
      <c r="B86" s="36" t="n">
        <v>51</v>
      </c>
      <c r="C86" s="36">
        <f>'_Data'!D208</f>
        <v/>
      </c>
      <c r="D86" s="36">
        <f>'_Data'!E208</f>
        <v/>
      </c>
      <c r="E86" s="36">
        <f>'_Data'!F208</f>
        <v/>
      </c>
      <c r="F86" s="37">
        <f>'_Data'!G208</f>
        <v/>
      </c>
      <c r="G86" s="37">
        <f>'_Data'!H208</f>
        <v/>
      </c>
      <c r="H86" s="37">
        <f>'_Data'!I208</f>
        <v/>
      </c>
      <c r="I86" s="40">
        <f>'_Data'!J208</f>
        <v/>
      </c>
      <c r="J86" s="39">
        <f>IF(AND(C86&gt;0,F86&gt;0),ABS(F86-C86)/C86,"")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'_Data'!K208</f>
        <v/>
      </c>
      <c r="N86" s="36">
        <f>'_Data'!L208</f>
        <v/>
      </c>
    </row>
    <row r="87">
      <c r="A87" s="36" t="inlineStr">
        <is>
          <t>2026 W52</t>
        </is>
      </c>
      <c r="B87" s="36" t="n">
        <v>52</v>
      </c>
      <c r="C87" s="36">
        <f>'_Data'!D209</f>
        <v/>
      </c>
      <c r="D87" s="36">
        <f>'_Data'!E209</f>
        <v/>
      </c>
      <c r="E87" s="36">
        <f>'_Data'!F209</f>
        <v/>
      </c>
      <c r="F87" s="37">
        <f>'_Data'!G209</f>
        <v/>
      </c>
      <c r="G87" s="37">
        <f>'_Data'!H209</f>
        <v/>
      </c>
      <c r="H87" s="37">
        <f>'_Data'!I209</f>
        <v/>
      </c>
      <c r="I87" s="40">
        <f>'_Data'!J209</f>
        <v/>
      </c>
      <c r="J87" s="39">
        <f>IF(AND(C87&gt;0,F87&gt;0),ABS(F87-C87)/C87,"")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'_Data'!K209</f>
        <v/>
      </c>
      <c r="N87" s="36">
        <f>'_Data'!L209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E74C3C"/>
      </dataBar>
    </cfRule>
  </conditionalFormatting>
  <conditionalFormatting sqref="J36:J87">
    <cfRule type="colorScale" priority="2">
      <colorScale>
        <cfvo type="num" val="0"/>
        <cfvo type="num" val="0.1"/>
        <cfvo type="num" val="0.3"/>
        <color rgb="FF27AE60"/>
        <color rgb="FFFFFFFF"/>
        <color rgb="FFE74C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ABC9C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570312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5703125" customWidth="1" style="30" min="15" max="16384"/>
  </cols>
  <sheetData>
    <row r="1" ht="21" customHeight="1" s="71">
      <c r="A1" s="62" t="inlineStr">
        <is>
          <t>IT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TEXT(SUM('_Data'!D210:D261),"#,##0")</f>
        <v/>
      </c>
      <c r="B4" s="74" t="n"/>
      <c r="C4" s="33">
        <f>TEXT(SUM('_Data'!E210:E261),"$#,##0")</f>
        <v/>
      </c>
      <c r="D4" s="74" t="n"/>
      <c r="E4" s="33">
        <f>TEXT(IF(SUM('_Data'!D210:D261)&gt;0,SUM('_Data'!E210:E261)/SUM('_Data'!D210:D261),0),"$#,##0.00")</f>
        <v/>
      </c>
      <c r="F4" s="74" t="n"/>
      <c r="G4" s="33">
        <f>IF(AND('_Data'!C696&gt;0,'_Data'!F696&gt;0),TEXT(('_Data'!C696-'_Data'!F696)/'_Data'!F696,"+0.0%;-0.0%"),"")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3" t="inlineStr">
        <is>
          <t>Period</t>
        </is>
      </c>
      <c r="B9" s="63" t="inlineStr">
        <is>
          <t>Actual Regs</t>
        </is>
      </c>
      <c r="C9" s="63" t="inlineStr">
        <is>
          <t>Pred Regs</t>
        </is>
      </c>
      <c r="D9" s="63" t="inlineStr">
        <is>
          <t>CI Low</t>
        </is>
      </c>
      <c r="E9" s="63" t="inlineStr">
        <is>
          <t>CI High</t>
        </is>
      </c>
      <c r="F9" s="63" t="inlineStr">
        <is>
          <t>OP2 Target</t>
        </is>
      </c>
      <c r="G9" s="63" t="inlineStr">
        <is>
          <t>vs OP2 %</t>
        </is>
      </c>
      <c r="H9" s="63" t="inlineStr">
        <is>
          <t>Error %</t>
        </is>
      </c>
      <c r="I9" s="63" t="inlineStr">
        <is>
          <t>Confidence</t>
        </is>
      </c>
      <c r="J9" s="63" t="inlineStr">
        <is>
          <t>Score</t>
        </is>
      </c>
      <c r="K9" s="63" t="inlineStr">
        <is>
          <t>Notes</t>
        </is>
      </c>
    </row>
    <row r="10">
      <c r="A10" s="36" t="inlineStr">
        <is>
          <t>2026 Full Year</t>
        </is>
      </c>
      <c r="B10" s="37">
        <f>'_Data'!B696</f>
        <v/>
      </c>
      <c r="C10" s="37">
        <f>'_Data'!C696</f>
        <v/>
      </c>
      <c r="D10" s="37">
        <f>'_Data'!D696</f>
        <v/>
      </c>
      <c r="E10" s="37">
        <f>'_Data'!E696</f>
        <v/>
      </c>
      <c r="F10" s="37">
        <f>'_Data'!F696</f>
        <v/>
      </c>
      <c r="G10" s="38">
        <f>IF(AND(B10&gt;0,F10&gt;0),(B10-F10)/F10,"")</f>
        <v/>
      </c>
      <c r="H10" s="39">
        <f>IF(AND(B10&gt;0,C10&gt;0),ABS(C10-B10)/B10,"")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3" t="inlineStr">
        <is>
          <t>Period</t>
        </is>
      </c>
      <c r="B13" s="63" t="inlineStr">
        <is>
          <t>Actual Regs</t>
        </is>
      </c>
      <c r="C13" s="63" t="inlineStr">
        <is>
          <t>Pred Regs</t>
        </is>
      </c>
      <c r="D13" s="63" t="inlineStr">
        <is>
          <t>CI Low</t>
        </is>
      </c>
      <c r="E13" s="63" t="inlineStr">
        <is>
          <t>CI High</t>
        </is>
      </c>
      <c r="F13" s="63" t="inlineStr">
        <is>
          <t>OP2 Target</t>
        </is>
      </c>
      <c r="G13" s="63" t="inlineStr">
        <is>
          <t>vs OP2 %</t>
        </is>
      </c>
      <c r="H13" s="63" t="inlineStr">
        <is>
          <t>Error %</t>
        </is>
      </c>
      <c r="I13" s="63" t="inlineStr">
        <is>
          <t>Confidence</t>
        </is>
      </c>
      <c r="J13" s="63" t="inlineStr">
        <is>
          <t>Score</t>
        </is>
      </c>
      <c r="K13" s="63" t="inlineStr">
        <is>
          <t>Notes</t>
        </is>
      </c>
    </row>
    <row r="14">
      <c r="A14" s="41" t="inlineStr">
        <is>
          <t>Q1</t>
        </is>
      </c>
      <c r="B14" s="42">
        <f>'_Data'!D664</f>
        <v/>
      </c>
      <c r="C14" s="42">
        <f>'_Data'!E664</f>
        <v/>
      </c>
      <c r="D14" s="42">
        <f>'_Data'!F664</f>
        <v/>
      </c>
      <c r="E14" s="42">
        <f>'_Data'!G664</f>
        <v/>
      </c>
      <c r="F14" s="42">
        <f>'_Data'!H664</f>
        <v/>
      </c>
      <c r="G14" s="43">
        <f>IF(AND(B14&gt;0,F14&gt;0),(B14-F14)/F14,"")</f>
        <v/>
      </c>
      <c r="H14" s="44">
        <f>IF(AND(B14&gt;0,C14&gt;0),ABS(C14-B14)/B14,"")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'_Data'!D665</f>
        <v/>
      </c>
      <c r="C15" s="37">
        <f>'_Data'!E665</f>
        <v/>
      </c>
      <c r="D15" s="37">
        <f>'_Data'!F665</f>
        <v/>
      </c>
      <c r="E15" s="37">
        <f>'_Data'!G665</f>
        <v/>
      </c>
      <c r="F15" s="37">
        <f>'_Data'!H665</f>
        <v/>
      </c>
      <c r="G15" s="38">
        <f>IF(AND(B15&gt;0,F15&gt;0),(B15-F15)/F15,"")</f>
        <v/>
      </c>
      <c r="H15" s="39">
        <f>IF(AND(B15&gt;0,C15&gt;0),ABS(C15-B15)/B15,"")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'_Data'!D666</f>
        <v/>
      </c>
      <c r="C16" s="37">
        <f>'_Data'!E666</f>
        <v/>
      </c>
      <c r="D16" s="37">
        <f>'_Data'!F666</f>
        <v/>
      </c>
      <c r="E16" s="37">
        <f>'_Data'!G666</f>
        <v/>
      </c>
      <c r="F16" s="37">
        <f>'_Data'!H666</f>
        <v/>
      </c>
      <c r="G16" s="38">
        <f>IF(AND(B16&gt;0,F16&gt;0),(B16-F16)/F16,"")</f>
        <v/>
      </c>
      <c r="H16" s="39">
        <f>IF(AND(B16&gt;0,C16&gt;0),ABS(C16-B16)/B16,"")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'_Data'!D667</f>
        <v/>
      </c>
      <c r="C17" s="37">
        <f>'_Data'!E667</f>
        <v/>
      </c>
      <c r="D17" s="37">
        <f>'_Data'!F667</f>
        <v/>
      </c>
      <c r="E17" s="37">
        <f>'_Data'!G667</f>
        <v/>
      </c>
      <c r="F17" s="37">
        <f>'_Data'!H667</f>
        <v/>
      </c>
      <c r="G17" s="38">
        <f>IF(AND(B17&gt;0,F17&gt;0),(B17-F17)/F17,"")</f>
        <v/>
      </c>
      <c r="H17" s="39">
        <f>IF(AND(B17&gt;0,C17&gt;0),ABS(C17-B17)/B17,"")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3" t="inlineStr">
        <is>
          <t>Period</t>
        </is>
      </c>
      <c r="B20" s="63" t="inlineStr">
        <is>
          <t>Actual Regs</t>
        </is>
      </c>
      <c r="C20" s="63" t="inlineStr">
        <is>
          <t>Pred Regs</t>
        </is>
      </c>
      <c r="D20" s="63" t="inlineStr">
        <is>
          <t>CI Low</t>
        </is>
      </c>
      <c r="E20" s="63" t="inlineStr">
        <is>
          <t>CI High</t>
        </is>
      </c>
      <c r="F20" s="63" t="inlineStr">
        <is>
          <t>OP2 Target</t>
        </is>
      </c>
      <c r="G20" s="63" t="inlineStr">
        <is>
          <t>vs OP2 %</t>
        </is>
      </c>
      <c r="H20" s="63" t="inlineStr">
        <is>
          <t>Error %</t>
        </is>
      </c>
      <c r="I20" s="63" t="inlineStr">
        <is>
          <t>Confidence</t>
        </is>
      </c>
      <c r="J20" s="63" t="inlineStr">
        <is>
          <t>Score</t>
        </is>
      </c>
      <c r="K20" s="63" t="inlineStr">
        <is>
          <t>Notes</t>
        </is>
      </c>
    </row>
    <row r="21">
      <c r="A21" s="41" t="inlineStr">
        <is>
          <t>Jan</t>
        </is>
      </c>
      <c r="B21" s="42">
        <f>'_Data'!D572</f>
        <v/>
      </c>
      <c r="C21" s="42">
        <f>'_Data'!E572</f>
        <v/>
      </c>
      <c r="D21" s="42">
        <f>'_Data'!F572</f>
        <v/>
      </c>
      <c r="E21" s="42">
        <f>'_Data'!G572</f>
        <v/>
      </c>
      <c r="F21" s="42">
        <f>'_Data'!H572</f>
        <v/>
      </c>
      <c r="G21" s="43">
        <f>IF(AND(B21&gt;0,F21&gt;0),(B21-F21)/F21,"")</f>
        <v/>
      </c>
      <c r="H21" s="44">
        <f>IF(AND(B21&gt;0,C21&gt;0),ABS(C21-B21)/B21,"")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'_Data'!D573</f>
        <v/>
      </c>
      <c r="C22" s="47">
        <f>'_Data'!E573</f>
        <v/>
      </c>
      <c r="D22" s="47">
        <f>'_Data'!F573</f>
        <v/>
      </c>
      <c r="E22" s="47">
        <f>'_Data'!G573</f>
        <v/>
      </c>
      <c r="F22" s="47">
        <f>'_Data'!H573</f>
        <v/>
      </c>
      <c r="G22" s="48">
        <f>IF(AND(B22&gt;0,F22&gt;0),(B22-F22)/F22,"")</f>
        <v/>
      </c>
      <c r="H22" s="49">
        <f>IF(AND(B22&gt;0,C22&gt;0),ABS(C22-B22)/B22,"")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'_Data'!D574</f>
        <v/>
      </c>
      <c r="C23" s="42">
        <f>'_Data'!E574</f>
        <v/>
      </c>
      <c r="D23" s="42">
        <f>'_Data'!F574</f>
        <v/>
      </c>
      <c r="E23" s="42">
        <f>'_Data'!G574</f>
        <v/>
      </c>
      <c r="F23" s="42">
        <f>'_Data'!H574</f>
        <v/>
      </c>
      <c r="G23" s="43">
        <f>IF(AND(B23&gt;0,F23&gt;0),(B23-F23)/F23,"")</f>
        <v/>
      </c>
      <c r="H23" s="44">
        <f>IF(AND(B23&gt;0,C23&gt;0),ABS(C23-B23)/B23,"")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'_Data'!D575</f>
        <v/>
      </c>
      <c r="C24" s="37">
        <f>'_Data'!E575</f>
        <v/>
      </c>
      <c r="D24" s="37">
        <f>'_Data'!F575</f>
        <v/>
      </c>
      <c r="E24" s="37">
        <f>'_Data'!G575</f>
        <v/>
      </c>
      <c r="F24" s="37">
        <f>'_Data'!H575</f>
        <v/>
      </c>
      <c r="G24" s="38">
        <f>IF(AND(B24&gt;0,F24&gt;0),(B24-F24)/F24,"")</f>
        <v/>
      </c>
      <c r="H24" s="39">
        <f>IF(AND(B24&gt;0,C24&gt;0),ABS(C24-B24)/B24,"")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'_Data'!D576</f>
        <v/>
      </c>
      <c r="C25" s="37">
        <f>'_Data'!E576</f>
        <v/>
      </c>
      <c r="D25" s="37">
        <f>'_Data'!F576</f>
        <v/>
      </c>
      <c r="E25" s="37">
        <f>'_Data'!G576</f>
        <v/>
      </c>
      <c r="F25" s="37">
        <f>'_Data'!H576</f>
        <v/>
      </c>
      <c r="G25" s="38">
        <f>IF(AND(B25&gt;0,F25&gt;0),(B25-F25)/F25,"")</f>
        <v/>
      </c>
      <c r="H25" s="39">
        <f>IF(AND(B25&gt;0,C25&gt;0),ABS(C25-B25)/B25,"")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'_Data'!D577</f>
        <v/>
      </c>
      <c r="C26" s="37">
        <f>'_Data'!E577</f>
        <v/>
      </c>
      <c r="D26" s="37">
        <f>'_Data'!F577</f>
        <v/>
      </c>
      <c r="E26" s="37">
        <f>'_Data'!G577</f>
        <v/>
      </c>
      <c r="F26" s="37">
        <f>'_Data'!H577</f>
        <v/>
      </c>
      <c r="G26" s="38">
        <f>IF(AND(B26&gt;0,F26&gt;0),(B26-F26)/F26,"")</f>
        <v/>
      </c>
      <c r="H26" s="39">
        <f>IF(AND(B26&gt;0,C26&gt;0),ABS(C26-B26)/B26,"")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'_Data'!D578</f>
        <v/>
      </c>
      <c r="C27" s="37">
        <f>'_Data'!E578</f>
        <v/>
      </c>
      <c r="D27" s="37">
        <f>'_Data'!F578</f>
        <v/>
      </c>
      <c r="E27" s="37">
        <f>'_Data'!G578</f>
        <v/>
      </c>
      <c r="F27" s="37">
        <f>'_Data'!H578</f>
        <v/>
      </c>
      <c r="G27" s="38">
        <f>IF(AND(B27&gt;0,F27&gt;0),(B27-F27)/F27,"")</f>
        <v/>
      </c>
      <c r="H27" s="39">
        <f>IF(AND(B27&gt;0,C27&gt;0),ABS(C27-B27)/B27,"")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'_Data'!D579</f>
        <v/>
      </c>
      <c r="C28" s="37">
        <f>'_Data'!E579</f>
        <v/>
      </c>
      <c r="D28" s="37">
        <f>'_Data'!F579</f>
        <v/>
      </c>
      <c r="E28" s="37">
        <f>'_Data'!G579</f>
        <v/>
      </c>
      <c r="F28" s="37">
        <f>'_Data'!H579</f>
        <v/>
      </c>
      <c r="G28" s="38">
        <f>IF(AND(B28&gt;0,F28&gt;0),(B28-F28)/F28,"")</f>
        <v/>
      </c>
      <c r="H28" s="39">
        <f>IF(AND(B28&gt;0,C28&gt;0),ABS(C28-B28)/B28,"")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'_Data'!D580</f>
        <v/>
      </c>
      <c r="C29" s="37">
        <f>'_Data'!E580</f>
        <v/>
      </c>
      <c r="D29" s="37">
        <f>'_Data'!F580</f>
        <v/>
      </c>
      <c r="E29" s="37">
        <f>'_Data'!G580</f>
        <v/>
      </c>
      <c r="F29" s="37">
        <f>'_Data'!H580</f>
        <v/>
      </c>
      <c r="G29" s="38">
        <f>IF(AND(B29&gt;0,F29&gt;0),(B29-F29)/F29,"")</f>
        <v/>
      </c>
      <c r="H29" s="39">
        <f>IF(AND(B29&gt;0,C29&gt;0),ABS(C29-B29)/B29,"")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'_Data'!D581</f>
        <v/>
      </c>
      <c r="C30" s="37">
        <f>'_Data'!E581</f>
        <v/>
      </c>
      <c r="D30" s="37">
        <f>'_Data'!F581</f>
        <v/>
      </c>
      <c r="E30" s="37">
        <f>'_Data'!G581</f>
        <v/>
      </c>
      <c r="F30" s="37">
        <f>'_Data'!H581</f>
        <v/>
      </c>
      <c r="G30" s="38">
        <f>IF(AND(B30&gt;0,F30&gt;0),(B30-F30)/F30,"")</f>
        <v/>
      </c>
      <c r="H30" s="39">
        <f>IF(AND(B30&gt;0,C30&gt;0),ABS(C30-B30)/B30,"")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'_Data'!D582</f>
        <v/>
      </c>
      <c r="C31" s="37">
        <f>'_Data'!E582</f>
        <v/>
      </c>
      <c r="D31" s="37">
        <f>'_Data'!F582</f>
        <v/>
      </c>
      <c r="E31" s="37">
        <f>'_Data'!G582</f>
        <v/>
      </c>
      <c r="F31" s="37">
        <f>'_Data'!H582</f>
        <v/>
      </c>
      <c r="G31" s="38">
        <f>IF(AND(B31&gt;0,F31&gt;0),(B31-F31)/F31,"")</f>
        <v/>
      </c>
      <c r="H31" s="39">
        <f>IF(AND(B31&gt;0,C31&gt;0),ABS(C31-B31)/B31,"")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'_Data'!D583</f>
        <v/>
      </c>
      <c r="C32" s="37">
        <f>'_Data'!E583</f>
        <v/>
      </c>
      <c r="D32" s="37">
        <f>'_Data'!F583</f>
        <v/>
      </c>
      <c r="E32" s="37">
        <f>'_Data'!G583</f>
        <v/>
      </c>
      <c r="F32" s="37">
        <f>'_Data'!H583</f>
        <v/>
      </c>
      <c r="G32" s="38">
        <f>IF(AND(B32&gt;0,F32&gt;0),(B32-F32)/F32,"")</f>
        <v/>
      </c>
      <c r="H32" s="39">
        <f>IF(AND(B32&gt;0,C32&gt;0),ABS(C32-B32)/B32,"")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3" t="inlineStr">
        <is>
          <t>Week</t>
        </is>
      </c>
      <c r="B35" s="63" t="inlineStr">
        <is>
          <t>Wk#</t>
        </is>
      </c>
      <c r="C35" s="63" t="inlineStr">
        <is>
          <t>Actual Regs</t>
        </is>
      </c>
      <c r="D35" s="63" t="inlineStr">
        <is>
          <t>Actual Cost</t>
        </is>
      </c>
      <c r="E35" s="63" t="inlineStr">
        <is>
          <t>Actual CPA</t>
        </is>
      </c>
      <c r="F35" s="63" t="inlineStr">
        <is>
          <t>Pred Regs</t>
        </is>
      </c>
      <c r="G35" s="63" t="inlineStr">
        <is>
          <t>CI Low</t>
        </is>
      </c>
      <c r="H35" s="63" t="inlineStr">
        <is>
          <t>CI High</t>
        </is>
      </c>
      <c r="I35" s="63" t="inlineStr">
        <is>
          <t>Confidence</t>
        </is>
      </c>
      <c r="J35" s="63" t="inlineStr">
        <is>
          <t>Error %</t>
        </is>
      </c>
      <c r="K35" s="63" t="inlineStr">
        <is>
          <t>Within CI</t>
        </is>
      </c>
      <c r="L35" s="63" t="inlineStr">
        <is>
          <t>WoW Δ%</t>
        </is>
      </c>
      <c r="M35" s="63" t="inlineStr">
        <is>
          <t>Brand Regs</t>
        </is>
      </c>
      <c r="N35" s="63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'_Data'!D210</f>
        <v/>
      </c>
      <c r="D36" s="51">
        <f>'_Data'!E210</f>
        <v/>
      </c>
      <c r="E36" s="52">
        <f>'_Data'!F210</f>
        <v/>
      </c>
      <c r="F36" s="42">
        <f>'_Data'!G210</f>
        <v/>
      </c>
      <c r="G36" s="42">
        <f>'_Data'!H210</f>
        <v/>
      </c>
      <c r="H36" s="42">
        <f>'_Data'!I210</f>
        <v/>
      </c>
      <c r="I36" s="45">
        <f>'_Data'!J210</f>
        <v/>
      </c>
      <c r="J36" s="44">
        <f>IF(AND(C36&gt;0,F36&gt;0),ABS(F36-C36)/C36,"")</f>
        <v/>
      </c>
      <c r="K36" s="41">
        <f>IF(AND(C36&gt;0,G36&gt;0),IF(AND(C36&gt;=G36,C36&lt;=H36),"✓","✗"),"")</f>
        <v/>
      </c>
      <c r="L36" s="41" t="n"/>
      <c r="M36" s="42">
        <f>'_Data'!K210</f>
        <v/>
      </c>
      <c r="N36" s="42">
        <f>'_Data'!L210</f>
        <v/>
      </c>
    </row>
    <row r="37">
      <c r="A37" s="46" t="inlineStr">
        <is>
          <t>2026 W2</t>
        </is>
      </c>
      <c r="B37" s="46" t="n">
        <v>2</v>
      </c>
      <c r="C37" s="47">
        <f>'_Data'!D211</f>
        <v/>
      </c>
      <c r="D37" s="53">
        <f>'_Data'!E211</f>
        <v/>
      </c>
      <c r="E37" s="54">
        <f>'_Data'!F211</f>
        <v/>
      </c>
      <c r="F37" s="47">
        <f>'_Data'!G211</f>
        <v/>
      </c>
      <c r="G37" s="47">
        <f>'_Data'!H211</f>
        <v/>
      </c>
      <c r="H37" s="47">
        <f>'_Data'!I211</f>
        <v/>
      </c>
      <c r="I37" s="50">
        <f>'_Data'!J211</f>
        <v/>
      </c>
      <c r="J37" s="49">
        <f>IF(AND(C37&gt;0,F37&gt;0),ABS(F37-C37)/C37,"")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'_Data'!K211</f>
        <v/>
      </c>
      <c r="N37" s="47">
        <f>'_Data'!L211</f>
        <v/>
      </c>
    </row>
    <row r="38">
      <c r="A38" s="41" t="inlineStr">
        <is>
          <t>2026 W3</t>
        </is>
      </c>
      <c r="B38" s="41" t="n">
        <v>3</v>
      </c>
      <c r="C38" s="42">
        <f>'_Data'!D212</f>
        <v/>
      </c>
      <c r="D38" s="51">
        <f>'_Data'!E212</f>
        <v/>
      </c>
      <c r="E38" s="52">
        <f>'_Data'!F212</f>
        <v/>
      </c>
      <c r="F38" s="42">
        <f>'_Data'!G212</f>
        <v/>
      </c>
      <c r="G38" s="42">
        <f>'_Data'!H212</f>
        <v/>
      </c>
      <c r="H38" s="42">
        <f>'_Data'!I212</f>
        <v/>
      </c>
      <c r="I38" s="45">
        <f>'_Data'!J212</f>
        <v/>
      </c>
      <c r="J38" s="44">
        <f>IF(AND(C38&gt;0,F38&gt;0),ABS(F38-C38)/C38,"")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'_Data'!K212</f>
        <v/>
      </c>
      <c r="N38" s="42">
        <f>'_Data'!L212</f>
        <v/>
      </c>
    </row>
    <row r="39">
      <c r="A39" s="46" t="inlineStr">
        <is>
          <t>2026 W4</t>
        </is>
      </c>
      <c r="B39" s="46" t="n">
        <v>4</v>
      </c>
      <c r="C39" s="47">
        <f>'_Data'!D213</f>
        <v/>
      </c>
      <c r="D39" s="53">
        <f>'_Data'!E213</f>
        <v/>
      </c>
      <c r="E39" s="54">
        <f>'_Data'!F213</f>
        <v/>
      </c>
      <c r="F39" s="47">
        <f>'_Data'!G213</f>
        <v/>
      </c>
      <c r="G39" s="47">
        <f>'_Data'!H213</f>
        <v/>
      </c>
      <c r="H39" s="47">
        <f>'_Data'!I213</f>
        <v/>
      </c>
      <c r="I39" s="50">
        <f>'_Data'!J213</f>
        <v/>
      </c>
      <c r="J39" s="49">
        <f>IF(AND(C39&gt;0,F39&gt;0),ABS(F39-C39)/C39,"")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'_Data'!K213</f>
        <v/>
      </c>
      <c r="N39" s="47">
        <f>'_Data'!L213</f>
        <v/>
      </c>
    </row>
    <row r="40">
      <c r="A40" s="41" t="inlineStr">
        <is>
          <t>2026 W5</t>
        </is>
      </c>
      <c r="B40" s="41" t="n">
        <v>5</v>
      </c>
      <c r="C40" s="42">
        <f>'_Data'!D214</f>
        <v/>
      </c>
      <c r="D40" s="51">
        <f>'_Data'!E214</f>
        <v/>
      </c>
      <c r="E40" s="52">
        <f>'_Data'!F214</f>
        <v/>
      </c>
      <c r="F40" s="42">
        <f>'_Data'!G214</f>
        <v/>
      </c>
      <c r="G40" s="42">
        <f>'_Data'!H214</f>
        <v/>
      </c>
      <c r="H40" s="42">
        <f>'_Data'!I214</f>
        <v/>
      </c>
      <c r="I40" s="45">
        <f>'_Data'!J214</f>
        <v/>
      </c>
      <c r="J40" s="44">
        <f>IF(AND(C40&gt;0,F40&gt;0),ABS(F40-C40)/C40,"")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'_Data'!K214</f>
        <v/>
      </c>
      <c r="N40" s="42">
        <f>'_Data'!L214</f>
        <v/>
      </c>
    </row>
    <row r="41">
      <c r="A41" s="46" t="inlineStr">
        <is>
          <t>2026 W6</t>
        </is>
      </c>
      <c r="B41" s="46" t="n">
        <v>6</v>
      </c>
      <c r="C41" s="47">
        <f>'_Data'!D215</f>
        <v/>
      </c>
      <c r="D41" s="53">
        <f>'_Data'!E215</f>
        <v/>
      </c>
      <c r="E41" s="54">
        <f>'_Data'!F215</f>
        <v/>
      </c>
      <c r="F41" s="47">
        <f>'_Data'!G215</f>
        <v/>
      </c>
      <c r="G41" s="47">
        <f>'_Data'!H215</f>
        <v/>
      </c>
      <c r="H41" s="47">
        <f>'_Data'!I215</f>
        <v/>
      </c>
      <c r="I41" s="50">
        <f>'_Data'!J215</f>
        <v/>
      </c>
      <c r="J41" s="49">
        <f>IF(AND(C41&gt;0,F41&gt;0),ABS(F41-C41)/C41,"")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'_Data'!K215</f>
        <v/>
      </c>
      <c r="N41" s="47">
        <f>'_Data'!L215</f>
        <v/>
      </c>
    </row>
    <row r="42">
      <c r="A42" s="41" t="inlineStr">
        <is>
          <t>2026 W7</t>
        </is>
      </c>
      <c r="B42" s="41" t="n">
        <v>7</v>
      </c>
      <c r="C42" s="42">
        <f>'_Data'!D216</f>
        <v/>
      </c>
      <c r="D42" s="51">
        <f>'_Data'!E216</f>
        <v/>
      </c>
      <c r="E42" s="52">
        <f>'_Data'!F216</f>
        <v/>
      </c>
      <c r="F42" s="42">
        <f>'_Data'!G216</f>
        <v/>
      </c>
      <c r="G42" s="42">
        <f>'_Data'!H216</f>
        <v/>
      </c>
      <c r="H42" s="42">
        <f>'_Data'!I216</f>
        <v/>
      </c>
      <c r="I42" s="45">
        <f>'_Data'!J216</f>
        <v/>
      </c>
      <c r="J42" s="44">
        <f>IF(AND(C42&gt;0,F42&gt;0),ABS(F42-C42)/C42,"")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'_Data'!K216</f>
        <v/>
      </c>
      <c r="N42" s="42">
        <f>'_Data'!L216</f>
        <v/>
      </c>
    </row>
    <row r="43">
      <c r="A43" s="46" t="inlineStr">
        <is>
          <t>2026 W8</t>
        </is>
      </c>
      <c r="B43" s="46" t="n">
        <v>8</v>
      </c>
      <c r="C43" s="47">
        <f>'_Data'!D217</f>
        <v/>
      </c>
      <c r="D43" s="53">
        <f>'_Data'!E217</f>
        <v/>
      </c>
      <c r="E43" s="54">
        <f>'_Data'!F217</f>
        <v/>
      </c>
      <c r="F43" s="47">
        <f>'_Data'!G217</f>
        <v/>
      </c>
      <c r="G43" s="47">
        <f>'_Data'!H217</f>
        <v/>
      </c>
      <c r="H43" s="47">
        <f>'_Data'!I217</f>
        <v/>
      </c>
      <c r="I43" s="50">
        <f>'_Data'!J217</f>
        <v/>
      </c>
      <c r="J43" s="49">
        <f>IF(AND(C43&gt;0,F43&gt;0),ABS(F43-C43)/C43,"")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'_Data'!K217</f>
        <v/>
      </c>
      <c r="N43" s="47">
        <f>'_Data'!L217</f>
        <v/>
      </c>
    </row>
    <row r="44">
      <c r="A44" s="41" t="inlineStr">
        <is>
          <t>2026 W9</t>
        </is>
      </c>
      <c r="B44" s="41" t="n">
        <v>9</v>
      </c>
      <c r="C44" s="42">
        <f>'_Data'!D218</f>
        <v/>
      </c>
      <c r="D44" s="51">
        <f>'_Data'!E218</f>
        <v/>
      </c>
      <c r="E44" s="52">
        <f>'_Data'!F218</f>
        <v/>
      </c>
      <c r="F44" s="42">
        <f>'_Data'!G218</f>
        <v/>
      </c>
      <c r="G44" s="42">
        <f>'_Data'!H218</f>
        <v/>
      </c>
      <c r="H44" s="42">
        <f>'_Data'!I218</f>
        <v/>
      </c>
      <c r="I44" s="45">
        <f>'_Data'!J218</f>
        <v/>
      </c>
      <c r="J44" s="44">
        <f>IF(AND(C44&gt;0,F44&gt;0),ABS(F44-C44)/C44,"")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'_Data'!K218</f>
        <v/>
      </c>
      <c r="N44" s="42">
        <f>'_Data'!L218</f>
        <v/>
      </c>
    </row>
    <row r="45">
      <c r="A45" s="46" t="inlineStr">
        <is>
          <t>2026 W10</t>
        </is>
      </c>
      <c r="B45" s="46" t="n">
        <v>10</v>
      </c>
      <c r="C45" s="47">
        <f>'_Data'!D219</f>
        <v/>
      </c>
      <c r="D45" s="53">
        <f>'_Data'!E219</f>
        <v/>
      </c>
      <c r="E45" s="54">
        <f>'_Data'!F219</f>
        <v/>
      </c>
      <c r="F45" s="47">
        <f>'_Data'!G219</f>
        <v/>
      </c>
      <c r="G45" s="47">
        <f>'_Data'!H219</f>
        <v/>
      </c>
      <c r="H45" s="47">
        <f>'_Data'!I219</f>
        <v/>
      </c>
      <c r="I45" s="50">
        <f>'_Data'!J219</f>
        <v/>
      </c>
      <c r="J45" s="49">
        <f>IF(AND(C45&gt;0,F45&gt;0),ABS(F45-C45)/C45,"")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'_Data'!K219</f>
        <v/>
      </c>
      <c r="N45" s="47">
        <f>'_Data'!L219</f>
        <v/>
      </c>
    </row>
    <row r="46">
      <c r="A46" s="41" t="inlineStr">
        <is>
          <t>2026 W11</t>
        </is>
      </c>
      <c r="B46" s="41" t="n">
        <v>11</v>
      </c>
      <c r="C46" s="42">
        <f>'_Data'!D220</f>
        <v/>
      </c>
      <c r="D46" s="51">
        <f>'_Data'!E220</f>
        <v/>
      </c>
      <c r="E46" s="52">
        <f>'_Data'!F220</f>
        <v/>
      </c>
      <c r="F46" s="42">
        <f>'_Data'!G220</f>
        <v/>
      </c>
      <c r="G46" s="42">
        <f>'_Data'!H220</f>
        <v/>
      </c>
      <c r="H46" s="42">
        <f>'_Data'!I220</f>
        <v/>
      </c>
      <c r="I46" s="45">
        <f>'_Data'!J220</f>
        <v/>
      </c>
      <c r="J46" s="44">
        <f>IF(AND(C46&gt;0,F46&gt;0),ABS(F46-C46)/C46,"")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'_Data'!K220</f>
        <v/>
      </c>
      <c r="N46" s="42">
        <f>'_Data'!L220</f>
        <v/>
      </c>
    </row>
    <row r="47">
      <c r="A47" s="46" t="inlineStr">
        <is>
          <t>2026 W12</t>
        </is>
      </c>
      <c r="B47" s="46" t="n">
        <v>12</v>
      </c>
      <c r="C47" s="47">
        <f>'_Data'!D221</f>
        <v/>
      </c>
      <c r="D47" s="53">
        <f>'_Data'!E221</f>
        <v/>
      </c>
      <c r="E47" s="54">
        <f>'_Data'!F221</f>
        <v/>
      </c>
      <c r="F47" s="47">
        <f>'_Data'!G221</f>
        <v/>
      </c>
      <c r="G47" s="47">
        <f>'_Data'!H221</f>
        <v/>
      </c>
      <c r="H47" s="47">
        <f>'_Data'!I221</f>
        <v/>
      </c>
      <c r="I47" s="50">
        <f>'_Data'!J221</f>
        <v/>
      </c>
      <c r="J47" s="49">
        <f>IF(AND(C47&gt;0,F47&gt;0),ABS(F47-C47)/C47,"")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'_Data'!K221</f>
        <v/>
      </c>
      <c r="N47" s="47">
        <f>'_Data'!L221</f>
        <v/>
      </c>
    </row>
    <row r="48">
      <c r="A48" s="41" t="inlineStr">
        <is>
          <t>2026 W13</t>
        </is>
      </c>
      <c r="B48" s="41" t="n">
        <v>13</v>
      </c>
      <c r="C48" s="42">
        <f>'_Data'!D222</f>
        <v/>
      </c>
      <c r="D48" s="51">
        <f>'_Data'!E222</f>
        <v/>
      </c>
      <c r="E48" s="52">
        <f>'_Data'!F222</f>
        <v/>
      </c>
      <c r="F48" s="42">
        <f>'_Data'!G222</f>
        <v/>
      </c>
      <c r="G48" s="42">
        <f>'_Data'!H222</f>
        <v/>
      </c>
      <c r="H48" s="42">
        <f>'_Data'!I222</f>
        <v/>
      </c>
      <c r="I48" s="45">
        <f>'_Data'!J222</f>
        <v/>
      </c>
      <c r="J48" s="44">
        <f>IF(AND(C48&gt;0,F48&gt;0),ABS(F48-C48)/C48,"")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'_Data'!K222</f>
        <v/>
      </c>
      <c r="N48" s="42">
        <f>'_Data'!L222</f>
        <v/>
      </c>
    </row>
    <row r="49">
      <c r="A49" s="46" t="inlineStr">
        <is>
          <t>2026 W14</t>
        </is>
      </c>
      <c r="B49" s="46" t="n">
        <v>14</v>
      </c>
      <c r="C49" s="47">
        <f>'_Data'!D223</f>
        <v/>
      </c>
      <c r="D49" s="53">
        <f>'_Data'!E223</f>
        <v/>
      </c>
      <c r="E49" s="54">
        <f>'_Data'!F223</f>
        <v/>
      </c>
      <c r="F49" s="47">
        <f>'_Data'!G223</f>
        <v/>
      </c>
      <c r="G49" s="47">
        <f>'_Data'!H223</f>
        <v/>
      </c>
      <c r="H49" s="47">
        <f>'_Data'!I223</f>
        <v/>
      </c>
      <c r="I49" s="50">
        <f>'_Data'!J223</f>
        <v/>
      </c>
      <c r="J49" s="49">
        <f>IF(AND(C49&gt;0,F49&gt;0),ABS(F49-C49)/C49,"")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'_Data'!K223</f>
        <v/>
      </c>
      <c r="N49" s="47">
        <f>'_Data'!L223</f>
        <v/>
      </c>
    </row>
    <row r="50">
      <c r="A50" s="41" t="inlineStr">
        <is>
          <t>2026 W15</t>
        </is>
      </c>
      <c r="B50" s="41" t="n">
        <v>15</v>
      </c>
      <c r="C50" s="42">
        <f>'_Data'!D224</f>
        <v/>
      </c>
      <c r="D50" s="51">
        <f>'_Data'!E224</f>
        <v/>
      </c>
      <c r="E50" s="52">
        <f>'_Data'!F224</f>
        <v/>
      </c>
      <c r="F50" s="42">
        <f>'_Data'!G224</f>
        <v/>
      </c>
      <c r="G50" s="42">
        <f>'_Data'!H224</f>
        <v/>
      </c>
      <c r="H50" s="42">
        <f>'_Data'!I224</f>
        <v/>
      </c>
      <c r="I50" s="45">
        <f>'_Data'!J224</f>
        <v/>
      </c>
      <c r="J50" s="44">
        <f>IF(AND(C50&gt;0,F50&gt;0),ABS(F50-C50)/C50,"")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'_Data'!K224</f>
        <v/>
      </c>
      <c r="N50" s="42">
        <f>'_Data'!L224</f>
        <v/>
      </c>
    </row>
    <row r="51">
      <c r="A51" s="36" t="inlineStr">
        <is>
          <t>2026 W16</t>
        </is>
      </c>
      <c r="B51" s="36" t="n">
        <v>16</v>
      </c>
      <c r="C51" s="36">
        <f>'_Data'!D225</f>
        <v/>
      </c>
      <c r="D51" s="36">
        <f>'_Data'!E225</f>
        <v/>
      </c>
      <c r="E51" s="36">
        <f>'_Data'!F225</f>
        <v/>
      </c>
      <c r="F51" s="37">
        <f>'_Data'!G225</f>
        <v/>
      </c>
      <c r="G51" s="37">
        <f>'_Data'!H225</f>
        <v/>
      </c>
      <c r="H51" s="37">
        <f>'_Data'!I225</f>
        <v/>
      </c>
      <c r="I51" s="40">
        <f>'_Data'!J225</f>
        <v/>
      </c>
      <c r="J51" s="39">
        <f>IF(AND(C51&gt;0,F51&gt;0),ABS(F51-C51)/C51,"")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'_Data'!K225</f>
        <v/>
      </c>
      <c r="N51" s="36">
        <f>'_Data'!L225</f>
        <v/>
      </c>
    </row>
    <row r="52">
      <c r="A52" s="36" t="inlineStr">
        <is>
          <t>2026 W17</t>
        </is>
      </c>
      <c r="B52" s="36" t="n">
        <v>17</v>
      </c>
      <c r="C52" s="36">
        <f>'_Data'!D226</f>
        <v/>
      </c>
      <c r="D52" s="36">
        <f>'_Data'!E226</f>
        <v/>
      </c>
      <c r="E52" s="36">
        <f>'_Data'!F226</f>
        <v/>
      </c>
      <c r="F52" s="37">
        <f>'_Data'!G226</f>
        <v/>
      </c>
      <c r="G52" s="37">
        <f>'_Data'!H226</f>
        <v/>
      </c>
      <c r="H52" s="37">
        <f>'_Data'!I226</f>
        <v/>
      </c>
      <c r="I52" s="40">
        <f>'_Data'!J226</f>
        <v/>
      </c>
      <c r="J52" s="39">
        <f>IF(AND(C52&gt;0,F52&gt;0),ABS(F52-C52)/C52,"")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'_Data'!K226</f>
        <v/>
      </c>
      <c r="N52" s="36">
        <f>'_Data'!L226</f>
        <v/>
      </c>
    </row>
    <row r="53">
      <c r="A53" s="36" t="inlineStr">
        <is>
          <t>2026 W18</t>
        </is>
      </c>
      <c r="B53" s="36" t="n">
        <v>18</v>
      </c>
      <c r="C53" s="36">
        <f>'_Data'!D227</f>
        <v/>
      </c>
      <c r="D53" s="36">
        <f>'_Data'!E227</f>
        <v/>
      </c>
      <c r="E53" s="36">
        <f>'_Data'!F227</f>
        <v/>
      </c>
      <c r="F53" s="37">
        <f>'_Data'!G227</f>
        <v/>
      </c>
      <c r="G53" s="37">
        <f>'_Data'!H227</f>
        <v/>
      </c>
      <c r="H53" s="37">
        <f>'_Data'!I227</f>
        <v/>
      </c>
      <c r="I53" s="40">
        <f>'_Data'!J227</f>
        <v/>
      </c>
      <c r="J53" s="39">
        <f>IF(AND(C53&gt;0,F53&gt;0),ABS(F53-C53)/C53,"")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'_Data'!K227</f>
        <v/>
      </c>
      <c r="N53" s="36">
        <f>'_Data'!L227</f>
        <v/>
      </c>
    </row>
    <row r="54">
      <c r="A54" s="36" t="inlineStr">
        <is>
          <t>2026 W19</t>
        </is>
      </c>
      <c r="B54" s="36" t="n">
        <v>19</v>
      </c>
      <c r="C54" s="36">
        <f>'_Data'!D228</f>
        <v/>
      </c>
      <c r="D54" s="36">
        <f>'_Data'!E228</f>
        <v/>
      </c>
      <c r="E54" s="36">
        <f>'_Data'!F228</f>
        <v/>
      </c>
      <c r="F54" s="37">
        <f>'_Data'!G228</f>
        <v/>
      </c>
      <c r="G54" s="37">
        <f>'_Data'!H228</f>
        <v/>
      </c>
      <c r="H54" s="37">
        <f>'_Data'!I228</f>
        <v/>
      </c>
      <c r="I54" s="40">
        <f>'_Data'!J228</f>
        <v/>
      </c>
      <c r="J54" s="39">
        <f>IF(AND(C54&gt;0,F54&gt;0),ABS(F54-C54)/C54,"")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'_Data'!K228</f>
        <v/>
      </c>
      <c r="N54" s="36">
        <f>'_Data'!L228</f>
        <v/>
      </c>
    </row>
    <row r="55">
      <c r="A55" s="36" t="inlineStr">
        <is>
          <t>2026 W20</t>
        </is>
      </c>
      <c r="B55" s="36" t="n">
        <v>20</v>
      </c>
      <c r="C55" s="36">
        <f>'_Data'!D229</f>
        <v/>
      </c>
      <c r="D55" s="36">
        <f>'_Data'!E229</f>
        <v/>
      </c>
      <c r="E55" s="36">
        <f>'_Data'!F229</f>
        <v/>
      </c>
      <c r="F55" s="37">
        <f>'_Data'!G229</f>
        <v/>
      </c>
      <c r="G55" s="37">
        <f>'_Data'!H229</f>
        <v/>
      </c>
      <c r="H55" s="37">
        <f>'_Data'!I229</f>
        <v/>
      </c>
      <c r="I55" s="40">
        <f>'_Data'!J229</f>
        <v/>
      </c>
      <c r="J55" s="39">
        <f>IF(AND(C55&gt;0,F55&gt;0),ABS(F55-C55)/C55,"")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'_Data'!K229</f>
        <v/>
      </c>
      <c r="N55" s="36">
        <f>'_Data'!L229</f>
        <v/>
      </c>
    </row>
    <row r="56">
      <c r="A56" s="36" t="inlineStr">
        <is>
          <t>2026 W21</t>
        </is>
      </c>
      <c r="B56" s="36" t="n">
        <v>21</v>
      </c>
      <c r="C56" s="36">
        <f>'_Data'!D230</f>
        <v/>
      </c>
      <c r="D56" s="36">
        <f>'_Data'!E230</f>
        <v/>
      </c>
      <c r="E56" s="36">
        <f>'_Data'!F230</f>
        <v/>
      </c>
      <c r="F56" s="37">
        <f>'_Data'!G230</f>
        <v/>
      </c>
      <c r="G56" s="37">
        <f>'_Data'!H230</f>
        <v/>
      </c>
      <c r="H56" s="37">
        <f>'_Data'!I230</f>
        <v/>
      </c>
      <c r="I56" s="40">
        <f>'_Data'!J230</f>
        <v/>
      </c>
      <c r="J56" s="39">
        <f>IF(AND(C56&gt;0,F56&gt;0),ABS(F56-C56)/C56,"")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'_Data'!K230</f>
        <v/>
      </c>
      <c r="N56" s="36">
        <f>'_Data'!L230</f>
        <v/>
      </c>
    </row>
    <row r="57">
      <c r="A57" s="36" t="inlineStr">
        <is>
          <t>2026 W22</t>
        </is>
      </c>
      <c r="B57" s="36" t="n">
        <v>22</v>
      </c>
      <c r="C57" s="36">
        <f>'_Data'!D231</f>
        <v/>
      </c>
      <c r="D57" s="36">
        <f>'_Data'!E231</f>
        <v/>
      </c>
      <c r="E57" s="36">
        <f>'_Data'!F231</f>
        <v/>
      </c>
      <c r="F57" s="37">
        <f>'_Data'!G231</f>
        <v/>
      </c>
      <c r="G57" s="37">
        <f>'_Data'!H231</f>
        <v/>
      </c>
      <c r="H57" s="37">
        <f>'_Data'!I231</f>
        <v/>
      </c>
      <c r="I57" s="40">
        <f>'_Data'!J231</f>
        <v/>
      </c>
      <c r="J57" s="39">
        <f>IF(AND(C57&gt;0,F57&gt;0),ABS(F57-C57)/C57,"")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'_Data'!K231</f>
        <v/>
      </c>
      <c r="N57" s="36">
        <f>'_Data'!L231</f>
        <v/>
      </c>
    </row>
    <row r="58">
      <c r="A58" s="36" t="inlineStr">
        <is>
          <t>2026 W23</t>
        </is>
      </c>
      <c r="B58" s="36" t="n">
        <v>23</v>
      </c>
      <c r="C58" s="36">
        <f>'_Data'!D232</f>
        <v/>
      </c>
      <c r="D58" s="36">
        <f>'_Data'!E232</f>
        <v/>
      </c>
      <c r="E58" s="36">
        <f>'_Data'!F232</f>
        <v/>
      </c>
      <c r="F58" s="37">
        <f>'_Data'!G232</f>
        <v/>
      </c>
      <c r="G58" s="37">
        <f>'_Data'!H232</f>
        <v/>
      </c>
      <c r="H58" s="37">
        <f>'_Data'!I232</f>
        <v/>
      </c>
      <c r="I58" s="40">
        <f>'_Data'!J232</f>
        <v/>
      </c>
      <c r="J58" s="39">
        <f>IF(AND(C58&gt;0,F58&gt;0),ABS(F58-C58)/C58,"")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'_Data'!K232</f>
        <v/>
      </c>
      <c r="N58" s="36">
        <f>'_Data'!L232</f>
        <v/>
      </c>
    </row>
    <row r="59">
      <c r="A59" s="36" t="inlineStr">
        <is>
          <t>2026 W24</t>
        </is>
      </c>
      <c r="B59" s="36" t="n">
        <v>24</v>
      </c>
      <c r="C59" s="36">
        <f>'_Data'!D233</f>
        <v/>
      </c>
      <c r="D59" s="36">
        <f>'_Data'!E233</f>
        <v/>
      </c>
      <c r="E59" s="36">
        <f>'_Data'!F233</f>
        <v/>
      </c>
      <c r="F59" s="37">
        <f>'_Data'!G233</f>
        <v/>
      </c>
      <c r="G59" s="37">
        <f>'_Data'!H233</f>
        <v/>
      </c>
      <c r="H59" s="37">
        <f>'_Data'!I233</f>
        <v/>
      </c>
      <c r="I59" s="40">
        <f>'_Data'!J233</f>
        <v/>
      </c>
      <c r="J59" s="39">
        <f>IF(AND(C59&gt;0,F59&gt;0),ABS(F59-C59)/C59,"")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'_Data'!K233</f>
        <v/>
      </c>
      <c r="N59" s="36">
        <f>'_Data'!L233</f>
        <v/>
      </c>
    </row>
    <row r="60">
      <c r="A60" s="36" t="inlineStr">
        <is>
          <t>2026 W25</t>
        </is>
      </c>
      <c r="B60" s="36" t="n">
        <v>25</v>
      </c>
      <c r="C60" s="36">
        <f>'_Data'!D234</f>
        <v/>
      </c>
      <c r="D60" s="36">
        <f>'_Data'!E234</f>
        <v/>
      </c>
      <c r="E60" s="36">
        <f>'_Data'!F234</f>
        <v/>
      </c>
      <c r="F60" s="37">
        <f>'_Data'!G234</f>
        <v/>
      </c>
      <c r="G60" s="37">
        <f>'_Data'!H234</f>
        <v/>
      </c>
      <c r="H60" s="37">
        <f>'_Data'!I234</f>
        <v/>
      </c>
      <c r="I60" s="40">
        <f>'_Data'!J234</f>
        <v/>
      </c>
      <c r="J60" s="39">
        <f>IF(AND(C60&gt;0,F60&gt;0),ABS(F60-C60)/C60,"")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'_Data'!K234</f>
        <v/>
      </c>
      <c r="N60" s="36">
        <f>'_Data'!L234</f>
        <v/>
      </c>
    </row>
    <row r="61">
      <c r="A61" s="36" t="inlineStr">
        <is>
          <t>2026 W26</t>
        </is>
      </c>
      <c r="B61" s="36" t="n">
        <v>26</v>
      </c>
      <c r="C61" s="36">
        <f>'_Data'!D235</f>
        <v/>
      </c>
      <c r="D61" s="36">
        <f>'_Data'!E235</f>
        <v/>
      </c>
      <c r="E61" s="36">
        <f>'_Data'!F235</f>
        <v/>
      </c>
      <c r="F61" s="37">
        <f>'_Data'!G235</f>
        <v/>
      </c>
      <c r="G61" s="37">
        <f>'_Data'!H235</f>
        <v/>
      </c>
      <c r="H61" s="37">
        <f>'_Data'!I235</f>
        <v/>
      </c>
      <c r="I61" s="40">
        <f>'_Data'!J235</f>
        <v/>
      </c>
      <c r="J61" s="39">
        <f>IF(AND(C61&gt;0,F61&gt;0),ABS(F61-C61)/C61,"")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'_Data'!K235</f>
        <v/>
      </c>
      <c r="N61" s="36">
        <f>'_Data'!L235</f>
        <v/>
      </c>
    </row>
    <row r="62">
      <c r="A62" s="36" t="inlineStr">
        <is>
          <t>2026 W27</t>
        </is>
      </c>
      <c r="B62" s="36" t="n">
        <v>27</v>
      </c>
      <c r="C62" s="36">
        <f>'_Data'!D236</f>
        <v/>
      </c>
      <c r="D62" s="36">
        <f>'_Data'!E236</f>
        <v/>
      </c>
      <c r="E62" s="36">
        <f>'_Data'!F236</f>
        <v/>
      </c>
      <c r="F62" s="37">
        <f>'_Data'!G236</f>
        <v/>
      </c>
      <c r="G62" s="37">
        <f>'_Data'!H236</f>
        <v/>
      </c>
      <c r="H62" s="37">
        <f>'_Data'!I236</f>
        <v/>
      </c>
      <c r="I62" s="40">
        <f>'_Data'!J236</f>
        <v/>
      </c>
      <c r="J62" s="39">
        <f>IF(AND(C62&gt;0,F62&gt;0),ABS(F62-C62)/C62,"")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'_Data'!K236</f>
        <v/>
      </c>
      <c r="N62" s="36">
        <f>'_Data'!L236</f>
        <v/>
      </c>
    </row>
    <row r="63">
      <c r="A63" s="36" t="inlineStr">
        <is>
          <t>2026 W28</t>
        </is>
      </c>
      <c r="B63" s="36" t="n">
        <v>28</v>
      </c>
      <c r="C63" s="36">
        <f>'_Data'!D237</f>
        <v/>
      </c>
      <c r="D63" s="36">
        <f>'_Data'!E237</f>
        <v/>
      </c>
      <c r="E63" s="36">
        <f>'_Data'!F237</f>
        <v/>
      </c>
      <c r="F63" s="37">
        <f>'_Data'!G237</f>
        <v/>
      </c>
      <c r="G63" s="37">
        <f>'_Data'!H237</f>
        <v/>
      </c>
      <c r="H63" s="37">
        <f>'_Data'!I237</f>
        <v/>
      </c>
      <c r="I63" s="40">
        <f>'_Data'!J237</f>
        <v/>
      </c>
      <c r="J63" s="39">
        <f>IF(AND(C63&gt;0,F63&gt;0),ABS(F63-C63)/C63,"")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'_Data'!K237</f>
        <v/>
      </c>
      <c r="N63" s="36">
        <f>'_Data'!L237</f>
        <v/>
      </c>
    </row>
    <row r="64">
      <c r="A64" s="36" t="inlineStr">
        <is>
          <t>2026 W29</t>
        </is>
      </c>
      <c r="B64" s="36" t="n">
        <v>29</v>
      </c>
      <c r="C64" s="36">
        <f>'_Data'!D238</f>
        <v/>
      </c>
      <c r="D64" s="36">
        <f>'_Data'!E238</f>
        <v/>
      </c>
      <c r="E64" s="36">
        <f>'_Data'!F238</f>
        <v/>
      </c>
      <c r="F64" s="37">
        <f>'_Data'!G238</f>
        <v/>
      </c>
      <c r="G64" s="37">
        <f>'_Data'!H238</f>
        <v/>
      </c>
      <c r="H64" s="37">
        <f>'_Data'!I238</f>
        <v/>
      </c>
      <c r="I64" s="40">
        <f>'_Data'!J238</f>
        <v/>
      </c>
      <c r="J64" s="39">
        <f>IF(AND(C64&gt;0,F64&gt;0),ABS(F64-C64)/C64,"")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'_Data'!K238</f>
        <v/>
      </c>
      <c r="N64" s="36">
        <f>'_Data'!L238</f>
        <v/>
      </c>
    </row>
    <row r="65">
      <c r="A65" s="36" t="inlineStr">
        <is>
          <t>2026 W30</t>
        </is>
      </c>
      <c r="B65" s="36" t="n">
        <v>30</v>
      </c>
      <c r="C65" s="36">
        <f>'_Data'!D239</f>
        <v/>
      </c>
      <c r="D65" s="36">
        <f>'_Data'!E239</f>
        <v/>
      </c>
      <c r="E65" s="36">
        <f>'_Data'!F239</f>
        <v/>
      </c>
      <c r="F65" s="37">
        <f>'_Data'!G239</f>
        <v/>
      </c>
      <c r="G65" s="37">
        <f>'_Data'!H239</f>
        <v/>
      </c>
      <c r="H65" s="37">
        <f>'_Data'!I239</f>
        <v/>
      </c>
      <c r="I65" s="40">
        <f>'_Data'!J239</f>
        <v/>
      </c>
      <c r="J65" s="39">
        <f>IF(AND(C65&gt;0,F65&gt;0),ABS(F65-C65)/C65,"")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'_Data'!K239</f>
        <v/>
      </c>
      <c r="N65" s="36">
        <f>'_Data'!L239</f>
        <v/>
      </c>
    </row>
    <row r="66">
      <c r="A66" s="36" t="inlineStr">
        <is>
          <t>2026 W31</t>
        </is>
      </c>
      <c r="B66" s="36" t="n">
        <v>31</v>
      </c>
      <c r="C66" s="36">
        <f>'_Data'!D240</f>
        <v/>
      </c>
      <c r="D66" s="36">
        <f>'_Data'!E240</f>
        <v/>
      </c>
      <c r="E66" s="36">
        <f>'_Data'!F240</f>
        <v/>
      </c>
      <c r="F66" s="37">
        <f>'_Data'!G240</f>
        <v/>
      </c>
      <c r="G66" s="37">
        <f>'_Data'!H240</f>
        <v/>
      </c>
      <c r="H66" s="37">
        <f>'_Data'!I240</f>
        <v/>
      </c>
      <c r="I66" s="40">
        <f>'_Data'!J240</f>
        <v/>
      </c>
      <c r="J66" s="39">
        <f>IF(AND(C66&gt;0,F66&gt;0),ABS(F66-C66)/C66,"")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'_Data'!K240</f>
        <v/>
      </c>
      <c r="N66" s="36">
        <f>'_Data'!L240</f>
        <v/>
      </c>
    </row>
    <row r="67">
      <c r="A67" s="36" t="inlineStr">
        <is>
          <t>2026 W32</t>
        </is>
      </c>
      <c r="B67" s="36" t="n">
        <v>32</v>
      </c>
      <c r="C67" s="36">
        <f>'_Data'!D241</f>
        <v/>
      </c>
      <c r="D67" s="36">
        <f>'_Data'!E241</f>
        <v/>
      </c>
      <c r="E67" s="36">
        <f>'_Data'!F241</f>
        <v/>
      </c>
      <c r="F67" s="37">
        <f>'_Data'!G241</f>
        <v/>
      </c>
      <c r="G67" s="37">
        <f>'_Data'!H241</f>
        <v/>
      </c>
      <c r="H67" s="37">
        <f>'_Data'!I241</f>
        <v/>
      </c>
      <c r="I67" s="40">
        <f>'_Data'!J241</f>
        <v/>
      </c>
      <c r="J67" s="39">
        <f>IF(AND(C67&gt;0,F67&gt;0),ABS(F67-C67)/C67,"")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'_Data'!K241</f>
        <v/>
      </c>
      <c r="N67" s="36">
        <f>'_Data'!L241</f>
        <v/>
      </c>
    </row>
    <row r="68">
      <c r="A68" s="36" t="inlineStr">
        <is>
          <t>2026 W33</t>
        </is>
      </c>
      <c r="B68" s="36" t="n">
        <v>33</v>
      </c>
      <c r="C68" s="36">
        <f>'_Data'!D242</f>
        <v/>
      </c>
      <c r="D68" s="36">
        <f>'_Data'!E242</f>
        <v/>
      </c>
      <c r="E68" s="36">
        <f>'_Data'!F242</f>
        <v/>
      </c>
      <c r="F68" s="37">
        <f>'_Data'!G242</f>
        <v/>
      </c>
      <c r="G68" s="37">
        <f>'_Data'!H242</f>
        <v/>
      </c>
      <c r="H68" s="37">
        <f>'_Data'!I242</f>
        <v/>
      </c>
      <c r="I68" s="40">
        <f>'_Data'!J242</f>
        <v/>
      </c>
      <c r="J68" s="39">
        <f>IF(AND(C68&gt;0,F68&gt;0),ABS(F68-C68)/C68,"")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'_Data'!K242</f>
        <v/>
      </c>
      <c r="N68" s="36">
        <f>'_Data'!L242</f>
        <v/>
      </c>
    </row>
    <row r="69">
      <c r="A69" s="36" t="inlineStr">
        <is>
          <t>2026 W34</t>
        </is>
      </c>
      <c r="B69" s="36" t="n">
        <v>34</v>
      </c>
      <c r="C69" s="36">
        <f>'_Data'!D243</f>
        <v/>
      </c>
      <c r="D69" s="36">
        <f>'_Data'!E243</f>
        <v/>
      </c>
      <c r="E69" s="36">
        <f>'_Data'!F243</f>
        <v/>
      </c>
      <c r="F69" s="37">
        <f>'_Data'!G243</f>
        <v/>
      </c>
      <c r="G69" s="37">
        <f>'_Data'!H243</f>
        <v/>
      </c>
      <c r="H69" s="37">
        <f>'_Data'!I243</f>
        <v/>
      </c>
      <c r="I69" s="40">
        <f>'_Data'!J243</f>
        <v/>
      </c>
      <c r="J69" s="39">
        <f>IF(AND(C69&gt;0,F69&gt;0),ABS(F69-C69)/C69,"")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'_Data'!K243</f>
        <v/>
      </c>
      <c r="N69" s="36">
        <f>'_Data'!L243</f>
        <v/>
      </c>
    </row>
    <row r="70">
      <c r="A70" s="36" t="inlineStr">
        <is>
          <t>2026 W35</t>
        </is>
      </c>
      <c r="B70" s="36" t="n">
        <v>35</v>
      </c>
      <c r="C70" s="36">
        <f>'_Data'!D244</f>
        <v/>
      </c>
      <c r="D70" s="36">
        <f>'_Data'!E244</f>
        <v/>
      </c>
      <c r="E70" s="36">
        <f>'_Data'!F244</f>
        <v/>
      </c>
      <c r="F70" s="37">
        <f>'_Data'!G244</f>
        <v/>
      </c>
      <c r="G70" s="37">
        <f>'_Data'!H244</f>
        <v/>
      </c>
      <c r="H70" s="37">
        <f>'_Data'!I244</f>
        <v/>
      </c>
      <c r="I70" s="40">
        <f>'_Data'!J244</f>
        <v/>
      </c>
      <c r="J70" s="39">
        <f>IF(AND(C70&gt;0,F70&gt;0),ABS(F70-C70)/C70,"")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'_Data'!K244</f>
        <v/>
      </c>
      <c r="N70" s="36">
        <f>'_Data'!L244</f>
        <v/>
      </c>
    </row>
    <row r="71">
      <c r="A71" s="36" t="inlineStr">
        <is>
          <t>2026 W36</t>
        </is>
      </c>
      <c r="B71" s="36" t="n">
        <v>36</v>
      </c>
      <c r="C71" s="36">
        <f>'_Data'!D245</f>
        <v/>
      </c>
      <c r="D71" s="36">
        <f>'_Data'!E245</f>
        <v/>
      </c>
      <c r="E71" s="36">
        <f>'_Data'!F245</f>
        <v/>
      </c>
      <c r="F71" s="37">
        <f>'_Data'!G245</f>
        <v/>
      </c>
      <c r="G71" s="37">
        <f>'_Data'!H245</f>
        <v/>
      </c>
      <c r="H71" s="37">
        <f>'_Data'!I245</f>
        <v/>
      </c>
      <c r="I71" s="40">
        <f>'_Data'!J245</f>
        <v/>
      </c>
      <c r="J71" s="39">
        <f>IF(AND(C71&gt;0,F71&gt;0),ABS(F71-C71)/C71,"")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'_Data'!K245</f>
        <v/>
      </c>
      <c r="N71" s="36">
        <f>'_Data'!L245</f>
        <v/>
      </c>
    </row>
    <row r="72">
      <c r="A72" s="36" t="inlineStr">
        <is>
          <t>2026 W37</t>
        </is>
      </c>
      <c r="B72" s="36" t="n">
        <v>37</v>
      </c>
      <c r="C72" s="36">
        <f>'_Data'!D246</f>
        <v/>
      </c>
      <c r="D72" s="36">
        <f>'_Data'!E246</f>
        <v/>
      </c>
      <c r="E72" s="36">
        <f>'_Data'!F246</f>
        <v/>
      </c>
      <c r="F72" s="37">
        <f>'_Data'!G246</f>
        <v/>
      </c>
      <c r="G72" s="37">
        <f>'_Data'!H246</f>
        <v/>
      </c>
      <c r="H72" s="37">
        <f>'_Data'!I246</f>
        <v/>
      </c>
      <c r="I72" s="40">
        <f>'_Data'!J246</f>
        <v/>
      </c>
      <c r="J72" s="39">
        <f>IF(AND(C72&gt;0,F72&gt;0),ABS(F72-C72)/C72,"")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'_Data'!K246</f>
        <v/>
      </c>
      <c r="N72" s="36">
        <f>'_Data'!L246</f>
        <v/>
      </c>
    </row>
    <row r="73">
      <c r="A73" s="36" t="inlineStr">
        <is>
          <t>2026 W38</t>
        </is>
      </c>
      <c r="B73" s="36" t="n">
        <v>38</v>
      </c>
      <c r="C73" s="36">
        <f>'_Data'!D247</f>
        <v/>
      </c>
      <c r="D73" s="36">
        <f>'_Data'!E247</f>
        <v/>
      </c>
      <c r="E73" s="36">
        <f>'_Data'!F247</f>
        <v/>
      </c>
      <c r="F73" s="37">
        <f>'_Data'!G247</f>
        <v/>
      </c>
      <c r="G73" s="37">
        <f>'_Data'!H247</f>
        <v/>
      </c>
      <c r="H73" s="37">
        <f>'_Data'!I247</f>
        <v/>
      </c>
      <c r="I73" s="40">
        <f>'_Data'!J247</f>
        <v/>
      </c>
      <c r="J73" s="39">
        <f>IF(AND(C73&gt;0,F73&gt;0),ABS(F73-C73)/C73,"")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'_Data'!K247</f>
        <v/>
      </c>
      <c r="N73" s="36">
        <f>'_Data'!L247</f>
        <v/>
      </c>
    </row>
    <row r="74">
      <c r="A74" s="36" t="inlineStr">
        <is>
          <t>2026 W39</t>
        </is>
      </c>
      <c r="B74" s="36" t="n">
        <v>39</v>
      </c>
      <c r="C74" s="36">
        <f>'_Data'!D248</f>
        <v/>
      </c>
      <c r="D74" s="36">
        <f>'_Data'!E248</f>
        <v/>
      </c>
      <c r="E74" s="36">
        <f>'_Data'!F248</f>
        <v/>
      </c>
      <c r="F74" s="37">
        <f>'_Data'!G248</f>
        <v/>
      </c>
      <c r="G74" s="37">
        <f>'_Data'!H248</f>
        <v/>
      </c>
      <c r="H74" s="37">
        <f>'_Data'!I248</f>
        <v/>
      </c>
      <c r="I74" s="40">
        <f>'_Data'!J248</f>
        <v/>
      </c>
      <c r="J74" s="39">
        <f>IF(AND(C74&gt;0,F74&gt;0),ABS(F74-C74)/C74,"")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'_Data'!K248</f>
        <v/>
      </c>
      <c r="N74" s="36">
        <f>'_Data'!L248</f>
        <v/>
      </c>
    </row>
    <row r="75">
      <c r="A75" s="36" t="inlineStr">
        <is>
          <t>2026 W40</t>
        </is>
      </c>
      <c r="B75" s="36" t="n">
        <v>40</v>
      </c>
      <c r="C75" s="36">
        <f>'_Data'!D249</f>
        <v/>
      </c>
      <c r="D75" s="36">
        <f>'_Data'!E249</f>
        <v/>
      </c>
      <c r="E75" s="36">
        <f>'_Data'!F249</f>
        <v/>
      </c>
      <c r="F75" s="37">
        <f>'_Data'!G249</f>
        <v/>
      </c>
      <c r="G75" s="37">
        <f>'_Data'!H249</f>
        <v/>
      </c>
      <c r="H75" s="37">
        <f>'_Data'!I249</f>
        <v/>
      </c>
      <c r="I75" s="40">
        <f>'_Data'!J249</f>
        <v/>
      </c>
      <c r="J75" s="39">
        <f>IF(AND(C75&gt;0,F75&gt;0),ABS(F75-C75)/C75,"")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'_Data'!K249</f>
        <v/>
      </c>
      <c r="N75" s="36">
        <f>'_Data'!L249</f>
        <v/>
      </c>
    </row>
    <row r="76">
      <c r="A76" s="36" t="inlineStr">
        <is>
          <t>2026 W41</t>
        </is>
      </c>
      <c r="B76" s="36" t="n">
        <v>41</v>
      </c>
      <c r="C76" s="36">
        <f>'_Data'!D250</f>
        <v/>
      </c>
      <c r="D76" s="36">
        <f>'_Data'!E250</f>
        <v/>
      </c>
      <c r="E76" s="36">
        <f>'_Data'!F250</f>
        <v/>
      </c>
      <c r="F76" s="37">
        <f>'_Data'!G250</f>
        <v/>
      </c>
      <c r="G76" s="37">
        <f>'_Data'!H250</f>
        <v/>
      </c>
      <c r="H76" s="37">
        <f>'_Data'!I250</f>
        <v/>
      </c>
      <c r="I76" s="40">
        <f>'_Data'!J250</f>
        <v/>
      </c>
      <c r="J76" s="39">
        <f>IF(AND(C76&gt;0,F76&gt;0),ABS(F76-C76)/C76,"")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'_Data'!K250</f>
        <v/>
      </c>
      <c r="N76" s="36">
        <f>'_Data'!L250</f>
        <v/>
      </c>
    </row>
    <row r="77">
      <c r="A77" s="36" t="inlineStr">
        <is>
          <t>2026 W42</t>
        </is>
      </c>
      <c r="B77" s="36" t="n">
        <v>42</v>
      </c>
      <c r="C77" s="36">
        <f>'_Data'!D251</f>
        <v/>
      </c>
      <c r="D77" s="36">
        <f>'_Data'!E251</f>
        <v/>
      </c>
      <c r="E77" s="36">
        <f>'_Data'!F251</f>
        <v/>
      </c>
      <c r="F77" s="37">
        <f>'_Data'!G251</f>
        <v/>
      </c>
      <c r="G77" s="37">
        <f>'_Data'!H251</f>
        <v/>
      </c>
      <c r="H77" s="37">
        <f>'_Data'!I251</f>
        <v/>
      </c>
      <c r="I77" s="40">
        <f>'_Data'!J251</f>
        <v/>
      </c>
      <c r="J77" s="39">
        <f>IF(AND(C77&gt;0,F77&gt;0),ABS(F77-C77)/C77,"")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'_Data'!K251</f>
        <v/>
      </c>
      <c r="N77" s="36">
        <f>'_Data'!L251</f>
        <v/>
      </c>
    </row>
    <row r="78">
      <c r="A78" s="36" t="inlineStr">
        <is>
          <t>2026 W43</t>
        </is>
      </c>
      <c r="B78" s="36" t="n">
        <v>43</v>
      </c>
      <c r="C78" s="36">
        <f>'_Data'!D252</f>
        <v/>
      </c>
      <c r="D78" s="36">
        <f>'_Data'!E252</f>
        <v/>
      </c>
      <c r="E78" s="36">
        <f>'_Data'!F252</f>
        <v/>
      </c>
      <c r="F78" s="37">
        <f>'_Data'!G252</f>
        <v/>
      </c>
      <c r="G78" s="37">
        <f>'_Data'!H252</f>
        <v/>
      </c>
      <c r="H78" s="37">
        <f>'_Data'!I252</f>
        <v/>
      </c>
      <c r="I78" s="40">
        <f>'_Data'!J252</f>
        <v/>
      </c>
      <c r="J78" s="39">
        <f>IF(AND(C78&gt;0,F78&gt;0),ABS(F78-C78)/C78,"")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'_Data'!K252</f>
        <v/>
      </c>
      <c r="N78" s="36">
        <f>'_Data'!L252</f>
        <v/>
      </c>
    </row>
    <row r="79">
      <c r="A79" s="36" t="inlineStr">
        <is>
          <t>2026 W44</t>
        </is>
      </c>
      <c r="B79" s="36" t="n">
        <v>44</v>
      </c>
      <c r="C79" s="36">
        <f>'_Data'!D253</f>
        <v/>
      </c>
      <c r="D79" s="36">
        <f>'_Data'!E253</f>
        <v/>
      </c>
      <c r="E79" s="36">
        <f>'_Data'!F253</f>
        <v/>
      </c>
      <c r="F79" s="37">
        <f>'_Data'!G253</f>
        <v/>
      </c>
      <c r="G79" s="37">
        <f>'_Data'!H253</f>
        <v/>
      </c>
      <c r="H79" s="37">
        <f>'_Data'!I253</f>
        <v/>
      </c>
      <c r="I79" s="40">
        <f>'_Data'!J253</f>
        <v/>
      </c>
      <c r="J79" s="39">
        <f>IF(AND(C79&gt;0,F79&gt;0),ABS(F79-C79)/C79,"")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'_Data'!K253</f>
        <v/>
      </c>
      <c r="N79" s="36">
        <f>'_Data'!L253</f>
        <v/>
      </c>
    </row>
    <row r="80">
      <c r="A80" s="36" t="inlineStr">
        <is>
          <t>2026 W45</t>
        </is>
      </c>
      <c r="B80" s="36" t="n">
        <v>45</v>
      </c>
      <c r="C80" s="36">
        <f>'_Data'!D254</f>
        <v/>
      </c>
      <c r="D80" s="36">
        <f>'_Data'!E254</f>
        <v/>
      </c>
      <c r="E80" s="36">
        <f>'_Data'!F254</f>
        <v/>
      </c>
      <c r="F80" s="37">
        <f>'_Data'!G254</f>
        <v/>
      </c>
      <c r="G80" s="37">
        <f>'_Data'!H254</f>
        <v/>
      </c>
      <c r="H80" s="37">
        <f>'_Data'!I254</f>
        <v/>
      </c>
      <c r="I80" s="40">
        <f>'_Data'!J254</f>
        <v/>
      </c>
      <c r="J80" s="39">
        <f>IF(AND(C80&gt;0,F80&gt;0),ABS(F80-C80)/C80,"")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'_Data'!K254</f>
        <v/>
      </c>
      <c r="N80" s="36">
        <f>'_Data'!L254</f>
        <v/>
      </c>
    </row>
    <row r="81">
      <c r="A81" s="36" t="inlineStr">
        <is>
          <t>2026 W46</t>
        </is>
      </c>
      <c r="B81" s="36" t="n">
        <v>46</v>
      </c>
      <c r="C81" s="36">
        <f>'_Data'!D255</f>
        <v/>
      </c>
      <c r="D81" s="36">
        <f>'_Data'!E255</f>
        <v/>
      </c>
      <c r="E81" s="36">
        <f>'_Data'!F255</f>
        <v/>
      </c>
      <c r="F81" s="37">
        <f>'_Data'!G255</f>
        <v/>
      </c>
      <c r="G81" s="37">
        <f>'_Data'!H255</f>
        <v/>
      </c>
      <c r="H81" s="37">
        <f>'_Data'!I255</f>
        <v/>
      </c>
      <c r="I81" s="40">
        <f>'_Data'!J255</f>
        <v/>
      </c>
      <c r="J81" s="39">
        <f>IF(AND(C81&gt;0,F81&gt;0),ABS(F81-C81)/C81,"")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'_Data'!K255</f>
        <v/>
      </c>
      <c r="N81" s="36">
        <f>'_Data'!L255</f>
        <v/>
      </c>
    </row>
    <row r="82">
      <c r="A82" s="36" t="inlineStr">
        <is>
          <t>2026 W47</t>
        </is>
      </c>
      <c r="B82" s="36" t="n">
        <v>47</v>
      </c>
      <c r="C82" s="36">
        <f>'_Data'!D256</f>
        <v/>
      </c>
      <c r="D82" s="36">
        <f>'_Data'!E256</f>
        <v/>
      </c>
      <c r="E82" s="36">
        <f>'_Data'!F256</f>
        <v/>
      </c>
      <c r="F82" s="37">
        <f>'_Data'!G256</f>
        <v/>
      </c>
      <c r="G82" s="37">
        <f>'_Data'!H256</f>
        <v/>
      </c>
      <c r="H82" s="37">
        <f>'_Data'!I256</f>
        <v/>
      </c>
      <c r="I82" s="40">
        <f>'_Data'!J256</f>
        <v/>
      </c>
      <c r="J82" s="39">
        <f>IF(AND(C82&gt;0,F82&gt;0),ABS(F82-C82)/C82,"")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'_Data'!K256</f>
        <v/>
      </c>
      <c r="N82" s="36">
        <f>'_Data'!L256</f>
        <v/>
      </c>
    </row>
    <row r="83">
      <c r="A83" s="36" t="inlineStr">
        <is>
          <t>2026 W48</t>
        </is>
      </c>
      <c r="B83" s="36" t="n">
        <v>48</v>
      </c>
      <c r="C83" s="36">
        <f>'_Data'!D257</f>
        <v/>
      </c>
      <c r="D83" s="36">
        <f>'_Data'!E257</f>
        <v/>
      </c>
      <c r="E83" s="36">
        <f>'_Data'!F257</f>
        <v/>
      </c>
      <c r="F83" s="37">
        <f>'_Data'!G257</f>
        <v/>
      </c>
      <c r="G83" s="37">
        <f>'_Data'!H257</f>
        <v/>
      </c>
      <c r="H83" s="37">
        <f>'_Data'!I257</f>
        <v/>
      </c>
      <c r="I83" s="40">
        <f>'_Data'!J257</f>
        <v/>
      </c>
      <c r="J83" s="39">
        <f>IF(AND(C83&gt;0,F83&gt;0),ABS(F83-C83)/C83,"")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'_Data'!K257</f>
        <v/>
      </c>
      <c r="N83" s="36">
        <f>'_Data'!L257</f>
        <v/>
      </c>
    </row>
    <row r="84">
      <c r="A84" s="36" t="inlineStr">
        <is>
          <t>2026 W49</t>
        </is>
      </c>
      <c r="B84" s="36" t="n">
        <v>49</v>
      </c>
      <c r="C84" s="36">
        <f>'_Data'!D258</f>
        <v/>
      </c>
      <c r="D84" s="36">
        <f>'_Data'!E258</f>
        <v/>
      </c>
      <c r="E84" s="36">
        <f>'_Data'!F258</f>
        <v/>
      </c>
      <c r="F84" s="37">
        <f>'_Data'!G258</f>
        <v/>
      </c>
      <c r="G84" s="37">
        <f>'_Data'!H258</f>
        <v/>
      </c>
      <c r="H84" s="37">
        <f>'_Data'!I258</f>
        <v/>
      </c>
      <c r="I84" s="40">
        <f>'_Data'!J258</f>
        <v/>
      </c>
      <c r="J84" s="39">
        <f>IF(AND(C84&gt;0,F84&gt;0),ABS(F84-C84)/C84,"")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'_Data'!K258</f>
        <v/>
      </c>
      <c r="N84" s="36">
        <f>'_Data'!L258</f>
        <v/>
      </c>
    </row>
    <row r="85">
      <c r="A85" s="36" t="inlineStr">
        <is>
          <t>2026 W50</t>
        </is>
      </c>
      <c r="B85" s="36" t="n">
        <v>50</v>
      </c>
      <c r="C85" s="36">
        <f>'_Data'!D259</f>
        <v/>
      </c>
      <c r="D85" s="36">
        <f>'_Data'!E259</f>
        <v/>
      </c>
      <c r="E85" s="36">
        <f>'_Data'!F259</f>
        <v/>
      </c>
      <c r="F85" s="37">
        <f>'_Data'!G259</f>
        <v/>
      </c>
      <c r="G85" s="37">
        <f>'_Data'!H259</f>
        <v/>
      </c>
      <c r="H85" s="37">
        <f>'_Data'!I259</f>
        <v/>
      </c>
      <c r="I85" s="40">
        <f>'_Data'!J259</f>
        <v/>
      </c>
      <c r="J85" s="39">
        <f>IF(AND(C85&gt;0,F85&gt;0),ABS(F85-C85)/C85,"")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'_Data'!K259</f>
        <v/>
      </c>
      <c r="N85" s="36">
        <f>'_Data'!L259</f>
        <v/>
      </c>
    </row>
    <row r="86">
      <c r="A86" s="36" t="inlineStr">
        <is>
          <t>2026 W51</t>
        </is>
      </c>
      <c r="B86" s="36" t="n">
        <v>51</v>
      </c>
      <c r="C86" s="36">
        <f>'_Data'!D260</f>
        <v/>
      </c>
      <c r="D86" s="36">
        <f>'_Data'!E260</f>
        <v/>
      </c>
      <c r="E86" s="36">
        <f>'_Data'!F260</f>
        <v/>
      </c>
      <c r="F86" s="37">
        <f>'_Data'!G260</f>
        <v/>
      </c>
      <c r="G86" s="37">
        <f>'_Data'!H260</f>
        <v/>
      </c>
      <c r="H86" s="37">
        <f>'_Data'!I260</f>
        <v/>
      </c>
      <c r="I86" s="40">
        <f>'_Data'!J260</f>
        <v/>
      </c>
      <c r="J86" s="39">
        <f>IF(AND(C86&gt;0,F86&gt;0),ABS(F86-C86)/C86,"")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'_Data'!K260</f>
        <v/>
      </c>
      <c r="N86" s="36">
        <f>'_Data'!L260</f>
        <v/>
      </c>
    </row>
    <row r="87">
      <c r="A87" s="36" t="inlineStr">
        <is>
          <t>2026 W52</t>
        </is>
      </c>
      <c r="B87" s="36" t="n">
        <v>52</v>
      </c>
      <c r="C87" s="36">
        <f>'_Data'!D261</f>
        <v/>
      </c>
      <c r="D87" s="36">
        <f>'_Data'!E261</f>
        <v/>
      </c>
      <c r="E87" s="36">
        <f>'_Data'!F261</f>
        <v/>
      </c>
      <c r="F87" s="37">
        <f>'_Data'!G261</f>
        <v/>
      </c>
      <c r="G87" s="37">
        <f>'_Data'!H261</f>
        <v/>
      </c>
      <c r="H87" s="37">
        <f>'_Data'!I261</f>
        <v/>
      </c>
      <c r="I87" s="40">
        <f>'_Data'!J261</f>
        <v/>
      </c>
      <c r="J87" s="39">
        <f>IF(AND(C87&gt;0,F87&gt;0),ABS(F87-C87)/C87,"")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'_Data'!K261</f>
        <v/>
      </c>
      <c r="N87" s="36">
        <f>'_Data'!L261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1ABC9C"/>
      </dataBar>
    </cfRule>
  </conditionalFormatting>
  <conditionalFormatting sqref="J36:J87">
    <cfRule type="colorScale" priority="2">
      <colorScale>
        <cfvo type="num" val="0"/>
        <cfvo type="num" val="0.1"/>
        <cfvo type="num" val="0.3"/>
        <color rgb="FF27AE60"/>
        <color rgb="FFFFFFFF"/>
        <color rgb="FFE74C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C0392B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1" t="inlineStr">
        <is>
          <t>ES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TEXT(SUM('_Data'!D262:D313),"#,##0")</f>
        <v/>
      </c>
      <c r="B4" s="74" t="n"/>
      <c r="C4" s="33">
        <f>TEXT(SUM('_Data'!E262:E313),"$#,##0")</f>
        <v/>
      </c>
      <c r="D4" s="74" t="n"/>
      <c r="E4" s="33">
        <f>TEXT(IF(SUM('_Data'!D262:D313)&gt;0,SUM('_Data'!E262:E313)/SUM('_Data'!D262:D313),0),"$#,##0.00")</f>
        <v/>
      </c>
      <c r="F4" s="74" t="n"/>
      <c r="G4" s="33">
        <f>IF(AND('_Data'!C697&gt;0,'_Data'!F697&gt;0),TEXT(('_Data'!C697-'_Data'!F697)/'_Data'!F697,"+0.0%;-0.0%"),"")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0" t="inlineStr">
        <is>
          <t>Period</t>
        </is>
      </c>
      <c r="B9" s="60" t="inlineStr">
        <is>
          <t>Actual Regs</t>
        </is>
      </c>
      <c r="C9" s="60" t="inlineStr">
        <is>
          <t>Pred Regs</t>
        </is>
      </c>
      <c r="D9" s="60" t="inlineStr">
        <is>
          <t>CI Low</t>
        </is>
      </c>
      <c r="E9" s="60" t="inlineStr">
        <is>
          <t>CI High</t>
        </is>
      </c>
      <c r="F9" s="60" t="inlineStr">
        <is>
          <t>OP2 Target</t>
        </is>
      </c>
      <c r="G9" s="60" t="inlineStr">
        <is>
          <t>vs OP2 %</t>
        </is>
      </c>
      <c r="H9" s="60" t="inlineStr">
        <is>
          <t>Error %</t>
        </is>
      </c>
      <c r="I9" s="60" t="inlineStr">
        <is>
          <t>Confidence</t>
        </is>
      </c>
      <c r="J9" s="60" t="inlineStr">
        <is>
          <t>Score</t>
        </is>
      </c>
      <c r="K9" s="60" t="inlineStr">
        <is>
          <t>Notes</t>
        </is>
      </c>
    </row>
    <row r="10">
      <c r="A10" s="36" t="inlineStr">
        <is>
          <t>2026 Full Year</t>
        </is>
      </c>
      <c r="B10" s="37">
        <f>'_Data'!B697</f>
        <v/>
      </c>
      <c r="C10" s="37">
        <f>'_Data'!C697</f>
        <v/>
      </c>
      <c r="D10" s="37">
        <f>'_Data'!D697</f>
        <v/>
      </c>
      <c r="E10" s="37">
        <f>'_Data'!E697</f>
        <v/>
      </c>
      <c r="F10" s="37">
        <f>'_Data'!F697</f>
        <v/>
      </c>
      <c r="G10" s="38">
        <f>IF(AND(B10&gt;0,F10&gt;0),(B10-F10)/F10,"")</f>
        <v/>
      </c>
      <c r="H10" s="39">
        <f>IF(AND(B10&gt;0,C10&gt;0),ABS(C10-B10)/B10,"")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0" t="inlineStr">
        <is>
          <t>Period</t>
        </is>
      </c>
      <c r="B13" s="60" t="inlineStr">
        <is>
          <t>Actual Regs</t>
        </is>
      </c>
      <c r="C13" s="60" t="inlineStr">
        <is>
          <t>Pred Regs</t>
        </is>
      </c>
      <c r="D13" s="60" t="inlineStr">
        <is>
          <t>CI Low</t>
        </is>
      </c>
      <c r="E13" s="60" t="inlineStr">
        <is>
          <t>CI High</t>
        </is>
      </c>
      <c r="F13" s="60" t="inlineStr">
        <is>
          <t>OP2 Target</t>
        </is>
      </c>
      <c r="G13" s="60" t="inlineStr">
        <is>
          <t>vs OP2 %</t>
        </is>
      </c>
      <c r="H13" s="60" t="inlineStr">
        <is>
          <t>Error %</t>
        </is>
      </c>
      <c r="I13" s="60" t="inlineStr">
        <is>
          <t>Confidence</t>
        </is>
      </c>
      <c r="J13" s="60" t="inlineStr">
        <is>
          <t>Score</t>
        </is>
      </c>
      <c r="K13" s="60" t="inlineStr">
        <is>
          <t>Notes</t>
        </is>
      </c>
    </row>
    <row r="14">
      <c r="A14" s="41" t="inlineStr">
        <is>
          <t>Q1</t>
        </is>
      </c>
      <c r="B14" s="42">
        <f>'_Data'!D668</f>
        <v/>
      </c>
      <c r="C14" s="42">
        <f>'_Data'!E668</f>
        <v/>
      </c>
      <c r="D14" s="42">
        <f>'_Data'!F668</f>
        <v/>
      </c>
      <c r="E14" s="42">
        <f>'_Data'!G668</f>
        <v/>
      </c>
      <c r="F14" s="42">
        <f>'_Data'!H668</f>
        <v/>
      </c>
      <c r="G14" s="43">
        <f>IF(AND(B14&gt;0,F14&gt;0),(B14-F14)/F14,"")</f>
        <v/>
      </c>
      <c r="H14" s="44">
        <f>IF(AND(B14&gt;0,C14&gt;0),ABS(C14-B14)/B14,"")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'_Data'!D669</f>
        <v/>
      </c>
      <c r="C15" s="37">
        <f>'_Data'!E669</f>
        <v/>
      </c>
      <c r="D15" s="37">
        <f>'_Data'!F669</f>
        <v/>
      </c>
      <c r="E15" s="37">
        <f>'_Data'!G669</f>
        <v/>
      </c>
      <c r="F15" s="37">
        <f>'_Data'!H669</f>
        <v/>
      </c>
      <c r="G15" s="38">
        <f>IF(AND(B15&gt;0,F15&gt;0),(B15-F15)/F15,"")</f>
        <v/>
      </c>
      <c r="H15" s="39">
        <f>IF(AND(B15&gt;0,C15&gt;0),ABS(C15-B15)/B15,"")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'_Data'!D670</f>
        <v/>
      </c>
      <c r="C16" s="37">
        <f>'_Data'!E670</f>
        <v/>
      </c>
      <c r="D16" s="37">
        <f>'_Data'!F670</f>
        <v/>
      </c>
      <c r="E16" s="37">
        <f>'_Data'!G670</f>
        <v/>
      </c>
      <c r="F16" s="37">
        <f>'_Data'!H670</f>
        <v/>
      </c>
      <c r="G16" s="38">
        <f>IF(AND(B16&gt;0,F16&gt;0),(B16-F16)/F16,"")</f>
        <v/>
      </c>
      <c r="H16" s="39">
        <f>IF(AND(B16&gt;0,C16&gt;0),ABS(C16-B16)/B16,"")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'_Data'!D671</f>
        <v/>
      </c>
      <c r="C17" s="37">
        <f>'_Data'!E671</f>
        <v/>
      </c>
      <c r="D17" s="37">
        <f>'_Data'!F671</f>
        <v/>
      </c>
      <c r="E17" s="37">
        <f>'_Data'!G671</f>
        <v/>
      </c>
      <c r="F17" s="37">
        <f>'_Data'!H671</f>
        <v/>
      </c>
      <c r="G17" s="38">
        <f>IF(AND(B17&gt;0,F17&gt;0),(B17-F17)/F17,"")</f>
        <v/>
      </c>
      <c r="H17" s="39">
        <f>IF(AND(B17&gt;0,C17&gt;0),ABS(C17-B17)/B17,"")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0" t="inlineStr">
        <is>
          <t>Period</t>
        </is>
      </c>
      <c r="B20" s="60" t="inlineStr">
        <is>
          <t>Actual Regs</t>
        </is>
      </c>
      <c r="C20" s="60" t="inlineStr">
        <is>
          <t>Pred Regs</t>
        </is>
      </c>
      <c r="D20" s="60" t="inlineStr">
        <is>
          <t>CI Low</t>
        </is>
      </c>
      <c r="E20" s="60" t="inlineStr">
        <is>
          <t>CI High</t>
        </is>
      </c>
      <c r="F20" s="60" t="inlineStr">
        <is>
          <t>OP2 Target</t>
        </is>
      </c>
      <c r="G20" s="60" t="inlineStr">
        <is>
          <t>vs OP2 %</t>
        </is>
      </c>
      <c r="H20" s="60" t="inlineStr">
        <is>
          <t>Error %</t>
        </is>
      </c>
      <c r="I20" s="60" t="inlineStr">
        <is>
          <t>Confidence</t>
        </is>
      </c>
      <c r="J20" s="60" t="inlineStr">
        <is>
          <t>Score</t>
        </is>
      </c>
      <c r="K20" s="60" t="inlineStr">
        <is>
          <t>Notes</t>
        </is>
      </c>
    </row>
    <row r="21">
      <c r="A21" s="41" t="inlineStr">
        <is>
          <t>Jan</t>
        </is>
      </c>
      <c r="B21" s="42">
        <f>'_Data'!D584</f>
        <v/>
      </c>
      <c r="C21" s="42">
        <f>'_Data'!E584</f>
        <v/>
      </c>
      <c r="D21" s="42">
        <f>'_Data'!F584</f>
        <v/>
      </c>
      <c r="E21" s="42">
        <f>'_Data'!G584</f>
        <v/>
      </c>
      <c r="F21" s="42">
        <f>'_Data'!H584</f>
        <v/>
      </c>
      <c r="G21" s="43">
        <f>IF(AND(B21&gt;0,F21&gt;0),(B21-F21)/F21,"")</f>
        <v/>
      </c>
      <c r="H21" s="44">
        <f>IF(AND(B21&gt;0,C21&gt;0),ABS(C21-B21)/B21,"")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'_Data'!D585</f>
        <v/>
      </c>
      <c r="C22" s="47">
        <f>'_Data'!E585</f>
        <v/>
      </c>
      <c r="D22" s="47">
        <f>'_Data'!F585</f>
        <v/>
      </c>
      <c r="E22" s="47">
        <f>'_Data'!G585</f>
        <v/>
      </c>
      <c r="F22" s="47">
        <f>'_Data'!H585</f>
        <v/>
      </c>
      <c r="G22" s="48">
        <f>IF(AND(B22&gt;0,F22&gt;0),(B22-F22)/F22,"")</f>
        <v/>
      </c>
      <c r="H22" s="49">
        <f>IF(AND(B22&gt;0,C22&gt;0),ABS(C22-B22)/B22,"")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'_Data'!D586</f>
        <v/>
      </c>
      <c r="C23" s="42">
        <f>'_Data'!E586</f>
        <v/>
      </c>
      <c r="D23" s="42">
        <f>'_Data'!F586</f>
        <v/>
      </c>
      <c r="E23" s="42">
        <f>'_Data'!G586</f>
        <v/>
      </c>
      <c r="F23" s="42">
        <f>'_Data'!H586</f>
        <v/>
      </c>
      <c r="G23" s="43">
        <f>IF(AND(B23&gt;0,F23&gt;0),(B23-F23)/F23,"")</f>
        <v/>
      </c>
      <c r="H23" s="44">
        <f>IF(AND(B23&gt;0,C23&gt;0),ABS(C23-B23)/B23,"")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'_Data'!D587</f>
        <v/>
      </c>
      <c r="C24" s="37">
        <f>'_Data'!E587</f>
        <v/>
      </c>
      <c r="D24" s="37">
        <f>'_Data'!F587</f>
        <v/>
      </c>
      <c r="E24" s="37">
        <f>'_Data'!G587</f>
        <v/>
      </c>
      <c r="F24" s="37">
        <f>'_Data'!H587</f>
        <v/>
      </c>
      <c r="G24" s="38">
        <f>IF(AND(B24&gt;0,F24&gt;0),(B24-F24)/F24,"")</f>
        <v/>
      </c>
      <c r="H24" s="39">
        <f>IF(AND(B24&gt;0,C24&gt;0),ABS(C24-B24)/B24,"")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'_Data'!D588</f>
        <v/>
      </c>
      <c r="C25" s="37">
        <f>'_Data'!E588</f>
        <v/>
      </c>
      <c r="D25" s="37">
        <f>'_Data'!F588</f>
        <v/>
      </c>
      <c r="E25" s="37">
        <f>'_Data'!G588</f>
        <v/>
      </c>
      <c r="F25" s="37">
        <f>'_Data'!H588</f>
        <v/>
      </c>
      <c r="G25" s="38">
        <f>IF(AND(B25&gt;0,F25&gt;0),(B25-F25)/F25,"")</f>
        <v/>
      </c>
      <c r="H25" s="39">
        <f>IF(AND(B25&gt;0,C25&gt;0),ABS(C25-B25)/B25,"")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'_Data'!D589</f>
        <v/>
      </c>
      <c r="C26" s="37">
        <f>'_Data'!E589</f>
        <v/>
      </c>
      <c r="D26" s="37">
        <f>'_Data'!F589</f>
        <v/>
      </c>
      <c r="E26" s="37">
        <f>'_Data'!G589</f>
        <v/>
      </c>
      <c r="F26" s="37">
        <f>'_Data'!H589</f>
        <v/>
      </c>
      <c r="G26" s="38">
        <f>IF(AND(B26&gt;0,F26&gt;0),(B26-F26)/F26,"")</f>
        <v/>
      </c>
      <c r="H26" s="39">
        <f>IF(AND(B26&gt;0,C26&gt;0),ABS(C26-B26)/B26,"")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'_Data'!D590</f>
        <v/>
      </c>
      <c r="C27" s="37">
        <f>'_Data'!E590</f>
        <v/>
      </c>
      <c r="D27" s="37">
        <f>'_Data'!F590</f>
        <v/>
      </c>
      <c r="E27" s="37">
        <f>'_Data'!G590</f>
        <v/>
      </c>
      <c r="F27" s="37">
        <f>'_Data'!H590</f>
        <v/>
      </c>
      <c r="G27" s="38">
        <f>IF(AND(B27&gt;0,F27&gt;0),(B27-F27)/F27,"")</f>
        <v/>
      </c>
      <c r="H27" s="39">
        <f>IF(AND(B27&gt;0,C27&gt;0),ABS(C27-B27)/B27,"")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'_Data'!D591</f>
        <v/>
      </c>
      <c r="C28" s="37">
        <f>'_Data'!E591</f>
        <v/>
      </c>
      <c r="D28" s="37">
        <f>'_Data'!F591</f>
        <v/>
      </c>
      <c r="E28" s="37">
        <f>'_Data'!G591</f>
        <v/>
      </c>
      <c r="F28" s="37">
        <f>'_Data'!H591</f>
        <v/>
      </c>
      <c r="G28" s="38">
        <f>IF(AND(B28&gt;0,F28&gt;0),(B28-F28)/F28,"")</f>
        <v/>
      </c>
      <c r="H28" s="39">
        <f>IF(AND(B28&gt;0,C28&gt;0),ABS(C28-B28)/B28,"")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'_Data'!D592</f>
        <v/>
      </c>
      <c r="C29" s="37">
        <f>'_Data'!E592</f>
        <v/>
      </c>
      <c r="D29" s="37">
        <f>'_Data'!F592</f>
        <v/>
      </c>
      <c r="E29" s="37">
        <f>'_Data'!G592</f>
        <v/>
      </c>
      <c r="F29" s="37">
        <f>'_Data'!H592</f>
        <v/>
      </c>
      <c r="G29" s="38">
        <f>IF(AND(B29&gt;0,F29&gt;0),(B29-F29)/F29,"")</f>
        <v/>
      </c>
      <c r="H29" s="39">
        <f>IF(AND(B29&gt;0,C29&gt;0),ABS(C29-B29)/B29,"")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'_Data'!D593</f>
        <v/>
      </c>
      <c r="C30" s="37">
        <f>'_Data'!E593</f>
        <v/>
      </c>
      <c r="D30" s="37">
        <f>'_Data'!F593</f>
        <v/>
      </c>
      <c r="E30" s="37">
        <f>'_Data'!G593</f>
        <v/>
      </c>
      <c r="F30" s="37">
        <f>'_Data'!H593</f>
        <v/>
      </c>
      <c r="G30" s="38">
        <f>IF(AND(B30&gt;0,F30&gt;0),(B30-F30)/F30,"")</f>
        <v/>
      </c>
      <c r="H30" s="39">
        <f>IF(AND(B30&gt;0,C30&gt;0),ABS(C30-B30)/B30,"")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'_Data'!D594</f>
        <v/>
      </c>
      <c r="C31" s="37">
        <f>'_Data'!E594</f>
        <v/>
      </c>
      <c r="D31" s="37">
        <f>'_Data'!F594</f>
        <v/>
      </c>
      <c r="E31" s="37">
        <f>'_Data'!G594</f>
        <v/>
      </c>
      <c r="F31" s="37">
        <f>'_Data'!H594</f>
        <v/>
      </c>
      <c r="G31" s="38">
        <f>IF(AND(B31&gt;0,F31&gt;0),(B31-F31)/F31,"")</f>
        <v/>
      </c>
      <c r="H31" s="39">
        <f>IF(AND(B31&gt;0,C31&gt;0),ABS(C31-B31)/B31,"")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'_Data'!D595</f>
        <v/>
      </c>
      <c r="C32" s="37">
        <f>'_Data'!E595</f>
        <v/>
      </c>
      <c r="D32" s="37">
        <f>'_Data'!F595</f>
        <v/>
      </c>
      <c r="E32" s="37">
        <f>'_Data'!G595</f>
        <v/>
      </c>
      <c r="F32" s="37">
        <f>'_Data'!H595</f>
        <v/>
      </c>
      <c r="G32" s="38">
        <f>IF(AND(B32&gt;0,F32&gt;0),(B32-F32)/F32,"")</f>
        <v/>
      </c>
      <c r="H32" s="39">
        <f>IF(AND(B32&gt;0,C32&gt;0),ABS(C32-B32)/B32,"")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0" t="inlineStr">
        <is>
          <t>Week</t>
        </is>
      </c>
      <c r="B35" s="60" t="inlineStr">
        <is>
          <t>Wk#</t>
        </is>
      </c>
      <c r="C35" s="60" t="inlineStr">
        <is>
          <t>Actual Regs</t>
        </is>
      </c>
      <c r="D35" s="60" t="inlineStr">
        <is>
          <t>Actual Cost</t>
        </is>
      </c>
      <c r="E35" s="60" t="inlineStr">
        <is>
          <t>Actual CPA</t>
        </is>
      </c>
      <c r="F35" s="60" t="inlineStr">
        <is>
          <t>Pred Regs</t>
        </is>
      </c>
      <c r="G35" s="60" t="inlineStr">
        <is>
          <t>CI Low</t>
        </is>
      </c>
      <c r="H35" s="60" t="inlineStr">
        <is>
          <t>CI High</t>
        </is>
      </c>
      <c r="I35" s="60" t="inlineStr">
        <is>
          <t>Confidence</t>
        </is>
      </c>
      <c r="J35" s="60" t="inlineStr">
        <is>
          <t>Error %</t>
        </is>
      </c>
      <c r="K35" s="60" t="inlineStr">
        <is>
          <t>Within CI</t>
        </is>
      </c>
      <c r="L35" s="60" t="inlineStr">
        <is>
          <t>WoW Δ%</t>
        </is>
      </c>
      <c r="M35" s="60" t="inlineStr">
        <is>
          <t>Brand Regs</t>
        </is>
      </c>
      <c r="N35" s="60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'_Data'!D262</f>
        <v/>
      </c>
      <c r="D36" s="51">
        <f>'_Data'!E262</f>
        <v/>
      </c>
      <c r="E36" s="52">
        <f>'_Data'!F262</f>
        <v/>
      </c>
      <c r="F36" s="42">
        <f>'_Data'!G262</f>
        <v/>
      </c>
      <c r="G36" s="42">
        <f>'_Data'!H262</f>
        <v/>
      </c>
      <c r="H36" s="42">
        <f>'_Data'!I262</f>
        <v/>
      </c>
      <c r="I36" s="45">
        <f>'_Data'!J262</f>
        <v/>
      </c>
      <c r="J36" s="44">
        <f>IF(AND(C36&gt;0,F36&gt;0),ABS(F36-C36)/C36,"")</f>
        <v/>
      </c>
      <c r="K36" s="41">
        <f>IF(AND(C36&gt;0,G36&gt;0),IF(AND(C36&gt;=G36,C36&lt;=H36),"✓","✗"),"")</f>
        <v/>
      </c>
      <c r="L36" s="41" t="n"/>
      <c r="M36" s="42">
        <f>'_Data'!K262</f>
        <v/>
      </c>
      <c r="N36" s="42">
        <f>'_Data'!L262</f>
        <v/>
      </c>
    </row>
    <row r="37">
      <c r="A37" s="46" t="inlineStr">
        <is>
          <t>2026 W2</t>
        </is>
      </c>
      <c r="B37" s="46" t="n">
        <v>2</v>
      </c>
      <c r="C37" s="47">
        <f>'_Data'!D263</f>
        <v/>
      </c>
      <c r="D37" s="53">
        <f>'_Data'!E263</f>
        <v/>
      </c>
      <c r="E37" s="54">
        <f>'_Data'!F263</f>
        <v/>
      </c>
      <c r="F37" s="47">
        <f>'_Data'!G263</f>
        <v/>
      </c>
      <c r="G37" s="47">
        <f>'_Data'!H263</f>
        <v/>
      </c>
      <c r="H37" s="47">
        <f>'_Data'!I263</f>
        <v/>
      </c>
      <c r="I37" s="50">
        <f>'_Data'!J263</f>
        <v/>
      </c>
      <c r="J37" s="49">
        <f>IF(AND(C37&gt;0,F37&gt;0),ABS(F37-C37)/C37,"")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'_Data'!K263</f>
        <v/>
      </c>
      <c r="N37" s="47">
        <f>'_Data'!L263</f>
        <v/>
      </c>
    </row>
    <row r="38">
      <c r="A38" s="41" t="inlineStr">
        <is>
          <t>2026 W3</t>
        </is>
      </c>
      <c r="B38" s="41" t="n">
        <v>3</v>
      </c>
      <c r="C38" s="42">
        <f>'_Data'!D264</f>
        <v/>
      </c>
      <c r="D38" s="51">
        <f>'_Data'!E264</f>
        <v/>
      </c>
      <c r="E38" s="52">
        <f>'_Data'!F264</f>
        <v/>
      </c>
      <c r="F38" s="42">
        <f>'_Data'!G264</f>
        <v/>
      </c>
      <c r="G38" s="42">
        <f>'_Data'!H264</f>
        <v/>
      </c>
      <c r="H38" s="42">
        <f>'_Data'!I264</f>
        <v/>
      </c>
      <c r="I38" s="45">
        <f>'_Data'!J264</f>
        <v/>
      </c>
      <c r="J38" s="44">
        <f>IF(AND(C38&gt;0,F38&gt;0),ABS(F38-C38)/C38,"")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'_Data'!K264</f>
        <v/>
      </c>
      <c r="N38" s="42">
        <f>'_Data'!L264</f>
        <v/>
      </c>
    </row>
    <row r="39">
      <c r="A39" s="46" t="inlineStr">
        <is>
          <t>2026 W4</t>
        </is>
      </c>
      <c r="B39" s="46" t="n">
        <v>4</v>
      </c>
      <c r="C39" s="47">
        <f>'_Data'!D265</f>
        <v/>
      </c>
      <c r="D39" s="53">
        <f>'_Data'!E265</f>
        <v/>
      </c>
      <c r="E39" s="54">
        <f>'_Data'!F265</f>
        <v/>
      </c>
      <c r="F39" s="47">
        <f>'_Data'!G265</f>
        <v/>
      </c>
      <c r="G39" s="47">
        <f>'_Data'!H265</f>
        <v/>
      </c>
      <c r="H39" s="47">
        <f>'_Data'!I265</f>
        <v/>
      </c>
      <c r="I39" s="50">
        <f>'_Data'!J265</f>
        <v/>
      </c>
      <c r="J39" s="49">
        <f>IF(AND(C39&gt;0,F39&gt;0),ABS(F39-C39)/C39,"")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'_Data'!K265</f>
        <v/>
      </c>
      <c r="N39" s="47">
        <f>'_Data'!L265</f>
        <v/>
      </c>
    </row>
    <row r="40">
      <c r="A40" s="41" t="inlineStr">
        <is>
          <t>2026 W5</t>
        </is>
      </c>
      <c r="B40" s="41" t="n">
        <v>5</v>
      </c>
      <c r="C40" s="42">
        <f>'_Data'!D266</f>
        <v/>
      </c>
      <c r="D40" s="51">
        <f>'_Data'!E266</f>
        <v/>
      </c>
      <c r="E40" s="52">
        <f>'_Data'!F266</f>
        <v/>
      </c>
      <c r="F40" s="42">
        <f>'_Data'!G266</f>
        <v/>
      </c>
      <c r="G40" s="42">
        <f>'_Data'!H266</f>
        <v/>
      </c>
      <c r="H40" s="42">
        <f>'_Data'!I266</f>
        <v/>
      </c>
      <c r="I40" s="45">
        <f>'_Data'!J266</f>
        <v/>
      </c>
      <c r="J40" s="44">
        <f>IF(AND(C40&gt;0,F40&gt;0),ABS(F40-C40)/C40,"")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'_Data'!K266</f>
        <v/>
      </c>
      <c r="N40" s="42">
        <f>'_Data'!L266</f>
        <v/>
      </c>
    </row>
    <row r="41">
      <c r="A41" s="46" t="inlineStr">
        <is>
          <t>2026 W6</t>
        </is>
      </c>
      <c r="B41" s="46" t="n">
        <v>6</v>
      </c>
      <c r="C41" s="47">
        <f>'_Data'!D267</f>
        <v/>
      </c>
      <c r="D41" s="53">
        <f>'_Data'!E267</f>
        <v/>
      </c>
      <c r="E41" s="54">
        <f>'_Data'!F267</f>
        <v/>
      </c>
      <c r="F41" s="47">
        <f>'_Data'!G267</f>
        <v/>
      </c>
      <c r="G41" s="47">
        <f>'_Data'!H267</f>
        <v/>
      </c>
      <c r="H41" s="47">
        <f>'_Data'!I267</f>
        <v/>
      </c>
      <c r="I41" s="50">
        <f>'_Data'!J267</f>
        <v/>
      </c>
      <c r="J41" s="49">
        <f>IF(AND(C41&gt;0,F41&gt;0),ABS(F41-C41)/C41,"")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'_Data'!K267</f>
        <v/>
      </c>
      <c r="N41" s="47">
        <f>'_Data'!L267</f>
        <v/>
      </c>
    </row>
    <row r="42">
      <c r="A42" s="41" t="inlineStr">
        <is>
          <t>2026 W7</t>
        </is>
      </c>
      <c r="B42" s="41" t="n">
        <v>7</v>
      </c>
      <c r="C42" s="42">
        <f>'_Data'!D268</f>
        <v/>
      </c>
      <c r="D42" s="51">
        <f>'_Data'!E268</f>
        <v/>
      </c>
      <c r="E42" s="52">
        <f>'_Data'!F268</f>
        <v/>
      </c>
      <c r="F42" s="42">
        <f>'_Data'!G268</f>
        <v/>
      </c>
      <c r="G42" s="42">
        <f>'_Data'!H268</f>
        <v/>
      </c>
      <c r="H42" s="42">
        <f>'_Data'!I268</f>
        <v/>
      </c>
      <c r="I42" s="45">
        <f>'_Data'!J268</f>
        <v/>
      </c>
      <c r="J42" s="44">
        <f>IF(AND(C42&gt;0,F42&gt;0),ABS(F42-C42)/C42,"")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'_Data'!K268</f>
        <v/>
      </c>
      <c r="N42" s="42">
        <f>'_Data'!L268</f>
        <v/>
      </c>
    </row>
    <row r="43">
      <c r="A43" s="46" t="inlineStr">
        <is>
          <t>2026 W8</t>
        </is>
      </c>
      <c r="B43" s="46" t="n">
        <v>8</v>
      </c>
      <c r="C43" s="47">
        <f>'_Data'!D269</f>
        <v/>
      </c>
      <c r="D43" s="53">
        <f>'_Data'!E269</f>
        <v/>
      </c>
      <c r="E43" s="54">
        <f>'_Data'!F269</f>
        <v/>
      </c>
      <c r="F43" s="47">
        <f>'_Data'!G269</f>
        <v/>
      </c>
      <c r="G43" s="47">
        <f>'_Data'!H269</f>
        <v/>
      </c>
      <c r="H43" s="47">
        <f>'_Data'!I269</f>
        <v/>
      </c>
      <c r="I43" s="50">
        <f>'_Data'!J269</f>
        <v/>
      </c>
      <c r="J43" s="49">
        <f>IF(AND(C43&gt;0,F43&gt;0),ABS(F43-C43)/C43,"")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'_Data'!K269</f>
        <v/>
      </c>
      <c r="N43" s="47">
        <f>'_Data'!L269</f>
        <v/>
      </c>
    </row>
    <row r="44">
      <c r="A44" s="41" t="inlineStr">
        <is>
          <t>2026 W9</t>
        </is>
      </c>
      <c r="B44" s="41" t="n">
        <v>9</v>
      </c>
      <c r="C44" s="42">
        <f>'_Data'!D270</f>
        <v/>
      </c>
      <c r="D44" s="51">
        <f>'_Data'!E270</f>
        <v/>
      </c>
      <c r="E44" s="52">
        <f>'_Data'!F270</f>
        <v/>
      </c>
      <c r="F44" s="42">
        <f>'_Data'!G270</f>
        <v/>
      </c>
      <c r="G44" s="42">
        <f>'_Data'!H270</f>
        <v/>
      </c>
      <c r="H44" s="42">
        <f>'_Data'!I270</f>
        <v/>
      </c>
      <c r="I44" s="45">
        <f>'_Data'!J270</f>
        <v/>
      </c>
      <c r="J44" s="44">
        <f>IF(AND(C44&gt;0,F44&gt;0),ABS(F44-C44)/C44,"")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'_Data'!K270</f>
        <v/>
      </c>
      <c r="N44" s="42">
        <f>'_Data'!L270</f>
        <v/>
      </c>
    </row>
    <row r="45">
      <c r="A45" s="46" t="inlineStr">
        <is>
          <t>2026 W10</t>
        </is>
      </c>
      <c r="B45" s="46" t="n">
        <v>10</v>
      </c>
      <c r="C45" s="47">
        <f>'_Data'!D271</f>
        <v/>
      </c>
      <c r="D45" s="53">
        <f>'_Data'!E271</f>
        <v/>
      </c>
      <c r="E45" s="54">
        <f>'_Data'!F271</f>
        <v/>
      </c>
      <c r="F45" s="47">
        <f>'_Data'!G271</f>
        <v/>
      </c>
      <c r="G45" s="47">
        <f>'_Data'!H271</f>
        <v/>
      </c>
      <c r="H45" s="47">
        <f>'_Data'!I271</f>
        <v/>
      </c>
      <c r="I45" s="50">
        <f>'_Data'!J271</f>
        <v/>
      </c>
      <c r="J45" s="49">
        <f>IF(AND(C45&gt;0,F45&gt;0),ABS(F45-C45)/C45,"")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'_Data'!K271</f>
        <v/>
      </c>
      <c r="N45" s="47">
        <f>'_Data'!L271</f>
        <v/>
      </c>
    </row>
    <row r="46">
      <c r="A46" s="41" t="inlineStr">
        <is>
          <t>2026 W11</t>
        </is>
      </c>
      <c r="B46" s="41" t="n">
        <v>11</v>
      </c>
      <c r="C46" s="42">
        <f>'_Data'!D272</f>
        <v/>
      </c>
      <c r="D46" s="51">
        <f>'_Data'!E272</f>
        <v/>
      </c>
      <c r="E46" s="52">
        <f>'_Data'!F272</f>
        <v/>
      </c>
      <c r="F46" s="42">
        <f>'_Data'!G272</f>
        <v/>
      </c>
      <c r="G46" s="42">
        <f>'_Data'!H272</f>
        <v/>
      </c>
      <c r="H46" s="42">
        <f>'_Data'!I272</f>
        <v/>
      </c>
      <c r="I46" s="45">
        <f>'_Data'!J272</f>
        <v/>
      </c>
      <c r="J46" s="44">
        <f>IF(AND(C46&gt;0,F46&gt;0),ABS(F46-C46)/C46,"")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'_Data'!K272</f>
        <v/>
      </c>
      <c r="N46" s="42">
        <f>'_Data'!L272</f>
        <v/>
      </c>
    </row>
    <row r="47">
      <c r="A47" s="46" t="inlineStr">
        <is>
          <t>2026 W12</t>
        </is>
      </c>
      <c r="B47" s="46" t="n">
        <v>12</v>
      </c>
      <c r="C47" s="47">
        <f>'_Data'!D273</f>
        <v/>
      </c>
      <c r="D47" s="53">
        <f>'_Data'!E273</f>
        <v/>
      </c>
      <c r="E47" s="54">
        <f>'_Data'!F273</f>
        <v/>
      </c>
      <c r="F47" s="47">
        <f>'_Data'!G273</f>
        <v/>
      </c>
      <c r="G47" s="47">
        <f>'_Data'!H273</f>
        <v/>
      </c>
      <c r="H47" s="47">
        <f>'_Data'!I273</f>
        <v/>
      </c>
      <c r="I47" s="50">
        <f>'_Data'!J273</f>
        <v/>
      </c>
      <c r="J47" s="49">
        <f>IF(AND(C47&gt;0,F47&gt;0),ABS(F47-C47)/C47,"")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'_Data'!K273</f>
        <v/>
      </c>
      <c r="N47" s="47">
        <f>'_Data'!L273</f>
        <v/>
      </c>
    </row>
    <row r="48">
      <c r="A48" s="41" t="inlineStr">
        <is>
          <t>2026 W13</t>
        </is>
      </c>
      <c r="B48" s="41" t="n">
        <v>13</v>
      </c>
      <c r="C48" s="42">
        <f>'_Data'!D274</f>
        <v/>
      </c>
      <c r="D48" s="51">
        <f>'_Data'!E274</f>
        <v/>
      </c>
      <c r="E48" s="52">
        <f>'_Data'!F274</f>
        <v/>
      </c>
      <c r="F48" s="42">
        <f>'_Data'!G274</f>
        <v/>
      </c>
      <c r="G48" s="42">
        <f>'_Data'!H274</f>
        <v/>
      </c>
      <c r="H48" s="42">
        <f>'_Data'!I274</f>
        <v/>
      </c>
      <c r="I48" s="45">
        <f>'_Data'!J274</f>
        <v/>
      </c>
      <c r="J48" s="44">
        <f>IF(AND(C48&gt;0,F48&gt;0),ABS(F48-C48)/C48,"")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'_Data'!K274</f>
        <v/>
      </c>
      <c r="N48" s="42">
        <f>'_Data'!L274</f>
        <v/>
      </c>
    </row>
    <row r="49">
      <c r="A49" s="46" t="inlineStr">
        <is>
          <t>2026 W14</t>
        </is>
      </c>
      <c r="B49" s="46" t="n">
        <v>14</v>
      </c>
      <c r="C49" s="47">
        <f>'_Data'!D275</f>
        <v/>
      </c>
      <c r="D49" s="53">
        <f>'_Data'!E275</f>
        <v/>
      </c>
      <c r="E49" s="54">
        <f>'_Data'!F275</f>
        <v/>
      </c>
      <c r="F49" s="47">
        <f>'_Data'!G275</f>
        <v/>
      </c>
      <c r="G49" s="47">
        <f>'_Data'!H275</f>
        <v/>
      </c>
      <c r="H49" s="47">
        <f>'_Data'!I275</f>
        <v/>
      </c>
      <c r="I49" s="50">
        <f>'_Data'!J275</f>
        <v/>
      </c>
      <c r="J49" s="49">
        <f>IF(AND(C49&gt;0,F49&gt;0),ABS(F49-C49)/C49,"")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'_Data'!K275</f>
        <v/>
      </c>
      <c r="N49" s="47">
        <f>'_Data'!L275</f>
        <v/>
      </c>
    </row>
    <row r="50">
      <c r="A50" s="41" t="inlineStr">
        <is>
          <t>2026 W15</t>
        </is>
      </c>
      <c r="B50" s="41" t="n">
        <v>15</v>
      </c>
      <c r="C50" s="42">
        <f>'_Data'!D276</f>
        <v/>
      </c>
      <c r="D50" s="51">
        <f>'_Data'!E276</f>
        <v/>
      </c>
      <c r="E50" s="52">
        <f>'_Data'!F276</f>
        <v/>
      </c>
      <c r="F50" s="42">
        <f>'_Data'!G276</f>
        <v/>
      </c>
      <c r="G50" s="42">
        <f>'_Data'!H276</f>
        <v/>
      </c>
      <c r="H50" s="42">
        <f>'_Data'!I276</f>
        <v/>
      </c>
      <c r="I50" s="45">
        <f>'_Data'!J276</f>
        <v/>
      </c>
      <c r="J50" s="44">
        <f>IF(AND(C50&gt;0,F50&gt;0),ABS(F50-C50)/C50,"")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'_Data'!K276</f>
        <v/>
      </c>
      <c r="N50" s="42">
        <f>'_Data'!L276</f>
        <v/>
      </c>
    </row>
    <row r="51">
      <c r="A51" s="36" t="inlineStr">
        <is>
          <t>2026 W16</t>
        </is>
      </c>
      <c r="B51" s="36" t="n">
        <v>16</v>
      </c>
      <c r="C51" s="36">
        <f>'_Data'!D277</f>
        <v/>
      </c>
      <c r="D51" s="36">
        <f>'_Data'!E277</f>
        <v/>
      </c>
      <c r="E51" s="36">
        <f>'_Data'!F277</f>
        <v/>
      </c>
      <c r="F51" s="37">
        <f>'_Data'!G277</f>
        <v/>
      </c>
      <c r="G51" s="37">
        <f>'_Data'!H277</f>
        <v/>
      </c>
      <c r="H51" s="37">
        <f>'_Data'!I277</f>
        <v/>
      </c>
      <c r="I51" s="40">
        <f>'_Data'!J277</f>
        <v/>
      </c>
      <c r="J51" s="39">
        <f>IF(AND(C51&gt;0,F51&gt;0),ABS(F51-C51)/C51,"")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'_Data'!K277</f>
        <v/>
      </c>
      <c r="N51" s="36">
        <f>'_Data'!L277</f>
        <v/>
      </c>
    </row>
    <row r="52">
      <c r="A52" s="36" t="inlineStr">
        <is>
          <t>2026 W17</t>
        </is>
      </c>
      <c r="B52" s="36" t="n">
        <v>17</v>
      </c>
      <c r="C52" s="36">
        <f>'_Data'!D278</f>
        <v/>
      </c>
      <c r="D52" s="36">
        <f>'_Data'!E278</f>
        <v/>
      </c>
      <c r="E52" s="36">
        <f>'_Data'!F278</f>
        <v/>
      </c>
      <c r="F52" s="37">
        <f>'_Data'!G278</f>
        <v/>
      </c>
      <c r="G52" s="37">
        <f>'_Data'!H278</f>
        <v/>
      </c>
      <c r="H52" s="37">
        <f>'_Data'!I278</f>
        <v/>
      </c>
      <c r="I52" s="40">
        <f>'_Data'!J278</f>
        <v/>
      </c>
      <c r="J52" s="39">
        <f>IF(AND(C52&gt;0,F52&gt;0),ABS(F52-C52)/C52,"")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'_Data'!K278</f>
        <v/>
      </c>
      <c r="N52" s="36">
        <f>'_Data'!L278</f>
        <v/>
      </c>
    </row>
    <row r="53">
      <c r="A53" s="36" t="inlineStr">
        <is>
          <t>2026 W18</t>
        </is>
      </c>
      <c r="B53" s="36" t="n">
        <v>18</v>
      </c>
      <c r="C53" s="36">
        <f>'_Data'!D279</f>
        <v/>
      </c>
      <c r="D53" s="36">
        <f>'_Data'!E279</f>
        <v/>
      </c>
      <c r="E53" s="36">
        <f>'_Data'!F279</f>
        <v/>
      </c>
      <c r="F53" s="37">
        <f>'_Data'!G279</f>
        <v/>
      </c>
      <c r="G53" s="37">
        <f>'_Data'!H279</f>
        <v/>
      </c>
      <c r="H53" s="37">
        <f>'_Data'!I279</f>
        <v/>
      </c>
      <c r="I53" s="40">
        <f>'_Data'!J279</f>
        <v/>
      </c>
      <c r="J53" s="39">
        <f>IF(AND(C53&gt;0,F53&gt;0),ABS(F53-C53)/C53,"")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'_Data'!K279</f>
        <v/>
      </c>
      <c r="N53" s="36">
        <f>'_Data'!L279</f>
        <v/>
      </c>
    </row>
    <row r="54">
      <c r="A54" s="36" t="inlineStr">
        <is>
          <t>2026 W19</t>
        </is>
      </c>
      <c r="B54" s="36" t="n">
        <v>19</v>
      </c>
      <c r="C54" s="36">
        <f>'_Data'!D280</f>
        <v/>
      </c>
      <c r="D54" s="36">
        <f>'_Data'!E280</f>
        <v/>
      </c>
      <c r="E54" s="36">
        <f>'_Data'!F280</f>
        <v/>
      </c>
      <c r="F54" s="37">
        <f>'_Data'!G280</f>
        <v/>
      </c>
      <c r="G54" s="37">
        <f>'_Data'!H280</f>
        <v/>
      </c>
      <c r="H54" s="37">
        <f>'_Data'!I280</f>
        <v/>
      </c>
      <c r="I54" s="40">
        <f>'_Data'!J280</f>
        <v/>
      </c>
      <c r="J54" s="39">
        <f>IF(AND(C54&gt;0,F54&gt;0),ABS(F54-C54)/C54,"")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'_Data'!K280</f>
        <v/>
      </c>
      <c r="N54" s="36">
        <f>'_Data'!L280</f>
        <v/>
      </c>
    </row>
    <row r="55">
      <c r="A55" s="36" t="inlineStr">
        <is>
          <t>2026 W20</t>
        </is>
      </c>
      <c r="B55" s="36" t="n">
        <v>20</v>
      </c>
      <c r="C55" s="36">
        <f>'_Data'!D281</f>
        <v/>
      </c>
      <c r="D55" s="36">
        <f>'_Data'!E281</f>
        <v/>
      </c>
      <c r="E55" s="36">
        <f>'_Data'!F281</f>
        <v/>
      </c>
      <c r="F55" s="37">
        <f>'_Data'!G281</f>
        <v/>
      </c>
      <c r="G55" s="37">
        <f>'_Data'!H281</f>
        <v/>
      </c>
      <c r="H55" s="37">
        <f>'_Data'!I281</f>
        <v/>
      </c>
      <c r="I55" s="40">
        <f>'_Data'!J281</f>
        <v/>
      </c>
      <c r="J55" s="39">
        <f>IF(AND(C55&gt;0,F55&gt;0),ABS(F55-C55)/C55,"")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'_Data'!K281</f>
        <v/>
      </c>
      <c r="N55" s="36">
        <f>'_Data'!L281</f>
        <v/>
      </c>
    </row>
    <row r="56">
      <c r="A56" s="36" t="inlineStr">
        <is>
          <t>2026 W21</t>
        </is>
      </c>
      <c r="B56" s="36" t="n">
        <v>21</v>
      </c>
      <c r="C56" s="36">
        <f>'_Data'!D282</f>
        <v/>
      </c>
      <c r="D56" s="36">
        <f>'_Data'!E282</f>
        <v/>
      </c>
      <c r="E56" s="36">
        <f>'_Data'!F282</f>
        <v/>
      </c>
      <c r="F56" s="37">
        <f>'_Data'!G282</f>
        <v/>
      </c>
      <c r="G56" s="37">
        <f>'_Data'!H282</f>
        <v/>
      </c>
      <c r="H56" s="37">
        <f>'_Data'!I282</f>
        <v/>
      </c>
      <c r="I56" s="40">
        <f>'_Data'!J282</f>
        <v/>
      </c>
      <c r="J56" s="39">
        <f>IF(AND(C56&gt;0,F56&gt;0),ABS(F56-C56)/C56,"")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'_Data'!K282</f>
        <v/>
      </c>
      <c r="N56" s="36">
        <f>'_Data'!L282</f>
        <v/>
      </c>
    </row>
    <row r="57">
      <c r="A57" s="36" t="inlineStr">
        <is>
          <t>2026 W22</t>
        </is>
      </c>
      <c r="B57" s="36" t="n">
        <v>22</v>
      </c>
      <c r="C57" s="36">
        <f>'_Data'!D283</f>
        <v/>
      </c>
      <c r="D57" s="36">
        <f>'_Data'!E283</f>
        <v/>
      </c>
      <c r="E57" s="36">
        <f>'_Data'!F283</f>
        <v/>
      </c>
      <c r="F57" s="37">
        <f>'_Data'!G283</f>
        <v/>
      </c>
      <c r="G57" s="37">
        <f>'_Data'!H283</f>
        <v/>
      </c>
      <c r="H57" s="37">
        <f>'_Data'!I283</f>
        <v/>
      </c>
      <c r="I57" s="40">
        <f>'_Data'!J283</f>
        <v/>
      </c>
      <c r="J57" s="39">
        <f>IF(AND(C57&gt;0,F57&gt;0),ABS(F57-C57)/C57,"")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'_Data'!K283</f>
        <v/>
      </c>
      <c r="N57" s="36">
        <f>'_Data'!L283</f>
        <v/>
      </c>
    </row>
    <row r="58">
      <c r="A58" s="36" t="inlineStr">
        <is>
          <t>2026 W23</t>
        </is>
      </c>
      <c r="B58" s="36" t="n">
        <v>23</v>
      </c>
      <c r="C58" s="36">
        <f>'_Data'!D284</f>
        <v/>
      </c>
      <c r="D58" s="36">
        <f>'_Data'!E284</f>
        <v/>
      </c>
      <c r="E58" s="36">
        <f>'_Data'!F284</f>
        <v/>
      </c>
      <c r="F58" s="37">
        <f>'_Data'!G284</f>
        <v/>
      </c>
      <c r="G58" s="37">
        <f>'_Data'!H284</f>
        <v/>
      </c>
      <c r="H58" s="37">
        <f>'_Data'!I284</f>
        <v/>
      </c>
      <c r="I58" s="40">
        <f>'_Data'!J284</f>
        <v/>
      </c>
      <c r="J58" s="39">
        <f>IF(AND(C58&gt;0,F58&gt;0),ABS(F58-C58)/C58,"")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'_Data'!K284</f>
        <v/>
      </c>
      <c r="N58" s="36">
        <f>'_Data'!L284</f>
        <v/>
      </c>
    </row>
    <row r="59">
      <c r="A59" s="36" t="inlineStr">
        <is>
          <t>2026 W24</t>
        </is>
      </c>
      <c r="B59" s="36" t="n">
        <v>24</v>
      </c>
      <c r="C59" s="36">
        <f>'_Data'!D285</f>
        <v/>
      </c>
      <c r="D59" s="36">
        <f>'_Data'!E285</f>
        <v/>
      </c>
      <c r="E59" s="36">
        <f>'_Data'!F285</f>
        <v/>
      </c>
      <c r="F59" s="37">
        <f>'_Data'!G285</f>
        <v/>
      </c>
      <c r="G59" s="37">
        <f>'_Data'!H285</f>
        <v/>
      </c>
      <c r="H59" s="37">
        <f>'_Data'!I285</f>
        <v/>
      </c>
      <c r="I59" s="40">
        <f>'_Data'!J285</f>
        <v/>
      </c>
      <c r="J59" s="39">
        <f>IF(AND(C59&gt;0,F59&gt;0),ABS(F59-C59)/C59,"")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'_Data'!K285</f>
        <v/>
      </c>
      <c r="N59" s="36">
        <f>'_Data'!L285</f>
        <v/>
      </c>
    </row>
    <row r="60">
      <c r="A60" s="36" t="inlineStr">
        <is>
          <t>2026 W25</t>
        </is>
      </c>
      <c r="B60" s="36" t="n">
        <v>25</v>
      </c>
      <c r="C60" s="36">
        <f>'_Data'!D286</f>
        <v/>
      </c>
      <c r="D60" s="36">
        <f>'_Data'!E286</f>
        <v/>
      </c>
      <c r="E60" s="36">
        <f>'_Data'!F286</f>
        <v/>
      </c>
      <c r="F60" s="37">
        <f>'_Data'!G286</f>
        <v/>
      </c>
      <c r="G60" s="37">
        <f>'_Data'!H286</f>
        <v/>
      </c>
      <c r="H60" s="37">
        <f>'_Data'!I286</f>
        <v/>
      </c>
      <c r="I60" s="40">
        <f>'_Data'!J286</f>
        <v/>
      </c>
      <c r="J60" s="39">
        <f>IF(AND(C60&gt;0,F60&gt;0),ABS(F60-C60)/C60,"")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'_Data'!K286</f>
        <v/>
      </c>
      <c r="N60" s="36">
        <f>'_Data'!L286</f>
        <v/>
      </c>
    </row>
    <row r="61">
      <c r="A61" s="36" t="inlineStr">
        <is>
          <t>2026 W26</t>
        </is>
      </c>
      <c r="B61" s="36" t="n">
        <v>26</v>
      </c>
      <c r="C61" s="36">
        <f>'_Data'!D287</f>
        <v/>
      </c>
      <c r="D61" s="36">
        <f>'_Data'!E287</f>
        <v/>
      </c>
      <c r="E61" s="36">
        <f>'_Data'!F287</f>
        <v/>
      </c>
      <c r="F61" s="37">
        <f>'_Data'!G287</f>
        <v/>
      </c>
      <c r="G61" s="37">
        <f>'_Data'!H287</f>
        <v/>
      </c>
      <c r="H61" s="37">
        <f>'_Data'!I287</f>
        <v/>
      </c>
      <c r="I61" s="40">
        <f>'_Data'!J287</f>
        <v/>
      </c>
      <c r="J61" s="39">
        <f>IF(AND(C61&gt;0,F61&gt;0),ABS(F61-C61)/C61,"")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'_Data'!K287</f>
        <v/>
      </c>
      <c r="N61" s="36">
        <f>'_Data'!L287</f>
        <v/>
      </c>
    </row>
    <row r="62">
      <c r="A62" s="36" t="inlineStr">
        <is>
          <t>2026 W27</t>
        </is>
      </c>
      <c r="B62" s="36" t="n">
        <v>27</v>
      </c>
      <c r="C62" s="36">
        <f>'_Data'!D288</f>
        <v/>
      </c>
      <c r="D62" s="36">
        <f>'_Data'!E288</f>
        <v/>
      </c>
      <c r="E62" s="36">
        <f>'_Data'!F288</f>
        <v/>
      </c>
      <c r="F62" s="37">
        <f>'_Data'!G288</f>
        <v/>
      </c>
      <c r="G62" s="37">
        <f>'_Data'!H288</f>
        <v/>
      </c>
      <c r="H62" s="37">
        <f>'_Data'!I288</f>
        <v/>
      </c>
      <c r="I62" s="40">
        <f>'_Data'!J288</f>
        <v/>
      </c>
      <c r="J62" s="39">
        <f>IF(AND(C62&gt;0,F62&gt;0),ABS(F62-C62)/C62,"")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'_Data'!K288</f>
        <v/>
      </c>
      <c r="N62" s="36">
        <f>'_Data'!L288</f>
        <v/>
      </c>
    </row>
    <row r="63">
      <c r="A63" s="36" t="inlineStr">
        <is>
          <t>2026 W28</t>
        </is>
      </c>
      <c r="B63" s="36" t="n">
        <v>28</v>
      </c>
      <c r="C63" s="36">
        <f>'_Data'!D289</f>
        <v/>
      </c>
      <c r="D63" s="36">
        <f>'_Data'!E289</f>
        <v/>
      </c>
      <c r="E63" s="36">
        <f>'_Data'!F289</f>
        <v/>
      </c>
      <c r="F63" s="37">
        <f>'_Data'!G289</f>
        <v/>
      </c>
      <c r="G63" s="37">
        <f>'_Data'!H289</f>
        <v/>
      </c>
      <c r="H63" s="37">
        <f>'_Data'!I289</f>
        <v/>
      </c>
      <c r="I63" s="40">
        <f>'_Data'!J289</f>
        <v/>
      </c>
      <c r="J63" s="39">
        <f>IF(AND(C63&gt;0,F63&gt;0),ABS(F63-C63)/C63,"")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'_Data'!K289</f>
        <v/>
      </c>
      <c r="N63" s="36">
        <f>'_Data'!L289</f>
        <v/>
      </c>
    </row>
    <row r="64">
      <c r="A64" s="36" t="inlineStr">
        <is>
          <t>2026 W29</t>
        </is>
      </c>
      <c r="B64" s="36" t="n">
        <v>29</v>
      </c>
      <c r="C64" s="36">
        <f>'_Data'!D290</f>
        <v/>
      </c>
      <c r="D64" s="36">
        <f>'_Data'!E290</f>
        <v/>
      </c>
      <c r="E64" s="36">
        <f>'_Data'!F290</f>
        <v/>
      </c>
      <c r="F64" s="37">
        <f>'_Data'!G290</f>
        <v/>
      </c>
      <c r="G64" s="37">
        <f>'_Data'!H290</f>
        <v/>
      </c>
      <c r="H64" s="37">
        <f>'_Data'!I290</f>
        <v/>
      </c>
      <c r="I64" s="40">
        <f>'_Data'!J290</f>
        <v/>
      </c>
      <c r="J64" s="39">
        <f>IF(AND(C64&gt;0,F64&gt;0),ABS(F64-C64)/C64,"")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'_Data'!K290</f>
        <v/>
      </c>
      <c r="N64" s="36">
        <f>'_Data'!L290</f>
        <v/>
      </c>
    </row>
    <row r="65">
      <c r="A65" s="36" t="inlineStr">
        <is>
          <t>2026 W30</t>
        </is>
      </c>
      <c r="B65" s="36" t="n">
        <v>30</v>
      </c>
      <c r="C65" s="36">
        <f>'_Data'!D291</f>
        <v/>
      </c>
      <c r="D65" s="36">
        <f>'_Data'!E291</f>
        <v/>
      </c>
      <c r="E65" s="36">
        <f>'_Data'!F291</f>
        <v/>
      </c>
      <c r="F65" s="37">
        <f>'_Data'!G291</f>
        <v/>
      </c>
      <c r="G65" s="37">
        <f>'_Data'!H291</f>
        <v/>
      </c>
      <c r="H65" s="37">
        <f>'_Data'!I291</f>
        <v/>
      </c>
      <c r="I65" s="40">
        <f>'_Data'!J291</f>
        <v/>
      </c>
      <c r="J65" s="39">
        <f>IF(AND(C65&gt;0,F65&gt;0),ABS(F65-C65)/C65,"")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'_Data'!K291</f>
        <v/>
      </c>
      <c r="N65" s="36">
        <f>'_Data'!L291</f>
        <v/>
      </c>
    </row>
    <row r="66">
      <c r="A66" s="36" t="inlineStr">
        <is>
          <t>2026 W31</t>
        </is>
      </c>
      <c r="B66" s="36" t="n">
        <v>31</v>
      </c>
      <c r="C66" s="36">
        <f>'_Data'!D292</f>
        <v/>
      </c>
      <c r="D66" s="36">
        <f>'_Data'!E292</f>
        <v/>
      </c>
      <c r="E66" s="36">
        <f>'_Data'!F292</f>
        <v/>
      </c>
      <c r="F66" s="37">
        <f>'_Data'!G292</f>
        <v/>
      </c>
      <c r="G66" s="37">
        <f>'_Data'!H292</f>
        <v/>
      </c>
      <c r="H66" s="37">
        <f>'_Data'!I292</f>
        <v/>
      </c>
      <c r="I66" s="40">
        <f>'_Data'!J292</f>
        <v/>
      </c>
      <c r="J66" s="39">
        <f>IF(AND(C66&gt;0,F66&gt;0),ABS(F66-C66)/C66,"")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'_Data'!K292</f>
        <v/>
      </c>
      <c r="N66" s="36">
        <f>'_Data'!L292</f>
        <v/>
      </c>
    </row>
    <row r="67">
      <c r="A67" s="36" t="inlineStr">
        <is>
          <t>2026 W32</t>
        </is>
      </c>
      <c r="B67" s="36" t="n">
        <v>32</v>
      </c>
      <c r="C67" s="36">
        <f>'_Data'!D293</f>
        <v/>
      </c>
      <c r="D67" s="36">
        <f>'_Data'!E293</f>
        <v/>
      </c>
      <c r="E67" s="36">
        <f>'_Data'!F293</f>
        <v/>
      </c>
      <c r="F67" s="37">
        <f>'_Data'!G293</f>
        <v/>
      </c>
      <c r="G67" s="37">
        <f>'_Data'!H293</f>
        <v/>
      </c>
      <c r="H67" s="37">
        <f>'_Data'!I293</f>
        <v/>
      </c>
      <c r="I67" s="40">
        <f>'_Data'!J293</f>
        <v/>
      </c>
      <c r="J67" s="39">
        <f>IF(AND(C67&gt;0,F67&gt;0),ABS(F67-C67)/C67,"")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'_Data'!K293</f>
        <v/>
      </c>
      <c r="N67" s="36">
        <f>'_Data'!L293</f>
        <v/>
      </c>
    </row>
    <row r="68">
      <c r="A68" s="36" t="inlineStr">
        <is>
          <t>2026 W33</t>
        </is>
      </c>
      <c r="B68" s="36" t="n">
        <v>33</v>
      </c>
      <c r="C68" s="36">
        <f>'_Data'!D294</f>
        <v/>
      </c>
      <c r="D68" s="36">
        <f>'_Data'!E294</f>
        <v/>
      </c>
      <c r="E68" s="36">
        <f>'_Data'!F294</f>
        <v/>
      </c>
      <c r="F68" s="37">
        <f>'_Data'!G294</f>
        <v/>
      </c>
      <c r="G68" s="37">
        <f>'_Data'!H294</f>
        <v/>
      </c>
      <c r="H68" s="37">
        <f>'_Data'!I294</f>
        <v/>
      </c>
      <c r="I68" s="40">
        <f>'_Data'!J294</f>
        <v/>
      </c>
      <c r="J68" s="39">
        <f>IF(AND(C68&gt;0,F68&gt;0),ABS(F68-C68)/C68,"")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'_Data'!K294</f>
        <v/>
      </c>
      <c r="N68" s="36">
        <f>'_Data'!L294</f>
        <v/>
      </c>
    </row>
    <row r="69">
      <c r="A69" s="36" t="inlineStr">
        <is>
          <t>2026 W34</t>
        </is>
      </c>
      <c r="B69" s="36" t="n">
        <v>34</v>
      </c>
      <c r="C69" s="36">
        <f>'_Data'!D295</f>
        <v/>
      </c>
      <c r="D69" s="36">
        <f>'_Data'!E295</f>
        <v/>
      </c>
      <c r="E69" s="36">
        <f>'_Data'!F295</f>
        <v/>
      </c>
      <c r="F69" s="37">
        <f>'_Data'!G295</f>
        <v/>
      </c>
      <c r="G69" s="37">
        <f>'_Data'!H295</f>
        <v/>
      </c>
      <c r="H69" s="37">
        <f>'_Data'!I295</f>
        <v/>
      </c>
      <c r="I69" s="40">
        <f>'_Data'!J295</f>
        <v/>
      </c>
      <c r="J69" s="39">
        <f>IF(AND(C69&gt;0,F69&gt;0),ABS(F69-C69)/C69,"")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'_Data'!K295</f>
        <v/>
      </c>
      <c r="N69" s="36">
        <f>'_Data'!L295</f>
        <v/>
      </c>
    </row>
    <row r="70">
      <c r="A70" s="36" t="inlineStr">
        <is>
          <t>2026 W35</t>
        </is>
      </c>
      <c r="B70" s="36" t="n">
        <v>35</v>
      </c>
      <c r="C70" s="36">
        <f>'_Data'!D296</f>
        <v/>
      </c>
      <c r="D70" s="36">
        <f>'_Data'!E296</f>
        <v/>
      </c>
      <c r="E70" s="36">
        <f>'_Data'!F296</f>
        <v/>
      </c>
      <c r="F70" s="37">
        <f>'_Data'!G296</f>
        <v/>
      </c>
      <c r="G70" s="37">
        <f>'_Data'!H296</f>
        <v/>
      </c>
      <c r="H70" s="37">
        <f>'_Data'!I296</f>
        <v/>
      </c>
      <c r="I70" s="40">
        <f>'_Data'!J296</f>
        <v/>
      </c>
      <c r="J70" s="39">
        <f>IF(AND(C70&gt;0,F70&gt;0),ABS(F70-C70)/C70,"")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'_Data'!K296</f>
        <v/>
      </c>
      <c r="N70" s="36">
        <f>'_Data'!L296</f>
        <v/>
      </c>
    </row>
    <row r="71">
      <c r="A71" s="36" t="inlineStr">
        <is>
          <t>2026 W36</t>
        </is>
      </c>
      <c r="B71" s="36" t="n">
        <v>36</v>
      </c>
      <c r="C71" s="36">
        <f>'_Data'!D297</f>
        <v/>
      </c>
      <c r="D71" s="36">
        <f>'_Data'!E297</f>
        <v/>
      </c>
      <c r="E71" s="36">
        <f>'_Data'!F297</f>
        <v/>
      </c>
      <c r="F71" s="37">
        <f>'_Data'!G297</f>
        <v/>
      </c>
      <c r="G71" s="37">
        <f>'_Data'!H297</f>
        <v/>
      </c>
      <c r="H71" s="37">
        <f>'_Data'!I297</f>
        <v/>
      </c>
      <c r="I71" s="40">
        <f>'_Data'!J297</f>
        <v/>
      </c>
      <c r="J71" s="39">
        <f>IF(AND(C71&gt;0,F71&gt;0),ABS(F71-C71)/C71,"")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'_Data'!K297</f>
        <v/>
      </c>
      <c r="N71" s="36">
        <f>'_Data'!L297</f>
        <v/>
      </c>
    </row>
    <row r="72">
      <c r="A72" s="36" t="inlineStr">
        <is>
          <t>2026 W37</t>
        </is>
      </c>
      <c r="B72" s="36" t="n">
        <v>37</v>
      </c>
      <c r="C72" s="36">
        <f>'_Data'!D298</f>
        <v/>
      </c>
      <c r="D72" s="36">
        <f>'_Data'!E298</f>
        <v/>
      </c>
      <c r="E72" s="36">
        <f>'_Data'!F298</f>
        <v/>
      </c>
      <c r="F72" s="37">
        <f>'_Data'!G298</f>
        <v/>
      </c>
      <c r="G72" s="37">
        <f>'_Data'!H298</f>
        <v/>
      </c>
      <c r="H72" s="37">
        <f>'_Data'!I298</f>
        <v/>
      </c>
      <c r="I72" s="40">
        <f>'_Data'!J298</f>
        <v/>
      </c>
      <c r="J72" s="39">
        <f>IF(AND(C72&gt;0,F72&gt;0),ABS(F72-C72)/C72,"")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'_Data'!K298</f>
        <v/>
      </c>
      <c r="N72" s="36">
        <f>'_Data'!L298</f>
        <v/>
      </c>
    </row>
    <row r="73">
      <c r="A73" s="36" t="inlineStr">
        <is>
          <t>2026 W38</t>
        </is>
      </c>
      <c r="B73" s="36" t="n">
        <v>38</v>
      </c>
      <c r="C73" s="36">
        <f>'_Data'!D299</f>
        <v/>
      </c>
      <c r="D73" s="36">
        <f>'_Data'!E299</f>
        <v/>
      </c>
      <c r="E73" s="36">
        <f>'_Data'!F299</f>
        <v/>
      </c>
      <c r="F73" s="37">
        <f>'_Data'!G299</f>
        <v/>
      </c>
      <c r="G73" s="37">
        <f>'_Data'!H299</f>
        <v/>
      </c>
      <c r="H73" s="37">
        <f>'_Data'!I299</f>
        <v/>
      </c>
      <c r="I73" s="40">
        <f>'_Data'!J299</f>
        <v/>
      </c>
      <c r="J73" s="39">
        <f>IF(AND(C73&gt;0,F73&gt;0),ABS(F73-C73)/C73,"")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'_Data'!K299</f>
        <v/>
      </c>
      <c r="N73" s="36">
        <f>'_Data'!L299</f>
        <v/>
      </c>
    </row>
    <row r="74">
      <c r="A74" s="36" t="inlineStr">
        <is>
          <t>2026 W39</t>
        </is>
      </c>
      <c r="B74" s="36" t="n">
        <v>39</v>
      </c>
      <c r="C74" s="36">
        <f>'_Data'!D300</f>
        <v/>
      </c>
      <c r="D74" s="36">
        <f>'_Data'!E300</f>
        <v/>
      </c>
      <c r="E74" s="36">
        <f>'_Data'!F300</f>
        <v/>
      </c>
      <c r="F74" s="37">
        <f>'_Data'!G300</f>
        <v/>
      </c>
      <c r="G74" s="37">
        <f>'_Data'!H300</f>
        <v/>
      </c>
      <c r="H74" s="37">
        <f>'_Data'!I300</f>
        <v/>
      </c>
      <c r="I74" s="40">
        <f>'_Data'!J300</f>
        <v/>
      </c>
      <c r="J74" s="39">
        <f>IF(AND(C74&gt;0,F74&gt;0),ABS(F74-C74)/C74,"")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'_Data'!K300</f>
        <v/>
      </c>
      <c r="N74" s="36">
        <f>'_Data'!L300</f>
        <v/>
      </c>
    </row>
    <row r="75">
      <c r="A75" s="36" t="inlineStr">
        <is>
          <t>2026 W40</t>
        </is>
      </c>
      <c r="B75" s="36" t="n">
        <v>40</v>
      </c>
      <c r="C75" s="36">
        <f>'_Data'!D301</f>
        <v/>
      </c>
      <c r="D75" s="36">
        <f>'_Data'!E301</f>
        <v/>
      </c>
      <c r="E75" s="36">
        <f>'_Data'!F301</f>
        <v/>
      </c>
      <c r="F75" s="37">
        <f>'_Data'!G301</f>
        <v/>
      </c>
      <c r="G75" s="37">
        <f>'_Data'!H301</f>
        <v/>
      </c>
      <c r="H75" s="37">
        <f>'_Data'!I301</f>
        <v/>
      </c>
      <c r="I75" s="40">
        <f>'_Data'!J301</f>
        <v/>
      </c>
      <c r="J75" s="39">
        <f>IF(AND(C75&gt;0,F75&gt;0),ABS(F75-C75)/C75,"")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'_Data'!K301</f>
        <v/>
      </c>
      <c r="N75" s="36">
        <f>'_Data'!L301</f>
        <v/>
      </c>
    </row>
    <row r="76">
      <c r="A76" s="36" t="inlineStr">
        <is>
          <t>2026 W41</t>
        </is>
      </c>
      <c r="B76" s="36" t="n">
        <v>41</v>
      </c>
      <c r="C76" s="36">
        <f>'_Data'!D302</f>
        <v/>
      </c>
      <c r="D76" s="36">
        <f>'_Data'!E302</f>
        <v/>
      </c>
      <c r="E76" s="36">
        <f>'_Data'!F302</f>
        <v/>
      </c>
      <c r="F76" s="37">
        <f>'_Data'!G302</f>
        <v/>
      </c>
      <c r="G76" s="37">
        <f>'_Data'!H302</f>
        <v/>
      </c>
      <c r="H76" s="37">
        <f>'_Data'!I302</f>
        <v/>
      </c>
      <c r="I76" s="40">
        <f>'_Data'!J302</f>
        <v/>
      </c>
      <c r="J76" s="39">
        <f>IF(AND(C76&gt;0,F76&gt;0),ABS(F76-C76)/C76,"")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'_Data'!K302</f>
        <v/>
      </c>
      <c r="N76" s="36">
        <f>'_Data'!L302</f>
        <v/>
      </c>
    </row>
    <row r="77">
      <c r="A77" s="36" t="inlineStr">
        <is>
          <t>2026 W42</t>
        </is>
      </c>
      <c r="B77" s="36" t="n">
        <v>42</v>
      </c>
      <c r="C77" s="36">
        <f>'_Data'!D303</f>
        <v/>
      </c>
      <c r="D77" s="36">
        <f>'_Data'!E303</f>
        <v/>
      </c>
      <c r="E77" s="36">
        <f>'_Data'!F303</f>
        <v/>
      </c>
      <c r="F77" s="37">
        <f>'_Data'!G303</f>
        <v/>
      </c>
      <c r="G77" s="37">
        <f>'_Data'!H303</f>
        <v/>
      </c>
      <c r="H77" s="37">
        <f>'_Data'!I303</f>
        <v/>
      </c>
      <c r="I77" s="40">
        <f>'_Data'!J303</f>
        <v/>
      </c>
      <c r="J77" s="39">
        <f>IF(AND(C77&gt;0,F77&gt;0),ABS(F77-C77)/C77,"")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'_Data'!K303</f>
        <v/>
      </c>
      <c r="N77" s="36">
        <f>'_Data'!L303</f>
        <v/>
      </c>
    </row>
    <row r="78">
      <c r="A78" s="36" t="inlineStr">
        <is>
          <t>2026 W43</t>
        </is>
      </c>
      <c r="B78" s="36" t="n">
        <v>43</v>
      </c>
      <c r="C78" s="36">
        <f>'_Data'!D304</f>
        <v/>
      </c>
      <c r="D78" s="36">
        <f>'_Data'!E304</f>
        <v/>
      </c>
      <c r="E78" s="36">
        <f>'_Data'!F304</f>
        <v/>
      </c>
      <c r="F78" s="37">
        <f>'_Data'!G304</f>
        <v/>
      </c>
      <c r="G78" s="37">
        <f>'_Data'!H304</f>
        <v/>
      </c>
      <c r="H78" s="37">
        <f>'_Data'!I304</f>
        <v/>
      </c>
      <c r="I78" s="40">
        <f>'_Data'!J304</f>
        <v/>
      </c>
      <c r="J78" s="39">
        <f>IF(AND(C78&gt;0,F78&gt;0),ABS(F78-C78)/C78,"")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'_Data'!K304</f>
        <v/>
      </c>
      <c r="N78" s="36">
        <f>'_Data'!L304</f>
        <v/>
      </c>
    </row>
    <row r="79">
      <c r="A79" s="36" t="inlineStr">
        <is>
          <t>2026 W44</t>
        </is>
      </c>
      <c r="B79" s="36" t="n">
        <v>44</v>
      </c>
      <c r="C79" s="36">
        <f>'_Data'!D305</f>
        <v/>
      </c>
      <c r="D79" s="36">
        <f>'_Data'!E305</f>
        <v/>
      </c>
      <c r="E79" s="36">
        <f>'_Data'!F305</f>
        <v/>
      </c>
      <c r="F79" s="37">
        <f>'_Data'!G305</f>
        <v/>
      </c>
      <c r="G79" s="37">
        <f>'_Data'!H305</f>
        <v/>
      </c>
      <c r="H79" s="37">
        <f>'_Data'!I305</f>
        <v/>
      </c>
      <c r="I79" s="40">
        <f>'_Data'!J305</f>
        <v/>
      </c>
      <c r="J79" s="39">
        <f>IF(AND(C79&gt;0,F79&gt;0),ABS(F79-C79)/C79,"")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'_Data'!K305</f>
        <v/>
      </c>
      <c r="N79" s="36">
        <f>'_Data'!L305</f>
        <v/>
      </c>
    </row>
    <row r="80">
      <c r="A80" s="36" t="inlineStr">
        <is>
          <t>2026 W45</t>
        </is>
      </c>
      <c r="B80" s="36" t="n">
        <v>45</v>
      </c>
      <c r="C80" s="36">
        <f>'_Data'!D306</f>
        <v/>
      </c>
      <c r="D80" s="36">
        <f>'_Data'!E306</f>
        <v/>
      </c>
      <c r="E80" s="36">
        <f>'_Data'!F306</f>
        <v/>
      </c>
      <c r="F80" s="37">
        <f>'_Data'!G306</f>
        <v/>
      </c>
      <c r="G80" s="37">
        <f>'_Data'!H306</f>
        <v/>
      </c>
      <c r="H80" s="37">
        <f>'_Data'!I306</f>
        <v/>
      </c>
      <c r="I80" s="40">
        <f>'_Data'!J306</f>
        <v/>
      </c>
      <c r="J80" s="39">
        <f>IF(AND(C80&gt;0,F80&gt;0),ABS(F80-C80)/C80,"")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'_Data'!K306</f>
        <v/>
      </c>
      <c r="N80" s="36">
        <f>'_Data'!L306</f>
        <v/>
      </c>
    </row>
    <row r="81">
      <c r="A81" s="36" t="inlineStr">
        <is>
          <t>2026 W46</t>
        </is>
      </c>
      <c r="B81" s="36" t="n">
        <v>46</v>
      </c>
      <c r="C81" s="36">
        <f>'_Data'!D307</f>
        <v/>
      </c>
      <c r="D81" s="36">
        <f>'_Data'!E307</f>
        <v/>
      </c>
      <c r="E81" s="36">
        <f>'_Data'!F307</f>
        <v/>
      </c>
      <c r="F81" s="37">
        <f>'_Data'!G307</f>
        <v/>
      </c>
      <c r="G81" s="37">
        <f>'_Data'!H307</f>
        <v/>
      </c>
      <c r="H81" s="37">
        <f>'_Data'!I307</f>
        <v/>
      </c>
      <c r="I81" s="40">
        <f>'_Data'!J307</f>
        <v/>
      </c>
      <c r="J81" s="39">
        <f>IF(AND(C81&gt;0,F81&gt;0),ABS(F81-C81)/C81,"")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'_Data'!K307</f>
        <v/>
      </c>
      <c r="N81" s="36">
        <f>'_Data'!L307</f>
        <v/>
      </c>
    </row>
    <row r="82">
      <c r="A82" s="36" t="inlineStr">
        <is>
          <t>2026 W47</t>
        </is>
      </c>
      <c r="B82" s="36" t="n">
        <v>47</v>
      </c>
      <c r="C82" s="36">
        <f>'_Data'!D308</f>
        <v/>
      </c>
      <c r="D82" s="36">
        <f>'_Data'!E308</f>
        <v/>
      </c>
      <c r="E82" s="36">
        <f>'_Data'!F308</f>
        <v/>
      </c>
      <c r="F82" s="37">
        <f>'_Data'!G308</f>
        <v/>
      </c>
      <c r="G82" s="37">
        <f>'_Data'!H308</f>
        <v/>
      </c>
      <c r="H82" s="37">
        <f>'_Data'!I308</f>
        <v/>
      </c>
      <c r="I82" s="40">
        <f>'_Data'!J308</f>
        <v/>
      </c>
      <c r="J82" s="39">
        <f>IF(AND(C82&gt;0,F82&gt;0),ABS(F82-C82)/C82,"")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'_Data'!K308</f>
        <v/>
      </c>
      <c r="N82" s="36">
        <f>'_Data'!L308</f>
        <v/>
      </c>
    </row>
    <row r="83">
      <c r="A83" s="36" t="inlineStr">
        <is>
          <t>2026 W48</t>
        </is>
      </c>
      <c r="B83" s="36" t="n">
        <v>48</v>
      </c>
      <c r="C83" s="36">
        <f>'_Data'!D309</f>
        <v/>
      </c>
      <c r="D83" s="36">
        <f>'_Data'!E309</f>
        <v/>
      </c>
      <c r="E83" s="36">
        <f>'_Data'!F309</f>
        <v/>
      </c>
      <c r="F83" s="37">
        <f>'_Data'!G309</f>
        <v/>
      </c>
      <c r="G83" s="37">
        <f>'_Data'!H309</f>
        <v/>
      </c>
      <c r="H83" s="37">
        <f>'_Data'!I309</f>
        <v/>
      </c>
      <c r="I83" s="40">
        <f>'_Data'!J309</f>
        <v/>
      </c>
      <c r="J83" s="39">
        <f>IF(AND(C83&gt;0,F83&gt;0),ABS(F83-C83)/C83,"")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'_Data'!K309</f>
        <v/>
      </c>
      <c r="N83" s="36">
        <f>'_Data'!L309</f>
        <v/>
      </c>
    </row>
    <row r="84">
      <c r="A84" s="36" t="inlineStr">
        <is>
          <t>2026 W49</t>
        </is>
      </c>
      <c r="B84" s="36" t="n">
        <v>49</v>
      </c>
      <c r="C84" s="36">
        <f>'_Data'!D310</f>
        <v/>
      </c>
      <c r="D84" s="36">
        <f>'_Data'!E310</f>
        <v/>
      </c>
      <c r="E84" s="36">
        <f>'_Data'!F310</f>
        <v/>
      </c>
      <c r="F84" s="37">
        <f>'_Data'!G310</f>
        <v/>
      </c>
      <c r="G84" s="37">
        <f>'_Data'!H310</f>
        <v/>
      </c>
      <c r="H84" s="37">
        <f>'_Data'!I310</f>
        <v/>
      </c>
      <c r="I84" s="40">
        <f>'_Data'!J310</f>
        <v/>
      </c>
      <c r="J84" s="39">
        <f>IF(AND(C84&gt;0,F84&gt;0),ABS(F84-C84)/C84,"")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'_Data'!K310</f>
        <v/>
      </c>
      <c r="N84" s="36">
        <f>'_Data'!L310</f>
        <v/>
      </c>
    </row>
    <row r="85">
      <c r="A85" s="36" t="inlineStr">
        <is>
          <t>2026 W50</t>
        </is>
      </c>
      <c r="B85" s="36" t="n">
        <v>50</v>
      </c>
      <c r="C85" s="36">
        <f>'_Data'!D311</f>
        <v/>
      </c>
      <c r="D85" s="36">
        <f>'_Data'!E311</f>
        <v/>
      </c>
      <c r="E85" s="36">
        <f>'_Data'!F311</f>
        <v/>
      </c>
      <c r="F85" s="37">
        <f>'_Data'!G311</f>
        <v/>
      </c>
      <c r="G85" s="37">
        <f>'_Data'!H311</f>
        <v/>
      </c>
      <c r="H85" s="37">
        <f>'_Data'!I311</f>
        <v/>
      </c>
      <c r="I85" s="40">
        <f>'_Data'!J311</f>
        <v/>
      </c>
      <c r="J85" s="39">
        <f>IF(AND(C85&gt;0,F85&gt;0),ABS(F85-C85)/C85,"")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'_Data'!K311</f>
        <v/>
      </c>
      <c r="N85" s="36">
        <f>'_Data'!L311</f>
        <v/>
      </c>
    </row>
    <row r="86">
      <c r="A86" s="36" t="inlineStr">
        <is>
          <t>2026 W51</t>
        </is>
      </c>
      <c r="B86" s="36" t="n">
        <v>51</v>
      </c>
      <c r="C86" s="36">
        <f>'_Data'!D312</f>
        <v/>
      </c>
      <c r="D86" s="36">
        <f>'_Data'!E312</f>
        <v/>
      </c>
      <c r="E86" s="36">
        <f>'_Data'!F312</f>
        <v/>
      </c>
      <c r="F86" s="37">
        <f>'_Data'!G312</f>
        <v/>
      </c>
      <c r="G86" s="37">
        <f>'_Data'!H312</f>
        <v/>
      </c>
      <c r="H86" s="37">
        <f>'_Data'!I312</f>
        <v/>
      </c>
      <c r="I86" s="40">
        <f>'_Data'!J312</f>
        <v/>
      </c>
      <c r="J86" s="39">
        <f>IF(AND(C86&gt;0,F86&gt;0),ABS(F86-C86)/C86,"")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'_Data'!K312</f>
        <v/>
      </c>
      <c r="N86" s="36">
        <f>'_Data'!L312</f>
        <v/>
      </c>
    </row>
    <row r="87">
      <c r="A87" s="36" t="inlineStr">
        <is>
          <t>2026 W52</t>
        </is>
      </c>
      <c r="B87" s="36" t="n">
        <v>52</v>
      </c>
      <c r="C87" s="36">
        <f>'_Data'!D313</f>
        <v/>
      </c>
      <c r="D87" s="36">
        <f>'_Data'!E313</f>
        <v/>
      </c>
      <c r="E87" s="36">
        <f>'_Data'!F313</f>
        <v/>
      </c>
      <c r="F87" s="37">
        <f>'_Data'!G313</f>
        <v/>
      </c>
      <c r="G87" s="37">
        <f>'_Data'!H313</f>
        <v/>
      </c>
      <c r="H87" s="37">
        <f>'_Data'!I313</f>
        <v/>
      </c>
      <c r="I87" s="40">
        <f>'_Data'!J313</f>
        <v/>
      </c>
      <c r="J87" s="39">
        <f>IF(AND(C87&gt;0,F87&gt;0),ABS(F87-C87)/C87,"")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'_Data'!K313</f>
        <v/>
      </c>
      <c r="N87" s="36">
        <f>'_Data'!L313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C0392B"/>
      </dataBar>
    </cfRule>
  </conditionalFormatting>
  <conditionalFormatting sqref="J36:J87">
    <cfRule type="colorScale" priority="2">
      <colorScale>
        <cfvo type="num" val="0"/>
        <cfvo type="num" val="0.1"/>
        <cfvo type="num" val="0.3"/>
        <color rgb="FF27AE60"/>
        <color rgb="FFFFFFFF"/>
        <color rgb="FFE74C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F1C40F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6" t="inlineStr">
        <is>
          <t>CA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TEXT(SUM('_Data'!D314:D365),"#,##0")</f>
        <v/>
      </c>
      <c r="B4" s="74" t="n"/>
      <c r="C4" s="33">
        <f>TEXT(SUM('_Data'!E314:E365),"$#,##0")</f>
        <v/>
      </c>
      <c r="D4" s="74" t="n"/>
      <c r="E4" s="33">
        <f>TEXT(IF(SUM('_Data'!D314:D365)&gt;0,SUM('_Data'!E314:E365)/SUM('_Data'!D314:D365),0),"$#,##0.00")</f>
        <v/>
      </c>
      <c r="F4" s="74" t="n"/>
      <c r="G4" s="33">
        <f>IF(AND('_Data'!C698&gt;0,'_Data'!F698&gt;0),TEXT(('_Data'!C698-'_Data'!F698)/'_Data'!F698,"+0.0%;-0.0%"),"")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7" t="inlineStr">
        <is>
          <t>Period</t>
        </is>
      </c>
      <c r="B9" s="57" t="inlineStr">
        <is>
          <t>Actual Regs</t>
        </is>
      </c>
      <c r="C9" s="57" t="inlineStr">
        <is>
          <t>Pred Regs</t>
        </is>
      </c>
      <c r="D9" s="57" t="inlineStr">
        <is>
          <t>CI Low</t>
        </is>
      </c>
      <c r="E9" s="57" t="inlineStr">
        <is>
          <t>CI High</t>
        </is>
      </c>
      <c r="F9" s="57" t="inlineStr">
        <is>
          <t>OP2 Target</t>
        </is>
      </c>
      <c r="G9" s="57" t="inlineStr">
        <is>
          <t>vs OP2 %</t>
        </is>
      </c>
      <c r="H9" s="57" t="inlineStr">
        <is>
          <t>Error %</t>
        </is>
      </c>
      <c r="I9" s="57" t="inlineStr">
        <is>
          <t>Confidence</t>
        </is>
      </c>
      <c r="J9" s="57" t="inlineStr">
        <is>
          <t>Score</t>
        </is>
      </c>
      <c r="K9" s="57" t="inlineStr">
        <is>
          <t>Notes</t>
        </is>
      </c>
    </row>
    <row r="10">
      <c r="A10" s="36" t="inlineStr">
        <is>
          <t>2026 Full Year</t>
        </is>
      </c>
      <c r="B10" s="37">
        <f>'_Data'!B698</f>
        <v/>
      </c>
      <c r="C10" s="37">
        <f>'_Data'!C698</f>
        <v/>
      </c>
      <c r="D10" s="37">
        <f>'_Data'!D698</f>
        <v/>
      </c>
      <c r="E10" s="37">
        <f>'_Data'!E698</f>
        <v/>
      </c>
      <c r="F10" s="37">
        <f>'_Data'!F698</f>
        <v/>
      </c>
      <c r="G10" s="38">
        <f>IF(AND(B10&gt;0,F10&gt;0),(B10-F10)/F10,"")</f>
        <v/>
      </c>
      <c r="H10" s="39">
        <f>IF(AND(B10&gt;0,C10&gt;0),ABS(C10-B10)/B10,"")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7" t="inlineStr">
        <is>
          <t>Period</t>
        </is>
      </c>
      <c r="B13" s="57" t="inlineStr">
        <is>
          <t>Actual Regs</t>
        </is>
      </c>
      <c r="C13" s="57" t="inlineStr">
        <is>
          <t>Pred Regs</t>
        </is>
      </c>
      <c r="D13" s="57" t="inlineStr">
        <is>
          <t>CI Low</t>
        </is>
      </c>
      <c r="E13" s="57" t="inlineStr">
        <is>
          <t>CI High</t>
        </is>
      </c>
      <c r="F13" s="57" t="inlineStr">
        <is>
          <t>OP2 Target</t>
        </is>
      </c>
      <c r="G13" s="57" t="inlineStr">
        <is>
          <t>vs OP2 %</t>
        </is>
      </c>
      <c r="H13" s="57" t="inlineStr">
        <is>
          <t>Error %</t>
        </is>
      </c>
      <c r="I13" s="57" t="inlineStr">
        <is>
          <t>Confidence</t>
        </is>
      </c>
      <c r="J13" s="57" t="inlineStr">
        <is>
          <t>Score</t>
        </is>
      </c>
      <c r="K13" s="57" t="inlineStr">
        <is>
          <t>Notes</t>
        </is>
      </c>
    </row>
    <row r="14">
      <c r="A14" s="41" t="inlineStr">
        <is>
          <t>Q1</t>
        </is>
      </c>
      <c r="B14" s="42">
        <f>'_Data'!D672</f>
        <v/>
      </c>
      <c r="C14" s="42">
        <f>'_Data'!E672</f>
        <v/>
      </c>
      <c r="D14" s="42">
        <f>'_Data'!F672</f>
        <v/>
      </c>
      <c r="E14" s="42">
        <f>'_Data'!G672</f>
        <v/>
      </c>
      <c r="F14" s="42">
        <f>'_Data'!H672</f>
        <v/>
      </c>
      <c r="G14" s="43">
        <f>IF(AND(B14&gt;0,F14&gt;0),(B14-F14)/F14,"")</f>
        <v/>
      </c>
      <c r="H14" s="44">
        <f>IF(AND(B14&gt;0,C14&gt;0),ABS(C14-B14)/B14,"")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'_Data'!D673</f>
        <v/>
      </c>
      <c r="C15" s="37">
        <f>'_Data'!E673</f>
        <v/>
      </c>
      <c r="D15" s="37">
        <f>'_Data'!F673</f>
        <v/>
      </c>
      <c r="E15" s="37">
        <f>'_Data'!G673</f>
        <v/>
      </c>
      <c r="F15" s="37">
        <f>'_Data'!H673</f>
        <v/>
      </c>
      <c r="G15" s="38">
        <f>IF(AND(B15&gt;0,F15&gt;0),(B15-F15)/F15,"")</f>
        <v/>
      </c>
      <c r="H15" s="39">
        <f>IF(AND(B15&gt;0,C15&gt;0),ABS(C15-B15)/B15,"")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'_Data'!D674</f>
        <v/>
      </c>
      <c r="C16" s="37">
        <f>'_Data'!E674</f>
        <v/>
      </c>
      <c r="D16" s="37">
        <f>'_Data'!F674</f>
        <v/>
      </c>
      <c r="E16" s="37">
        <f>'_Data'!G674</f>
        <v/>
      </c>
      <c r="F16" s="37">
        <f>'_Data'!H674</f>
        <v/>
      </c>
      <c r="G16" s="38">
        <f>IF(AND(B16&gt;0,F16&gt;0),(B16-F16)/F16,"")</f>
        <v/>
      </c>
      <c r="H16" s="39">
        <f>IF(AND(B16&gt;0,C16&gt;0),ABS(C16-B16)/B16,"")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'_Data'!D675</f>
        <v/>
      </c>
      <c r="C17" s="37">
        <f>'_Data'!E675</f>
        <v/>
      </c>
      <c r="D17" s="37">
        <f>'_Data'!F675</f>
        <v/>
      </c>
      <c r="E17" s="37">
        <f>'_Data'!G675</f>
        <v/>
      </c>
      <c r="F17" s="37">
        <f>'_Data'!H675</f>
        <v/>
      </c>
      <c r="G17" s="38">
        <f>IF(AND(B17&gt;0,F17&gt;0),(B17-F17)/F17,"")</f>
        <v/>
      </c>
      <c r="H17" s="39">
        <f>IF(AND(B17&gt;0,C17&gt;0),ABS(C17-B17)/B17,"")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7" t="inlineStr">
        <is>
          <t>Period</t>
        </is>
      </c>
      <c r="B20" s="57" t="inlineStr">
        <is>
          <t>Actual Regs</t>
        </is>
      </c>
      <c r="C20" s="57" t="inlineStr">
        <is>
          <t>Pred Regs</t>
        </is>
      </c>
      <c r="D20" s="57" t="inlineStr">
        <is>
          <t>CI Low</t>
        </is>
      </c>
      <c r="E20" s="57" t="inlineStr">
        <is>
          <t>CI High</t>
        </is>
      </c>
      <c r="F20" s="57" t="inlineStr">
        <is>
          <t>OP2 Target</t>
        </is>
      </c>
      <c r="G20" s="57" t="inlineStr">
        <is>
          <t>vs OP2 %</t>
        </is>
      </c>
      <c r="H20" s="57" t="inlineStr">
        <is>
          <t>Error %</t>
        </is>
      </c>
      <c r="I20" s="57" t="inlineStr">
        <is>
          <t>Confidence</t>
        </is>
      </c>
      <c r="J20" s="57" t="inlineStr">
        <is>
          <t>Score</t>
        </is>
      </c>
      <c r="K20" s="57" t="inlineStr">
        <is>
          <t>Notes</t>
        </is>
      </c>
    </row>
    <row r="21">
      <c r="A21" s="41" t="inlineStr">
        <is>
          <t>Jan</t>
        </is>
      </c>
      <c r="B21" s="42">
        <f>'_Data'!D596</f>
        <v/>
      </c>
      <c r="C21" s="42">
        <f>'_Data'!E596</f>
        <v/>
      </c>
      <c r="D21" s="42">
        <f>'_Data'!F596</f>
        <v/>
      </c>
      <c r="E21" s="42">
        <f>'_Data'!G596</f>
        <v/>
      </c>
      <c r="F21" s="42">
        <f>'_Data'!H596</f>
        <v/>
      </c>
      <c r="G21" s="43">
        <f>IF(AND(B21&gt;0,F21&gt;0),(B21-F21)/F21,"")</f>
        <v/>
      </c>
      <c r="H21" s="44">
        <f>IF(AND(B21&gt;0,C21&gt;0),ABS(C21-B21)/B21,"")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'_Data'!D597</f>
        <v/>
      </c>
      <c r="C22" s="47">
        <f>'_Data'!E597</f>
        <v/>
      </c>
      <c r="D22" s="47">
        <f>'_Data'!F597</f>
        <v/>
      </c>
      <c r="E22" s="47">
        <f>'_Data'!G597</f>
        <v/>
      </c>
      <c r="F22" s="47">
        <f>'_Data'!H597</f>
        <v/>
      </c>
      <c r="G22" s="48">
        <f>IF(AND(B22&gt;0,F22&gt;0),(B22-F22)/F22,"")</f>
        <v/>
      </c>
      <c r="H22" s="49">
        <f>IF(AND(B22&gt;0,C22&gt;0),ABS(C22-B22)/B22,"")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'_Data'!D598</f>
        <v/>
      </c>
      <c r="C23" s="42">
        <f>'_Data'!E598</f>
        <v/>
      </c>
      <c r="D23" s="42">
        <f>'_Data'!F598</f>
        <v/>
      </c>
      <c r="E23" s="42">
        <f>'_Data'!G598</f>
        <v/>
      </c>
      <c r="F23" s="42">
        <f>'_Data'!H598</f>
        <v/>
      </c>
      <c r="G23" s="43">
        <f>IF(AND(B23&gt;0,F23&gt;0),(B23-F23)/F23,"")</f>
        <v/>
      </c>
      <c r="H23" s="44">
        <f>IF(AND(B23&gt;0,C23&gt;0),ABS(C23-B23)/B23,"")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'_Data'!D599</f>
        <v/>
      </c>
      <c r="C24" s="37">
        <f>'_Data'!E599</f>
        <v/>
      </c>
      <c r="D24" s="37">
        <f>'_Data'!F599</f>
        <v/>
      </c>
      <c r="E24" s="37">
        <f>'_Data'!G599</f>
        <v/>
      </c>
      <c r="F24" s="37">
        <f>'_Data'!H599</f>
        <v/>
      </c>
      <c r="G24" s="38">
        <f>IF(AND(B24&gt;0,F24&gt;0),(B24-F24)/F24,"")</f>
        <v/>
      </c>
      <c r="H24" s="39">
        <f>IF(AND(B24&gt;0,C24&gt;0),ABS(C24-B24)/B24,"")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'_Data'!D600</f>
        <v/>
      </c>
      <c r="C25" s="37">
        <f>'_Data'!E600</f>
        <v/>
      </c>
      <c r="D25" s="37">
        <f>'_Data'!F600</f>
        <v/>
      </c>
      <c r="E25" s="37">
        <f>'_Data'!G600</f>
        <v/>
      </c>
      <c r="F25" s="37">
        <f>'_Data'!H600</f>
        <v/>
      </c>
      <c r="G25" s="38">
        <f>IF(AND(B25&gt;0,F25&gt;0),(B25-F25)/F25,"")</f>
        <v/>
      </c>
      <c r="H25" s="39">
        <f>IF(AND(B25&gt;0,C25&gt;0),ABS(C25-B25)/B25,"")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'_Data'!D601</f>
        <v/>
      </c>
      <c r="C26" s="37">
        <f>'_Data'!E601</f>
        <v/>
      </c>
      <c r="D26" s="37">
        <f>'_Data'!F601</f>
        <v/>
      </c>
      <c r="E26" s="37">
        <f>'_Data'!G601</f>
        <v/>
      </c>
      <c r="F26" s="37">
        <f>'_Data'!H601</f>
        <v/>
      </c>
      <c r="G26" s="38">
        <f>IF(AND(B26&gt;0,F26&gt;0),(B26-F26)/F26,"")</f>
        <v/>
      </c>
      <c r="H26" s="39">
        <f>IF(AND(B26&gt;0,C26&gt;0),ABS(C26-B26)/B26,"")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'_Data'!D602</f>
        <v/>
      </c>
      <c r="C27" s="37">
        <f>'_Data'!E602</f>
        <v/>
      </c>
      <c r="D27" s="37">
        <f>'_Data'!F602</f>
        <v/>
      </c>
      <c r="E27" s="37">
        <f>'_Data'!G602</f>
        <v/>
      </c>
      <c r="F27" s="37">
        <f>'_Data'!H602</f>
        <v/>
      </c>
      <c r="G27" s="38">
        <f>IF(AND(B27&gt;0,F27&gt;0),(B27-F27)/F27,"")</f>
        <v/>
      </c>
      <c r="H27" s="39">
        <f>IF(AND(B27&gt;0,C27&gt;0),ABS(C27-B27)/B27,"")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'_Data'!D603</f>
        <v/>
      </c>
      <c r="C28" s="37">
        <f>'_Data'!E603</f>
        <v/>
      </c>
      <c r="D28" s="37">
        <f>'_Data'!F603</f>
        <v/>
      </c>
      <c r="E28" s="37">
        <f>'_Data'!G603</f>
        <v/>
      </c>
      <c r="F28" s="37">
        <f>'_Data'!H603</f>
        <v/>
      </c>
      <c r="G28" s="38">
        <f>IF(AND(B28&gt;0,F28&gt;0),(B28-F28)/F28,"")</f>
        <v/>
      </c>
      <c r="H28" s="39">
        <f>IF(AND(B28&gt;0,C28&gt;0),ABS(C28-B28)/B28,"")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'_Data'!D604</f>
        <v/>
      </c>
      <c r="C29" s="37">
        <f>'_Data'!E604</f>
        <v/>
      </c>
      <c r="D29" s="37">
        <f>'_Data'!F604</f>
        <v/>
      </c>
      <c r="E29" s="37">
        <f>'_Data'!G604</f>
        <v/>
      </c>
      <c r="F29" s="37">
        <f>'_Data'!H604</f>
        <v/>
      </c>
      <c r="G29" s="38">
        <f>IF(AND(B29&gt;0,F29&gt;0),(B29-F29)/F29,"")</f>
        <v/>
      </c>
      <c r="H29" s="39">
        <f>IF(AND(B29&gt;0,C29&gt;0),ABS(C29-B29)/B29,"")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'_Data'!D605</f>
        <v/>
      </c>
      <c r="C30" s="37">
        <f>'_Data'!E605</f>
        <v/>
      </c>
      <c r="D30" s="37">
        <f>'_Data'!F605</f>
        <v/>
      </c>
      <c r="E30" s="37">
        <f>'_Data'!G605</f>
        <v/>
      </c>
      <c r="F30" s="37">
        <f>'_Data'!H605</f>
        <v/>
      </c>
      <c r="G30" s="38">
        <f>IF(AND(B30&gt;0,F30&gt;0),(B30-F30)/F30,"")</f>
        <v/>
      </c>
      <c r="H30" s="39">
        <f>IF(AND(B30&gt;0,C30&gt;0),ABS(C30-B30)/B30,"")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'_Data'!D606</f>
        <v/>
      </c>
      <c r="C31" s="37">
        <f>'_Data'!E606</f>
        <v/>
      </c>
      <c r="D31" s="37">
        <f>'_Data'!F606</f>
        <v/>
      </c>
      <c r="E31" s="37">
        <f>'_Data'!G606</f>
        <v/>
      </c>
      <c r="F31" s="37">
        <f>'_Data'!H606</f>
        <v/>
      </c>
      <c r="G31" s="38">
        <f>IF(AND(B31&gt;0,F31&gt;0),(B31-F31)/F31,"")</f>
        <v/>
      </c>
      <c r="H31" s="39">
        <f>IF(AND(B31&gt;0,C31&gt;0),ABS(C31-B31)/B31,"")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'_Data'!D607</f>
        <v/>
      </c>
      <c r="C32" s="37">
        <f>'_Data'!E607</f>
        <v/>
      </c>
      <c r="D32" s="37">
        <f>'_Data'!F607</f>
        <v/>
      </c>
      <c r="E32" s="37">
        <f>'_Data'!G607</f>
        <v/>
      </c>
      <c r="F32" s="37">
        <f>'_Data'!H607</f>
        <v/>
      </c>
      <c r="G32" s="38">
        <f>IF(AND(B32&gt;0,F32&gt;0),(B32-F32)/F32,"")</f>
        <v/>
      </c>
      <c r="H32" s="39">
        <f>IF(AND(B32&gt;0,C32&gt;0),ABS(C32-B32)/B32,"")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7" t="inlineStr">
        <is>
          <t>Week</t>
        </is>
      </c>
      <c r="B35" s="57" t="inlineStr">
        <is>
          <t>Wk#</t>
        </is>
      </c>
      <c r="C35" s="57" t="inlineStr">
        <is>
          <t>Actual Regs</t>
        </is>
      </c>
      <c r="D35" s="57" t="inlineStr">
        <is>
          <t>Actual Cost</t>
        </is>
      </c>
      <c r="E35" s="57" t="inlineStr">
        <is>
          <t>Actual CPA</t>
        </is>
      </c>
      <c r="F35" s="57" t="inlineStr">
        <is>
          <t>Pred Regs</t>
        </is>
      </c>
      <c r="G35" s="57" t="inlineStr">
        <is>
          <t>CI Low</t>
        </is>
      </c>
      <c r="H35" s="57" t="inlineStr">
        <is>
          <t>CI High</t>
        </is>
      </c>
      <c r="I35" s="57" t="inlineStr">
        <is>
          <t>Confidence</t>
        </is>
      </c>
      <c r="J35" s="57" t="inlineStr">
        <is>
          <t>Error %</t>
        </is>
      </c>
      <c r="K35" s="57" t="inlineStr">
        <is>
          <t>Within CI</t>
        </is>
      </c>
      <c r="L35" s="57" t="inlineStr">
        <is>
          <t>WoW Δ%</t>
        </is>
      </c>
      <c r="M35" s="57" t="inlineStr">
        <is>
          <t>Brand Regs</t>
        </is>
      </c>
      <c r="N35" s="5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'_Data'!D314</f>
        <v/>
      </c>
      <c r="D36" s="51">
        <f>'_Data'!E314</f>
        <v/>
      </c>
      <c r="E36" s="52">
        <f>'_Data'!F314</f>
        <v/>
      </c>
      <c r="F36" s="42">
        <f>'_Data'!G314</f>
        <v/>
      </c>
      <c r="G36" s="42">
        <f>'_Data'!H314</f>
        <v/>
      </c>
      <c r="H36" s="42">
        <f>'_Data'!I314</f>
        <v/>
      </c>
      <c r="I36" s="45">
        <f>'_Data'!J314</f>
        <v/>
      </c>
      <c r="J36" s="44">
        <f>IF(AND(C36&gt;0,F36&gt;0),ABS(F36-C36)/C36,"")</f>
        <v/>
      </c>
      <c r="K36" s="41">
        <f>IF(AND(C36&gt;0,G36&gt;0),IF(AND(C36&gt;=G36,C36&lt;=H36),"✓","✗"),"")</f>
        <v/>
      </c>
      <c r="L36" s="41" t="n"/>
      <c r="M36" s="42">
        <f>'_Data'!K314</f>
        <v/>
      </c>
      <c r="N36" s="42">
        <f>'_Data'!L314</f>
        <v/>
      </c>
    </row>
    <row r="37">
      <c r="A37" s="46" t="inlineStr">
        <is>
          <t>2026 W2</t>
        </is>
      </c>
      <c r="B37" s="46" t="n">
        <v>2</v>
      </c>
      <c r="C37" s="47">
        <f>'_Data'!D315</f>
        <v/>
      </c>
      <c r="D37" s="53">
        <f>'_Data'!E315</f>
        <v/>
      </c>
      <c r="E37" s="54">
        <f>'_Data'!F315</f>
        <v/>
      </c>
      <c r="F37" s="47">
        <f>'_Data'!G315</f>
        <v/>
      </c>
      <c r="G37" s="47">
        <f>'_Data'!H315</f>
        <v/>
      </c>
      <c r="H37" s="47">
        <f>'_Data'!I315</f>
        <v/>
      </c>
      <c r="I37" s="50">
        <f>'_Data'!J315</f>
        <v/>
      </c>
      <c r="J37" s="49">
        <f>IF(AND(C37&gt;0,F37&gt;0),ABS(F37-C37)/C37,"")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'_Data'!K315</f>
        <v/>
      </c>
      <c r="N37" s="47">
        <f>'_Data'!L315</f>
        <v/>
      </c>
    </row>
    <row r="38">
      <c r="A38" s="41" t="inlineStr">
        <is>
          <t>2026 W3</t>
        </is>
      </c>
      <c r="B38" s="41" t="n">
        <v>3</v>
      </c>
      <c r="C38" s="42">
        <f>'_Data'!D316</f>
        <v/>
      </c>
      <c r="D38" s="51">
        <f>'_Data'!E316</f>
        <v/>
      </c>
      <c r="E38" s="52">
        <f>'_Data'!F316</f>
        <v/>
      </c>
      <c r="F38" s="42">
        <f>'_Data'!G316</f>
        <v/>
      </c>
      <c r="G38" s="42">
        <f>'_Data'!H316</f>
        <v/>
      </c>
      <c r="H38" s="42">
        <f>'_Data'!I316</f>
        <v/>
      </c>
      <c r="I38" s="45">
        <f>'_Data'!J316</f>
        <v/>
      </c>
      <c r="J38" s="44">
        <f>IF(AND(C38&gt;0,F38&gt;0),ABS(F38-C38)/C38,"")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'_Data'!K316</f>
        <v/>
      </c>
      <c r="N38" s="42">
        <f>'_Data'!L316</f>
        <v/>
      </c>
    </row>
    <row r="39">
      <c r="A39" s="46" t="inlineStr">
        <is>
          <t>2026 W4</t>
        </is>
      </c>
      <c r="B39" s="46" t="n">
        <v>4</v>
      </c>
      <c r="C39" s="47">
        <f>'_Data'!D317</f>
        <v/>
      </c>
      <c r="D39" s="53">
        <f>'_Data'!E317</f>
        <v/>
      </c>
      <c r="E39" s="54">
        <f>'_Data'!F317</f>
        <v/>
      </c>
      <c r="F39" s="47">
        <f>'_Data'!G317</f>
        <v/>
      </c>
      <c r="G39" s="47">
        <f>'_Data'!H317</f>
        <v/>
      </c>
      <c r="H39" s="47">
        <f>'_Data'!I317</f>
        <v/>
      </c>
      <c r="I39" s="50">
        <f>'_Data'!J317</f>
        <v/>
      </c>
      <c r="J39" s="49">
        <f>IF(AND(C39&gt;0,F39&gt;0),ABS(F39-C39)/C39,"")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'_Data'!K317</f>
        <v/>
      </c>
      <c r="N39" s="47">
        <f>'_Data'!L317</f>
        <v/>
      </c>
    </row>
    <row r="40">
      <c r="A40" s="41" t="inlineStr">
        <is>
          <t>2026 W5</t>
        </is>
      </c>
      <c r="B40" s="41" t="n">
        <v>5</v>
      </c>
      <c r="C40" s="42">
        <f>'_Data'!D318</f>
        <v/>
      </c>
      <c r="D40" s="51">
        <f>'_Data'!E318</f>
        <v/>
      </c>
      <c r="E40" s="52">
        <f>'_Data'!F318</f>
        <v/>
      </c>
      <c r="F40" s="42">
        <f>'_Data'!G318</f>
        <v/>
      </c>
      <c r="G40" s="42">
        <f>'_Data'!H318</f>
        <v/>
      </c>
      <c r="H40" s="42">
        <f>'_Data'!I318</f>
        <v/>
      </c>
      <c r="I40" s="45">
        <f>'_Data'!J318</f>
        <v/>
      </c>
      <c r="J40" s="44">
        <f>IF(AND(C40&gt;0,F40&gt;0),ABS(F40-C40)/C40,"")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'_Data'!K318</f>
        <v/>
      </c>
      <c r="N40" s="42">
        <f>'_Data'!L318</f>
        <v/>
      </c>
    </row>
    <row r="41">
      <c r="A41" s="46" t="inlineStr">
        <is>
          <t>2026 W6</t>
        </is>
      </c>
      <c r="B41" s="46" t="n">
        <v>6</v>
      </c>
      <c r="C41" s="47">
        <f>'_Data'!D319</f>
        <v/>
      </c>
      <c r="D41" s="53">
        <f>'_Data'!E319</f>
        <v/>
      </c>
      <c r="E41" s="54">
        <f>'_Data'!F319</f>
        <v/>
      </c>
      <c r="F41" s="47">
        <f>'_Data'!G319</f>
        <v/>
      </c>
      <c r="G41" s="47">
        <f>'_Data'!H319</f>
        <v/>
      </c>
      <c r="H41" s="47">
        <f>'_Data'!I319</f>
        <v/>
      </c>
      <c r="I41" s="50">
        <f>'_Data'!J319</f>
        <v/>
      </c>
      <c r="J41" s="49">
        <f>IF(AND(C41&gt;0,F41&gt;0),ABS(F41-C41)/C41,"")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'_Data'!K319</f>
        <v/>
      </c>
      <c r="N41" s="47">
        <f>'_Data'!L319</f>
        <v/>
      </c>
    </row>
    <row r="42">
      <c r="A42" s="41" t="inlineStr">
        <is>
          <t>2026 W7</t>
        </is>
      </c>
      <c r="B42" s="41" t="n">
        <v>7</v>
      </c>
      <c r="C42" s="42">
        <f>'_Data'!D320</f>
        <v/>
      </c>
      <c r="D42" s="51">
        <f>'_Data'!E320</f>
        <v/>
      </c>
      <c r="E42" s="52">
        <f>'_Data'!F320</f>
        <v/>
      </c>
      <c r="F42" s="42">
        <f>'_Data'!G320</f>
        <v/>
      </c>
      <c r="G42" s="42">
        <f>'_Data'!H320</f>
        <v/>
      </c>
      <c r="H42" s="42">
        <f>'_Data'!I320</f>
        <v/>
      </c>
      <c r="I42" s="45">
        <f>'_Data'!J320</f>
        <v/>
      </c>
      <c r="J42" s="44">
        <f>IF(AND(C42&gt;0,F42&gt;0),ABS(F42-C42)/C42,"")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'_Data'!K320</f>
        <v/>
      </c>
      <c r="N42" s="42">
        <f>'_Data'!L320</f>
        <v/>
      </c>
    </row>
    <row r="43">
      <c r="A43" s="46" t="inlineStr">
        <is>
          <t>2026 W8</t>
        </is>
      </c>
      <c r="B43" s="46" t="n">
        <v>8</v>
      </c>
      <c r="C43" s="47">
        <f>'_Data'!D321</f>
        <v/>
      </c>
      <c r="D43" s="53">
        <f>'_Data'!E321</f>
        <v/>
      </c>
      <c r="E43" s="54">
        <f>'_Data'!F321</f>
        <v/>
      </c>
      <c r="F43" s="47">
        <f>'_Data'!G321</f>
        <v/>
      </c>
      <c r="G43" s="47">
        <f>'_Data'!H321</f>
        <v/>
      </c>
      <c r="H43" s="47">
        <f>'_Data'!I321</f>
        <v/>
      </c>
      <c r="I43" s="50">
        <f>'_Data'!J321</f>
        <v/>
      </c>
      <c r="J43" s="49">
        <f>IF(AND(C43&gt;0,F43&gt;0),ABS(F43-C43)/C43,"")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'_Data'!K321</f>
        <v/>
      </c>
      <c r="N43" s="47">
        <f>'_Data'!L321</f>
        <v/>
      </c>
    </row>
    <row r="44">
      <c r="A44" s="41" t="inlineStr">
        <is>
          <t>2026 W9</t>
        </is>
      </c>
      <c r="B44" s="41" t="n">
        <v>9</v>
      </c>
      <c r="C44" s="42">
        <f>'_Data'!D322</f>
        <v/>
      </c>
      <c r="D44" s="51">
        <f>'_Data'!E322</f>
        <v/>
      </c>
      <c r="E44" s="52">
        <f>'_Data'!F322</f>
        <v/>
      </c>
      <c r="F44" s="42">
        <f>'_Data'!G322</f>
        <v/>
      </c>
      <c r="G44" s="42">
        <f>'_Data'!H322</f>
        <v/>
      </c>
      <c r="H44" s="42">
        <f>'_Data'!I322</f>
        <v/>
      </c>
      <c r="I44" s="45">
        <f>'_Data'!J322</f>
        <v/>
      </c>
      <c r="J44" s="44">
        <f>IF(AND(C44&gt;0,F44&gt;0),ABS(F44-C44)/C44,"")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'_Data'!K322</f>
        <v/>
      </c>
      <c r="N44" s="42">
        <f>'_Data'!L322</f>
        <v/>
      </c>
    </row>
    <row r="45">
      <c r="A45" s="46" t="inlineStr">
        <is>
          <t>2026 W10</t>
        </is>
      </c>
      <c r="B45" s="46" t="n">
        <v>10</v>
      </c>
      <c r="C45" s="47">
        <f>'_Data'!D323</f>
        <v/>
      </c>
      <c r="D45" s="53">
        <f>'_Data'!E323</f>
        <v/>
      </c>
      <c r="E45" s="54">
        <f>'_Data'!F323</f>
        <v/>
      </c>
      <c r="F45" s="47">
        <f>'_Data'!G323</f>
        <v/>
      </c>
      <c r="G45" s="47">
        <f>'_Data'!H323</f>
        <v/>
      </c>
      <c r="H45" s="47">
        <f>'_Data'!I323</f>
        <v/>
      </c>
      <c r="I45" s="50">
        <f>'_Data'!J323</f>
        <v/>
      </c>
      <c r="J45" s="49">
        <f>IF(AND(C45&gt;0,F45&gt;0),ABS(F45-C45)/C45,"")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'_Data'!K323</f>
        <v/>
      </c>
      <c r="N45" s="47">
        <f>'_Data'!L323</f>
        <v/>
      </c>
    </row>
    <row r="46">
      <c r="A46" s="41" t="inlineStr">
        <is>
          <t>2026 W11</t>
        </is>
      </c>
      <c r="B46" s="41" t="n">
        <v>11</v>
      </c>
      <c r="C46" s="42">
        <f>'_Data'!D324</f>
        <v/>
      </c>
      <c r="D46" s="51">
        <f>'_Data'!E324</f>
        <v/>
      </c>
      <c r="E46" s="52">
        <f>'_Data'!F324</f>
        <v/>
      </c>
      <c r="F46" s="42">
        <f>'_Data'!G324</f>
        <v/>
      </c>
      <c r="G46" s="42">
        <f>'_Data'!H324</f>
        <v/>
      </c>
      <c r="H46" s="42">
        <f>'_Data'!I324</f>
        <v/>
      </c>
      <c r="I46" s="45">
        <f>'_Data'!J324</f>
        <v/>
      </c>
      <c r="J46" s="44">
        <f>IF(AND(C46&gt;0,F46&gt;0),ABS(F46-C46)/C46,"")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'_Data'!K324</f>
        <v/>
      </c>
      <c r="N46" s="42">
        <f>'_Data'!L324</f>
        <v/>
      </c>
    </row>
    <row r="47">
      <c r="A47" s="46" t="inlineStr">
        <is>
          <t>2026 W12</t>
        </is>
      </c>
      <c r="B47" s="46" t="n">
        <v>12</v>
      </c>
      <c r="C47" s="47">
        <f>'_Data'!D325</f>
        <v/>
      </c>
      <c r="D47" s="53">
        <f>'_Data'!E325</f>
        <v/>
      </c>
      <c r="E47" s="54">
        <f>'_Data'!F325</f>
        <v/>
      </c>
      <c r="F47" s="47">
        <f>'_Data'!G325</f>
        <v/>
      </c>
      <c r="G47" s="47">
        <f>'_Data'!H325</f>
        <v/>
      </c>
      <c r="H47" s="47">
        <f>'_Data'!I325</f>
        <v/>
      </c>
      <c r="I47" s="50">
        <f>'_Data'!J325</f>
        <v/>
      </c>
      <c r="J47" s="49">
        <f>IF(AND(C47&gt;0,F47&gt;0),ABS(F47-C47)/C47,"")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'_Data'!K325</f>
        <v/>
      </c>
      <c r="N47" s="47">
        <f>'_Data'!L325</f>
        <v/>
      </c>
    </row>
    <row r="48">
      <c r="A48" s="41" t="inlineStr">
        <is>
          <t>2026 W13</t>
        </is>
      </c>
      <c r="B48" s="41" t="n">
        <v>13</v>
      </c>
      <c r="C48" s="42">
        <f>'_Data'!D326</f>
        <v/>
      </c>
      <c r="D48" s="51">
        <f>'_Data'!E326</f>
        <v/>
      </c>
      <c r="E48" s="52">
        <f>'_Data'!F326</f>
        <v/>
      </c>
      <c r="F48" s="42">
        <f>'_Data'!G326</f>
        <v/>
      </c>
      <c r="G48" s="42">
        <f>'_Data'!H326</f>
        <v/>
      </c>
      <c r="H48" s="42">
        <f>'_Data'!I326</f>
        <v/>
      </c>
      <c r="I48" s="45">
        <f>'_Data'!J326</f>
        <v/>
      </c>
      <c r="J48" s="44">
        <f>IF(AND(C48&gt;0,F48&gt;0),ABS(F48-C48)/C48,"")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'_Data'!K326</f>
        <v/>
      </c>
      <c r="N48" s="42">
        <f>'_Data'!L326</f>
        <v/>
      </c>
    </row>
    <row r="49">
      <c r="A49" s="46" t="inlineStr">
        <is>
          <t>2026 W14</t>
        </is>
      </c>
      <c r="B49" s="46" t="n">
        <v>14</v>
      </c>
      <c r="C49" s="47">
        <f>'_Data'!D327</f>
        <v/>
      </c>
      <c r="D49" s="53">
        <f>'_Data'!E327</f>
        <v/>
      </c>
      <c r="E49" s="54">
        <f>'_Data'!F327</f>
        <v/>
      </c>
      <c r="F49" s="47">
        <f>'_Data'!G327</f>
        <v/>
      </c>
      <c r="G49" s="47">
        <f>'_Data'!H327</f>
        <v/>
      </c>
      <c r="H49" s="47">
        <f>'_Data'!I327</f>
        <v/>
      </c>
      <c r="I49" s="50">
        <f>'_Data'!J327</f>
        <v/>
      </c>
      <c r="J49" s="49">
        <f>IF(AND(C49&gt;0,F49&gt;0),ABS(F49-C49)/C49,"")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'_Data'!K327</f>
        <v/>
      </c>
      <c r="N49" s="47">
        <f>'_Data'!L327</f>
        <v/>
      </c>
    </row>
    <row r="50">
      <c r="A50" s="41" t="inlineStr">
        <is>
          <t>2026 W15</t>
        </is>
      </c>
      <c r="B50" s="41" t="n">
        <v>15</v>
      </c>
      <c r="C50" s="42">
        <f>'_Data'!D328</f>
        <v/>
      </c>
      <c r="D50" s="51">
        <f>'_Data'!E328</f>
        <v/>
      </c>
      <c r="E50" s="52">
        <f>'_Data'!F328</f>
        <v/>
      </c>
      <c r="F50" s="42">
        <f>'_Data'!G328</f>
        <v/>
      </c>
      <c r="G50" s="42">
        <f>'_Data'!H328</f>
        <v/>
      </c>
      <c r="H50" s="42">
        <f>'_Data'!I328</f>
        <v/>
      </c>
      <c r="I50" s="45">
        <f>'_Data'!J328</f>
        <v/>
      </c>
      <c r="J50" s="44">
        <f>IF(AND(C50&gt;0,F50&gt;0),ABS(F50-C50)/C50,"")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'_Data'!K328</f>
        <v/>
      </c>
      <c r="N50" s="42">
        <f>'_Data'!L328</f>
        <v/>
      </c>
    </row>
    <row r="51">
      <c r="A51" s="36" t="inlineStr">
        <is>
          <t>2026 W16</t>
        </is>
      </c>
      <c r="B51" s="36" t="n">
        <v>16</v>
      </c>
      <c r="C51" s="36">
        <f>'_Data'!D329</f>
        <v/>
      </c>
      <c r="D51" s="36">
        <f>'_Data'!E329</f>
        <v/>
      </c>
      <c r="E51" s="36">
        <f>'_Data'!F329</f>
        <v/>
      </c>
      <c r="F51" s="37">
        <f>'_Data'!G329</f>
        <v/>
      </c>
      <c r="G51" s="37">
        <f>'_Data'!H329</f>
        <v/>
      </c>
      <c r="H51" s="37">
        <f>'_Data'!I329</f>
        <v/>
      </c>
      <c r="I51" s="40">
        <f>'_Data'!J329</f>
        <v/>
      </c>
      <c r="J51" s="39">
        <f>IF(AND(C51&gt;0,F51&gt;0),ABS(F51-C51)/C51,"")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'_Data'!K329</f>
        <v/>
      </c>
      <c r="N51" s="36">
        <f>'_Data'!L329</f>
        <v/>
      </c>
    </row>
    <row r="52">
      <c r="A52" s="36" t="inlineStr">
        <is>
          <t>2026 W17</t>
        </is>
      </c>
      <c r="B52" s="36" t="n">
        <v>17</v>
      </c>
      <c r="C52" s="36">
        <f>'_Data'!D330</f>
        <v/>
      </c>
      <c r="D52" s="36">
        <f>'_Data'!E330</f>
        <v/>
      </c>
      <c r="E52" s="36">
        <f>'_Data'!F330</f>
        <v/>
      </c>
      <c r="F52" s="37">
        <f>'_Data'!G330</f>
        <v/>
      </c>
      <c r="G52" s="37">
        <f>'_Data'!H330</f>
        <v/>
      </c>
      <c r="H52" s="37">
        <f>'_Data'!I330</f>
        <v/>
      </c>
      <c r="I52" s="40">
        <f>'_Data'!J330</f>
        <v/>
      </c>
      <c r="J52" s="39">
        <f>IF(AND(C52&gt;0,F52&gt;0),ABS(F52-C52)/C52,"")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'_Data'!K330</f>
        <v/>
      </c>
      <c r="N52" s="36">
        <f>'_Data'!L330</f>
        <v/>
      </c>
    </row>
    <row r="53">
      <c r="A53" s="36" t="inlineStr">
        <is>
          <t>2026 W18</t>
        </is>
      </c>
      <c r="B53" s="36" t="n">
        <v>18</v>
      </c>
      <c r="C53" s="36">
        <f>'_Data'!D331</f>
        <v/>
      </c>
      <c r="D53" s="36">
        <f>'_Data'!E331</f>
        <v/>
      </c>
      <c r="E53" s="36">
        <f>'_Data'!F331</f>
        <v/>
      </c>
      <c r="F53" s="37">
        <f>'_Data'!G331</f>
        <v/>
      </c>
      <c r="G53" s="37">
        <f>'_Data'!H331</f>
        <v/>
      </c>
      <c r="H53" s="37">
        <f>'_Data'!I331</f>
        <v/>
      </c>
      <c r="I53" s="40">
        <f>'_Data'!J331</f>
        <v/>
      </c>
      <c r="J53" s="39">
        <f>IF(AND(C53&gt;0,F53&gt;0),ABS(F53-C53)/C53,"")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'_Data'!K331</f>
        <v/>
      </c>
      <c r="N53" s="36">
        <f>'_Data'!L331</f>
        <v/>
      </c>
    </row>
    <row r="54">
      <c r="A54" s="36" t="inlineStr">
        <is>
          <t>2026 W19</t>
        </is>
      </c>
      <c r="B54" s="36" t="n">
        <v>19</v>
      </c>
      <c r="C54" s="36">
        <f>'_Data'!D332</f>
        <v/>
      </c>
      <c r="D54" s="36">
        <f>'_Data'!E332</f>
        <v/>
      </c>
      <c r="E54" s="36">
        <f>'_Data'!F332</f>
        <v/>
      </c>
      <c r="F54" s="37">
        <f>'_Data'!G332</f>
        <v/>
      </c>
      <c r="G54" s="37">
        <f>'_Data'!H332</f>
        <v/>
      </c>
      <c r="H54" s="37">
        <f>'_Data'!I332</f>
        <v/>
      </c>
      <c r="I54" s="40">
        <f>'_Data'!J332</f>
        <v/>
      </c>
      <c r="J54" s="39">
        <f>IF(AND(C54&gt;0,F54&gt;0),ABS(F54-C54)/C54,"")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'_Data'!K332</f>
        <v/>
      </c>
      <c r="N54" s="36">
        <f>'_Data'!L332</f>
        <v/>
      </c>
    </row>
    <row r="55">
      <c r="A55" s="36" t="inlineStr">
        <is>
          <t>2026 W20</t>
        </is>
      </c>
      <c r="B55" s="36" t="n">
        <v>20</v>
      </c>
      <c r="C55" s="36">
        <f>'_Data'!D333</f>
        <v/>
      </c>
      <c r="D55" s="36">
        <f>'_Data'!E333</f>
        <v/>
      </c>
      <c r="E55" s="36">
        <f>'_Data'!F333</f>
        <v/>
      </c>
      <c r="F55" s="37">
        <f>'_Data'!G333</f>
        <v/>
      </c>
      <c r="G55" s="37">
        <f>'_Data'!H333</f>
        <v/>
      </c>
      <c r="H55" s="37">
        <f>'_Data'!I333</f>
        <v/>
      </c>
      <c r="I55" s="40">
        <f>'_Data'!J333</f>
        <v/>
      </c>
      <c r="J55" s="39">
        <f>IF(AND(C55&gt;0,F55&gt;0),ABS(F55-C55)/C55,"")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'_Data'!K333</f>
        <v/>
      </c>
      <c r="N55" s="36">
        <f>'_Data'!L333</f>
        <v/>
      </c>
    </row>
    <row r="56">
      <c r="A56" s="36" t="inlineStr">
        <is>
          <t>2026 W21</t>
        </is>
      </c>
      <c r="B56" s="36" t="n">
        <v>21</v>
      </c>
      <c r="C56" s="36">
        <f>'_Data'!D334</f>
        <v/>
      </c>
      <c r="D56" s="36">
        <f>'_Data'!E334</f>
        <v/>
      </c>
      <c r="E56" s="36">
        <f>'_Data'!F334</f>
        <v/>
      </c>
      <c r="F56" s="37">
        <f>'_Data'!G334</f>
        <v/>
      </c>
      <c r="G56" s="37">
        <f>'_Data'!H334</f>
        <v/>
      </c>
      <c r="H56" s="37">
        <f>'_Data'!I334</f>
        <v/>
      </c>
      <c r="I56" s="40">
        <f>'_Data'!J334</f>
        <v/>
      </c>
      <c r="J56" s="39">
        <f>IF(AND(C56&gt;0,F56&gt;0),ABS(F56-C56)/C56,"")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'_Data'!K334</f>
        <v/>
      </c>
      <c r="N56" s="36">
        <f>'_Data'!L334</f>
        <v/>
      </c>
    </row>
    <row r="57">
      <c r="A57" s="36" t="inlineStr">
        <is>
          <t>2026 W22</t>
        </is>
      </c>
      <c r="B57" s="36" t="n">
        <v>22</v>
      </c>
      <c r="C57" s="36">
        <f>'_Data'!D335</f>
        <v/>
      </c>
      <c r="D57" s="36">
        <f>'_Data'!E335</f>
        <v/>
      </c>
      <c r="E57" s="36">
        <f>'_Data'!F335</f>
        <v/>
      </c>
      <c r="F57" s="37">
        <f>'_Data'!G335</f>
        <v/>
      </c>
      <c r="G57" s="37">
        <f>'_Data'!H335</f>
        <v/>
      </c>
      <c r="H57" s="37">
        <f>'_Data'!I335</f>
        <v/>
      </c>
      <c r="I57" s="40">
        <f>'_Data'!J335</f>
        <v/>
      </c>
      <c r="J57" s="39">
        <f>IF(AND(C57&gt;0,F57&gt;0),ABS(F57-C57)/C57,"")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'_Data'!K335</f>
        <v/>
      </c>
      <c r="N57" s="36">
        <f>'_Data'!L335</f>
        <v/>
      </c>
    </row>
    <row r="58">
      <c r="A58" s="36" t="inlineStr">
        <is>
          <t>2026 W23</t>
        </is>
      </c>
      <c r="B58" s="36" t="n">
        <v>23</v>
      </c>
      <c r="C58" s="36">
        <f>'_Data'!D336</f>
        <v/>
      </c>
      <c r="D58" s="36">
        <f>'_Data'!E336</f>
        <v/>
      </c>
      <c r="E58" s="36">
        <f>'_Data'!F336</f>
        <v/>
      </c>
      <c r="F58" s="37">
        <f>'_Data'!G336</f>
        <v/>
      </c>
      <c r="G58" s="37">
        <f>'_Data'!H336</f>
        <v/>
      </c>
      <c r="H58" s="37">
        <f>'_Data'!I336</f>
        <v/>
      </c>
      <c r="I58" s="40">
        <f>'_Data'!J336</f>
        <v/>
      </c>
      <c r="J58" s="39">
        <f>IF(AND(C58&gt;0,F58&gt;0),ABS(F58-C58)/C58,"")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'_Data'!K336</f>
        <v/>
      </c>
      <c r="N58" s="36">
        <f>'_Data'!L336</f>
        <v/>
      </c>
    </row>
    <row r="59">
      <c r="A59" s="36" t="inlineStr">
        <is>
          <t>2026 W24</t>
        </is>
      </c>
      <c r="B59" s="36" t="n">
        <v>24</v>
      </c>
      <c r="C59" s="36">
        <f>'_Data'!D337</f>
        <v/>
      </c>
      <c r="D59" s="36">
        <f>'_Data'!E337</f>
        <v/>
      </c>
      <c r="E59" s="36">
        <f>'_Data'!F337</f>
        <v/>
      </c>
      <c r="F59" s="37">
        <f>'_Data'!G337</f>
        <v/>
      </c>
      <c r="G59" s="37">
        <f>'_Data'!H337</f>
        <v/>
      </c>
      <c r="H59" s="37">
        <f>'_Data'!I337</f>
        <v/>
      </c>
      <c r="I59" s="40">
        <f>'_Data'!J337</f>
        <v/>
      </c>
      <c r="J59" s="39">
        <f>IF(AND(C59&gt;0,F59&gt;0),ABS(F59-C59)/C59,"")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'_Data'!K337</f>
        <v/>
      </c>
      <c r="N59" s="36">
        <f>'_Data'!L337</f>
        <v/>
      </c>
    </row>
    <row r="60">
      <c r="A60" s="36" t="inlineStr">
        <is>
          <t>2026 W25</t>
        </is>
      </c>
      <c r="B60" s="36" t="n">
        <v>25</v>
      </c>
      <c r="C60" s="36">
        <f>'_Data'!D338</f>
        <v/>
      </c>
      <c r="D60" s="36">
        <f>'_Data'!E338</f>
        <v/>
      </c>
      <c r="E60" s="36">
        <f>'_Data'!F338</f>
        <v/>
      </c>
      <c r="F60" s="37">
        <f>'_Data'!G338</f>
        <v/>
      </c>
      <c r="G60" s="37">
        <f>'_Data'!H338</f>
        <v/>
      </c>
      <c r="H60" s="37">
        <f>'_Data'!I338</f>
        <v/>
      </c>
      <c r="I60" s="40">
        <f>'_Data'!J338</f>
        <v/>
      </c>
      <c r="J60" s="39">
        <f>IF(AND(C60&gt;0,F60&gt;0),ABS(F60-C60)/C60,"")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'_Data'!K338</f>
        <v/>
      </c>
      <c r="N60" s="36">
        <f>'_Data'!L338</f>
        <v/>
      </c>
    </row>
    <row r="61">
      <c r="A61" s="36" t="inlineStr">
        <is>
          <t>2026 W26</t>
        </is>
      </c>
      <c r="B61" s="36" t="n">
        <v>26</v>
      </c>
      <c r="C61" s="36">
        <f>'_Data'!D339</f>
        <v/>
      </c>
      <c r="D61" s="36">
        <f>'_Data'!E339</f>
        <v/>
      </c>
      <c r="E61" s="36">
        <f>'_Data'!F339</f>
        <v/>
      </c>
      <c r="F61" s="37">
        <f>'_Data'!G339</f>
        <v/>
      </c>
      <c r="G61" s="37">
        <f>'_Data'!H339</f>
        <v/>
      </c>
      <c r="H61" s="37">
        <f>'_Data'!I339</f>
        <v/>
      </c>
      <c r="I61" s="40">
        <f>'_Data'!J339</f>
        <v/>
      </c>
      <c r="J61" s="39">
        <f>IF(AND(C61&gt;0,F61&gt;0),ABS(F61-C61)/C61,"")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'_Data'!K339</f>
        <v/>
      </c>
      <c r="N61" s="36">
        <f>'_Data'!L339</f>
        <v/>
      </c>
    </row>
    <row r="62">
      <c r="A62" s="36" t="inlineStr">
        <is>
          <t>2026 W27</t>
        </is>
      </c>
      <c r="B62" s="36" t="n">
        <v>27</v>
      </c>
      <c r="C62" s="36">
        <f>'_Data'!D340</f>
        <v/>
      </c>
      <c r="D62" s="36">
        <f>'_Data'!E340</f>
        <v/>
      </c>
      <c r="E62" s="36">
        <f>'_Data'!F340</f>
        <v/>
      </c>
      <c r="F62" s="37">
        <f>'_Data'!G340</f>
        <v/>
      </c>
      <c r="G62" s="37">
        <f>'_Data'!H340</f>
        <v/>
      </c>
      <c r="H62" s="37">
        <f>'_Data'!I340</f>
        <v/>
      </c>
      <c r="I62" s="40">
        <f>'_Data'!J340</f>
        <v/>
      </c>
      <c r="J62" s="39">
        <f>IF(AND(C62&gt;0,F62&gt;0),ABS(F62-C62)/C62,"")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'_Data'!K340</f>
        <v/>
      </c>
      <c r="N62" s="36">
        <f>'_Data'!L340</f>
        <v/>
      </c>
    </row>
    <row r="63">
      <c r="A63" s="36" t="inlineStr">
        <is>
          <t>2026 W28</t>
        </is>
      </c>
      <c r="B63" s="36" t="n">
        <v>28</v>
      </c>
      <c r="C63" s="36">
        <f>'_Data'!D341</f>
        <v/>
      </c>
      <c r="D63" s="36">
        <f>'_Data'!E341</f>
        <v/>
      </c>
      <c r="E63" s="36">
        <f>'_Data'!F341</f>
        <v/>
      </c>
      <c r="F63" s="37">
        <f>'_Data'!G341</f>
        <v/>
      </c>
      <c r="G63" s="37">
        <f>'_Data'!H341</f>
        <v/>
      </c>
      <c r="H63" s="37">
        <f>'_Data'!I341</f>
        <v/>
      </c>
      <c r="I63" s="40">
        <f>'_Data'!J341</f>
        <v/>
      </c>
      <c r="J63" s="39">
        <f>IF(AND(C63&gt;0,F63&gt;0),ABS(F63-C63)/C63,"")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'_Data'!K341</f>
        <v/>
      </c>
      <c r="N63" s="36">
        <f>'_Data'!L341</f>
        <v/>
      </c>
    </row>
    <row r="64">
      <c r="A64" s="36" t="inlineStr">
        <is>
          <t>2026 W29</t>
        </is>
      </c>
      <c r="B64" s="36" t="n">
        <v>29</v>
      </c>
      <c r="C64" s="36">
        <f>'_Data'!D342</f>
        <v/>
      </c>
      <c r="D64" s="36">
        <f>'_Data'!E342</f>
        <v/>
      </c>
      <c r="E64" s="36">
        <f>'_Data'!F342</f>
        <v/>
      </c>
      <c r="F64" s="37">
        <f>'_Data'!G342</f>
        <v/>
      </c>
      <c r="G64" s="37">
        <f>'_Data'!H342</f>
        <v/>
      </c>
      <c r="H64" s="37">
        <f>'_Data'!I342</f>
        <v/>
      </c>
      <c r="I64" s="40">
        <f>'_Data'!J342</f>
        <v/>
      </c>
      <c r="J64" s="39">
        <f>IF(AND(C64&gt;0,F64&gt;0),ABS(F64-C64)/C64,"")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'_Data'!K342</f>
        <v/>
      </c>
      <c r="N64" s="36">
        <f>'_Data'!L342</f>
        <v/>
      </c>
    </row>
    <row r="65">
      <c r="A65" s="36" t="inlineStr">
        <is>
          <t>2026 W30</t>
        </is>
      </c>
      <c r="B65" s="36" t="n">
        <v>30</v>
      </c>
      <c r="C65" s="36">
        <f>'_Data'!D343</f>
        <v/>
      </c>
      <c r="D65" s="36">
        <f>'_Data'!E343</f>
        <v/>
      </c>
      <c r="E65" s="36">
        <f>'_Data'!F343</f>
        <v/>
      </c>
      <c r="F65" s="37">
        <f>'_Data'!G343</f>
        <v/>
      </c>
      <c r="G65" s="37">
        <f>'_Data'!H343</f>
        <v/>
      </c>
      <c r="H65" s="37">
        <f>'_Data'!I343</f>
        <v/>
      </c>
      <c r="I65" s="40">
        <f>'_Data'!J343</f>
        <v/>
      </c>
      <c r="J65" s="39">
        <f>IF(AND(C65&gt;0,F65&gt;0),ABS(F65-C65)/C65,"")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'_Data'!K343</f>
        <v/>
      </c>
      <c r="N65" s="36">
        <f>'_Data'!L343</f>
        <v/>
      </c>
    </row>
    <row r="66">
      <c r="A66" s="36" t="inlineStr">
        <is>
          <t>2026 W31</t>
        </is>
      </c>
      <c r="B66" s="36" t="n">
        <v>31</v>
      </c>
      <c r="C66" s="36">
        <f>'_Data'!D344</f>
        <v/>
      </c>
      <c r="D66" s="36">
        <f>'_Data'!E344</f>
        <v/>
      </c>
      <c r="E66" s="36">
        <f>'_Data'!F344</f>
        <v/>
      </c>
      <c r="F66" s="37">
        <f>'_Data'!G344</f>
        <v/>
      </c>
      <c r="G66" s="37">
        <f>'_Data'!H344</f>
        <v/>
      </c>
      <c r="H66" s="37">
        <f>'_Data'!I344</f>
        <v/>
      </c>
      <c r="I66" s="40">
        <f>'_Data'!J344</f>
        <v/>
      </c>
      <c r="J66" s="39">
        <f>IF(AND(C66&gt;0,F66&gt;0),ABS(F66-C66)/C66,"")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'_Data'!K344</f>
        <v/>
      </c>
      <c r="N66" s="36">
        <f>'_Data'!L344</f>
        <v/>
      </c>
    </row>
    <row r="67">
      <c r="A67" s="36" t="inlineStr">
        <is>
          <t>2026 W32</t>
        </is>
      </c>
      <c r="B67" s="36" t="n">
        <v>32</v>
      </c>
      <c r="C67" s="36">
        <f>'_Data'!D345</f>
        <v/>
      </c>
      <c r="D67" s="36">
        <f>'_Data'!E345</f>
        <v/>
      </c>
      <c r="E67" s="36">
        <f>'_Data'!F345</f>
        <v/>
      </c>
      <c r="F67" s="37">
        <f>'_Data'!G345</f>
        <v/>
      </c>
      <c r="G67" s="37">
        <f>'_Data'!H345</f>
        <v/>
      </c>
      <c r="H67" s="37">
        <f>'_Data'!I345</f>
        <v/>
      </c>
      <c r="I67" s="40">
        <f>'_Data'!J345</f>
        <v/>
      </c>
      <c r="J67" s="39">
        <f>IF(AND(C67&gt;0,F67&gt;0),ABS(F67-C67)/C67,"")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'_Data'!K345</f>
        <v/>
      </c>
      <c r="N67" s="36">
        <f>'_Data'!L345</f>
        <v/>
      </c>
    </row>
    <row r="68">
      <c r="A68" s="36" t="inlineStr">
        <is>
          <t>2026 W33</t>
        </is>
      </c>
      <c r="B68" s="36" t="n">
        <v>33</v>
      </c>
      <c r="C68" s="36">
        <f>'_Data'!D346</f>
        <v/>
      </c>
      <c r="D68" s="36">
        <f>'_Data'!E346</f>
        <v/>
      </c>
      <c r="E68" s="36">
        <f>'_Data'!F346</f>
        <v/>
      </c>
      <c r="F68" s="37">
        <f>'_Data'!G346</f>
        <v/>
      </c>
      <c r="G68" s="37">
        <f>'_Data'!H346</f>
        <v/>
      </c>
      <c r="H68" s="37">
        <f>'_Data'!I346</f>
        <v/>
      </c>
      <c r="I68" s="40">
        <f>'_Data'!J346</f>
        <v/>
      </c>
      <c r="J68" s="39">
        <f>IF(AND(C68&gt;0,F68&gt;0),ABS(F68-C68)/C68,"")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'_Data'!K346</f>
        <v/>
      </c>
      <c r="N68" s="36">
        <f>'_Data'!L346</f>
        <v/>
      </c>
    </row>
    <row r="69">
      <c r="A69" s="36" t="inlineStr">
        <is>
          <t>2026 W34</t>
        </is>
      </c>
      <c r="B69" s="36" t="n">
        <v>34</v>
      </c>
      <c r="C69" s="36">
        <f>'_Data'!D347</f>
        <v/>
      </c>
      <c r="D69" s="36">
        <f>'_Data'!E347</f>
        <v/>
      </c>
      <c r="E69" s="36">
        <f>'_Data'!F347</f>
        <v/>
      </c>
      <c r="F69" s="37">
        <f>'_Data'!G347</f>
        <v/>
      </c>
      <c r="G69" s="37">
        <f>'_Data'!H347</f>
        <v/>
      </c>
      <c r="H69" s="37">
        <f>'_Data'!I347</f>
        <v/>
      </c>
      <c r="I69" s="40">
        <f>'_Data'!J347</f>
        <v/>
      </c>
      <c r="J69" s="39">
        <f>IF(AND(C69&gt;0,F69&gt;0),ABS(F69-C69)/C69,"")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'_Data'!K347</f>
        <v/>
      </c>
      <c r="N69" s="36">
        <f>'_Data'!L347</f>
        <v/>
      </c>
    </row>
    <row r="70">
      <c r="A70" s="36" t="inlineStr">
        <is>
          <t>2026 W35</t>
        </is>
      </c>
      <c r="B70" s="36" t="n">
        <v>35</v>
      </c>
      <c r="C70" s="36">
        <f>'_Data'!D348</f>
        <v/>
      </c>
      <c r="D70" s="36">
        <f>'_Data'!E348</f>
        <v/>
      </c>
      <c r="E70" s="36">
        <f>'_Data'!F348</f>
        <v/>
      </c>
      <c r="F70" s="37">
        <f>'_Data'!G348</f>
        <v/>
      </c>
      <c r="G70" s="37">
        <f>'_Data'!H348</f>
        <v/>
      </c>
      <c r="H70" s="37">
        <f>'_Data'!I348</f>
        <v/>
      </c>
      <c r="I70" s="40">
        <f>'_Data'!J348</f>
        <v/>
      </c>
      <c r="J70" s="39">
        <f>IF(AND(C70&gt;0,F70&gt;0),ABS(F70-C70)/C70,"")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'_Data'!K348</f>
        <v/>
      </c>
      <c r="N70" s="36">
        <f>'_Data'!L348</f>
        <v/>
      </c>
    </row>
    <row r="71">
      <c r="A71" s="36" t="inlineStr">
        <is>
          <t>2026 W36</t>
        </is>
      </c>
      <c r="B71" s="36" t="n">
        <v>36</v>
      </c>
      <c r="C71" s="36">
        <f>'_Data'!D349</f>
        <v/>
      </c>
      <c r="D71" s="36">
        <f>'_Data'!E349</f>
        <v/>
      </c>
      <c r="E71" s="36">
        <f>'_Data'!F349</f>
        <v/>
      </c>
      <c r="F71" s="37">
        <f>'_Data'!G349</f>
        <v/>
      </c>
      <c r="G71" s="37">
        <f>'_Data'!H349</f>
        <v/>
      </c>
      <c r="H71" s="37">
        <f>'_Data'!I349</f>
        <v/>
      </c>
      <c r="I71" s="40">
        <f>'_Data'!J349</f>
        <v/>
      </c>
      <c r="J71" s="39">
        <f>IF(AND(C71&gt;0,F71&gt;0),ABS(F71-C71)/C71,"")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'_Data'!K349</f>
        <v/>
      </c>
      <c r="N71" s="36">
        <f>'_Data'!L349</f>
        <v/>
      </c>
    </row>
    <row r="72">
      <c r="A72" s="36" t="inlineStr">
        <is>
          <t>2026 W37</t>
        </is>
      </c>
      <c r="B72" s="36" t="n">
        <v>37</v>
      </c>
      <c r="C72" s="36">
        <f>'_Data'!D350</f>
        <v/>
      </c>
      <c r="D72" s="36">
        <f>'_Data'!E350</f>
        <v/>
      </c>
      <c r="E72" s="36">
        <f>'_Data'!F350</f>
        <v/>
      </c>
      <c r="F72" s="37">
        <f>'_Data'!G350</f>
        <v/>
      </c>
      <c r="G72" s="37">
        <f>'_Data'!H350</f>
        <v/>
      </c>
      <c r="H72" s="37">
        <f>'_Data'!I350</f>
        <v/>
      </c>
      <c r="I72" s="40">
        <f>'_Data'!J350</f>
        <v/>
      </c>
      <c r="J72" s="39">
        <f>IF(AND(C72&gt;0,F72&gt;0),ABS(F72-C72)/C72,"")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'_Data'!K350</f>
        <v/>
      </c>
      <c r="N72" s="36">
        <f>'_Data'!L350</f>
        <v/>
      </c>
    </row>
    <row r="73">
      <c r="A73" s="36" t="inlineStr">
        <is>
          <t>2026 W38</t>
        </is>
      </c>
      <c r="B73" s="36" t="n">
        <v>38</v>
      </c>
      <c r="C73" s="36">
        <f>'_Data'!D351</f>
        <v/>
      </c>
      <c r="D73" s="36">
        <f>'_Data'!E351</f>
        <v/>
      </c>
      <c r="E73" s="36">
        <f>'_Data'!F351</f>
        <v/>
      </c>
      <c r="F73" s="37">
        <f>'_Data'!G351</f>
        <v/>
      </c>
      <c r="G73" s="37">
        <f>'_Data'!H351</f>
        <v/>
      </c>
      <c r="H73" s="37">
        <f>'_Data'!I351</f>
        <v/>
      </c>
      <c r="I73" s="40">
        <f>'_Data'!J351</f>
        <v/>
      </c>
      <c r="J73" s="39">
        <f>IF(AND(C73&gt;0,F73&gt;0),ABS(F73-C73)/C73,"")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'_Data'!K351</f>
        <v/>
      </c>
      <c r="N73" s="36">
        <f>'_Data'!L351</f>
        <v/>
      </c>
    </row>
    <row r="74">
      <c r="A74" s="36" t="inlineStr">
        <is>
          <t>2026 W39</t>
        </is>
      </c>
      <c r="B74" s="36" t="n">
        <v>39</v>
      </c>
      <c r="C74" s="36">
        <f>'_Data'!D352</f>
        <v/>
      </c>
      <c r="D74" s="36">
        <f>'_Data'!E352</f>
        <v/>
      </c>
      <c r="E74" s="36">
        <f>'_Data'!F352</f>
        <v/>
      </c>
      <c r="F74" s="37">
        <f>'_Data'!G352</f>
        <v/>
      </c>
      <c r="G74" s="37">
        <f>'_Data'!H352</f>
        <v/>
      </c>
      <c r="H74" s="37">
        <f>'_Data'!I352</f>
        <v/>
      </c>
      <c r="I74" s="40">
        <f>'_Data'!J352</f>
        <v/>
      </c>
      <c r="J74" s="39">
        <f>IF(AND(C74&gt;0,F74&gt;0),ABS(F74-C74)/C74,"")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'_Data'!K352</f>
        <v/>
      </c>
      <c r="N74" s="36">
        <f>'_Data'!L352</f>
        <v/>
      </c>
    </row>
    <row r="75">
      <c r="A75" s="36" t="inlineStr">
        <is>
          <t>2026 W40</t>
        </is>
      </c>
      <c r="B75" s="36" t="n">
        <v>40</v>
      </c>
      <c r="C75" s="36">
        <f>'_Data'!D353</f>
        <v/>
      </c>
      <c r="D75" s="36">
        <f>'_Data'!E353</f>
        <v/>
      </c>
      <c r="E75" s="36">
        <f>'_Data'!F353</f>
        <v/>
      </c>
      <c r="F75" s="37">
        <f>'_Data'!G353</f>
        <v/>
      </c>
      <c r="G75" s="37">
        <f>'_Data'!H353</f>
        <v/>
      </c>
      <c r="H75" s="37">
        <f>'_Data'!I353</f>
        <v/>
      </c>
      <c r="I75" s="40">
        <f>'_Data'!J353</f>
        <v/>
      </c>
      <c r="J75" s="39">
        <f>IF(AND(C75&gt;0,F75&gt;0),ABS(F75-C75)/C75,"")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'_Data'!K353</f>
        <v/>
      </c>
      <c r="N75" s="36">
        <f>'_Data'!L353</f>
        <v/>
      </c>
    </row>
    <row r="76">
      <c r="A76" s="36" t="inlineStr">
        <is>
          <t>2026 W41</t>
        </is>
      </c>
      <c r="B76" s="36" t="n">
        <v>41</v>
      </c>
      <c r="C76" s="36">
        <f>'_Data'!D354</f>
        <v/>
      </c>
      <c r="D76" s="36">
        <f>'_Data'!E354</f>
        <v/>
      </c>
      <c r="E76" s="36">
        <f>'_Data'!F354</f>
        <v/>
      </c>
      <c r="F76" s="37">
        <f>'_Data'!G354</f>
        <v/>
      </c>
      <c r="G76" s="37">
        <f>'_Data'!H354</f>
        <v/>
      </c>
      <c r="H76" s="37">
        <f>'_Data'!I354</f>
        <v/>
      </c>
      <c r="I76" s="40">
        <f>'_Data'!J354</f>
        <v/>
      </c>
      <c r="J76" s="39">
        <f>IF(AND(C76&gt;0,F76&gt;0),ABS(F76-C76)/C76,"")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'_Data'!K354</f>
        <v/>
      </c>
      <c r="N76" s="36">
        <f>'_Data'!L354</f>
        <v/>
      </c>
    </row>
    <row r="77">
      <c r="A77" s="36" t="inlineStr">
        <is>
          <t>2026 W42</t>
        </is>
      </c>
      <c r="B77" s="36" t="n">
        <v>42</v>
      </c>
      <c r="C77" s="36">
        <f>'_Data'!D355</f>
        <v/>
      </c>
      <c r="D77" s="36">
        <f>'_Data'!E355</f>
        <v/>
      </c>
      <c r="E77" s="36">
        <f>'_Data'!F355</f>
        <v/>
      </c>
      <c r="F77" s="37">
        <f>'_Data'!G355</f>
        <v/>
      </c>
      <c r="G77" s="37">
        <f>'_Data'!H355</f>
        <v/>
      </c>
      <c r="H77" s="37">
        <f>'_Data'!I355</f>
        <v/>
      </c>
      <c r="I77" s="40">
        <f>'_Data'!J355</f>
        <v/>
      </c>
      <c r="J77" s="39">
        <f>IF(AND(C77&gt;0,F77&gt;0),ABS(F77-C77)/C77,"")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'_Data'!K355</f>
        <v/>
      </c>
      <c r="N77" s="36">
        <f>'_Data'!L355</f>
        <v/>
      </c>
    </row>
    <row r="78">
      <c r="A78" s="36" t="inlineStr">
        <is>
          <t>2026 W43</t>
        </is>
      </c>
      <c r="B78" s="36" t="n">
        <v>43</v>
      </c>
      <c r="C78" s="36">
        <f>'_Data'!D356</f>
        <v/>
      </c>
      <c r="D78" s="36">
        <f>'_Data'!E356</f>
        <v/>
      </c>
      <c r="E78" s="36">
        <f>'_Data'!F356</f>
        <v/>
      </c>
      <c r="F78" s="37">
        <f>'_Data'!G356</f>
        <v/>
      </c>
      <c r="G78" s="37">
        <f>'_Data'!H356</f>
        <v/>
      </c>
      <c r="H78" s="37">
        <f>'_Data'!I356</f>
        <v/>
      </c>
      <c r="I78" s="40">
        <f>'_Data'!J356</f>
        <v/>
      </c>
      <c r="J78" s="39">
        <f>IF(AND(C78&gt;0,F78&gt;0),ABS(F78-C78)/C78,"")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'_Data'!K356</f>
        <v/>
      </c>
      <c r="N78" s="36">
        <f>'_Data'!L356</f>
        <v/>
      </c>
    </row>
    <row r="79">
      <c r="A79" s="36" t="inlineStr">
        <is>
          <t>2026 W44</t>
        </is>
      </c>
      <c r="B79" s="36" t="n">
        <v>44</v>
      </c>
      <c r="C79" s="36">
        <f>'_Data'!D357</f>
        <v/>
      </c>
      <c r="D79" s="36">
        <f>'_Data'!E357</f>
        <v/>
      </c>
      <c r="E79" s="36">
        <f>'_Data'!F357</f>
        <v/>
      </c>
      <c r="F79" s="37">
        <f>'_Data'!G357</f>
        <v/>
      </c>
      <c r="G79" s="37">
        <f>'_Data'!H357</f>
        <v/>
      </c>
      <c r="H79" s="37">
        <f>'_Data'!I357</f>
        <v/>
      </c>
      <c r="I79" s="40">
        <f>'_Data'!J357</f>
        <v/>
      </c>
      <c r="J79" s="39">
        <f>IF(AND(C79&gt;0,F79&gt;0),ABS(F79-C79)/C79,"")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'_Data'!K357</f>
        <v/>
      </c>
      <c r="N79" s="36">
        <f>'_Data'!L357</f>
        <v/>
      </c>
    </row>
    <row r="80">
      <c r="A80" s="36" t="inlineStr">
        <is>
          <t>2026 W45</t>
        </is>
      </c>
      <c r="B80" s="36" t="n">
        <v>45</v>
      </c>
      <c r="C80" s="36">
        <f>'_Data'!D358</f>
        <v/>
      </c>
      <c r="D80" s="36">
        <f>'_Data'!E358</f>
        <v/>
      </c>
      <c r="E80" s="36">
        <f>'_Data'!F358</f>
        <v/>
      </c>
      <c r="F80" s="37">
        <f>'_Data'!G358</f>
        <v/>
      </c>
      <c r="G80" s="37">
        <f>'_Data'!H358</f>
        <v/>
      </c>
      <c r="H80" s="37">
        <f>'_Data'!I358</f>
        <v/>
      </c>
      <c r="I80" s="40">
        <f>'_Data'!J358</f>
        <v/>
      </c>
      <c r="J80" s="39">
        <f>IF(AND(C80&gt;0,F80&gt;0),ABS(F80-C80)/C80,"")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'_Data'!K358</f>
        <v/>
      </c>
      <c r="N80" s="36">
        <f>'_Data'!L358</f>
        <v/>
      </c>
    </row>
    <row r="81">
      <c r="A81" s="36" t="inlineStr">
        <is>
          <t>2026 W46</t>
        </is>
      </c>
      <c r="B81" s="36" t="n">
        <v>46</v>
      </c>
      <c r="C81" s="36">
        <f>'_Data'!D359</f>
        <v/>
      </c>
      <c r="D81" s="36">
        <f>'_Data'!E359</f>
        <v/>
      </c>
      <c r="E81" s="36">
        <f>'_Data'!F359</f>
        <v/>
      </c>
      <c r="F81" s="37">
        <f>'_Data'!G359</f>
        <v/>
      </c>
      <c r="G81" s="37">
        <f>'_Data'!H359</f>
        <v/>
      </c>
      <c r="H81" s="37">
        <f>'_Data'!I359</f>
        <v/>
      </c>
      <c r="I81" s="40">
        <f>'_Data'!J359</f>
        <v/>
      </c>
      <c r="J81" s="39">
        <f>IF(AND(C81&gt;0,F81&gt;0),ABS(F81-C81)/C81,"")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'_Data'!K359</f>
        <v/>
      </c>
      <c r="N81" s="36">
        <f>'_Data'!L359</f>
        <v/>
      </c>
    </row>
    <row r="82">
      <c r="A82" s="36" t="inlineStr">
        <is>
          <t>2026 W47</t>
        </is>
      </c>
      <c r="B82" s="36" t="n">
        <v>47</v>
      </c>
      <c r="C82" s="36">
        <f>'_Data'!D360</f>
        <v/>
      </c>
      <c r="D82" s="36">
        <f>'_Data'!E360</f>
        <v/>
      </c>
      <c r="E82" s="36">
        <f>'_Data'!F360</f>
        <v/>
      </c>
      <c r="F82" s="37">
        <f>'_Data'!G360</f>
        <v/>
      </c>
      <c r="G82" s="37">
        <f>'_Data'!H360</f>
        <v/>
      </c>
      <c r="H82" s="37">
        <f>'_Data'!I360</f>
        <v/>
      </c>
      <c r="I82" s="40">
        <f>'_Data'!J360</f>
        <v/>
      </c>
      <c r="J82" s="39">
        <f>IF(AND(C82&gt;0,F82&gt;0),ABS(F82-C82)/C82,"")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'_Data'!K360</f>
        <v/>
      </c>
      <c r="N82" s="36">
        <f>'_Data'!L360</f>
        <v/>
      </c>
    </row>
    <row r="83">
      <c r="A83" s="36" t="inlineStr">
        <is>
          <t>2026 W48</t>
        </is>
      </c>
      <c r="B83" s="36" t="n">
        <v>48</v>
      </c>
      <c r="C83" s="36">
        <f>'_Data'!D361</f>
        <v/>
      </c>
      <c r="D83" s="36">
        <f>'_Data'!E361</f>
        <v/>
      </c>
      <c r="E83" s="36">
        <f>'_Data'!F361</f>
        <v/>
      </c>
      <c r="F83" s="37">
        <f>'_Data'!G361</f>
        <v/>
      </c>
      <c r="G83" s="37">
        <f>'_Data'!H361</f>
        <v/>
      </c>
      <c r="H83" s="37">
        <f>'_Data'!I361</f>
        <v/>
      </c>
      <c r="I83" s="40">
        <f>'_Data'!J361</f>
        <v/>
      </c>
      <c r="J83" s="39">
        <f>IF(AND(C83&gt;0,F83&gt;0),ABS(F83-C83)/C83,"")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'_Data'!K361</f>
        <v/>
      </c>
      <c r="N83" s="36">
        <f>'_Data'!L361</f>
        <v/>
      </c>
    </row>
    <row r="84">
      <c r="A84" s="36" t="inlineStr">
        <is>
          <t>2026 W49</t>
        </is>
      </c>
      <c r="B84" s="36" t="n">
        <v>49</v>
      </c>
      <c r="C84" s="36">
        <f>'_Data'!D362</f>
        <v/>
      </c>
      <c r="D84" s="36">
        <f>'_Data'!E362</f>
        <v/>
      </c>
      <c r="E84" s="36">
        <f>'_Data'!F362</f>
        <v/>
      </c>
      <c r="F84" s="37">
        <f>'_Data'!G362</f>
        <v/>
      </c>
      <c r="G84" s="37">
        <f>'_Data'!H362</f>
        <v/>
      </c>
      <c r="H84" s="37">
        <f>'_Data'!I362</f>
        <v/>
      </c>
      <c r="I84" s="40">
        <f>'_Data'!J362</f>
        <v/>
      </c>
      <c r="J84" s="39">
        <f>IF(AND(C84&gt;0,F84&gt;0),ABS(F84-C84)/C84,"")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'_Data'!K362</f>
        <v/>
      </c>
      <c r="N84" s="36">
        <f>'_Data'!L362</f>
        <v/>
      </c>
    </row>
    <row r="85">
      <c r="A85" s="36" t="inlineStr">
        <is>
          <t>2026 W50</t>
        </is>
      </c>
      <c r="B85" s="36" t="n">
        <v>50</v>
      </c>
      <c r="C85" s="36">
        <f>'_Data'!D363</f>
        <v/>
      </c>
      <c r="D85" s="36">
        <f>'_Data'!E363</f>
        <v/>
      </c>
      <c r="E85" s="36">
        <f>'_Data'!F363</f>
        <v/>
      </c>
      <c r="F85" s="37">
        <f>'_Data'!G363</f>
        <v/>
      </c>
      <c r="G85" s="37">
        <f>'_Data'!H363</f>
        <v/>
      </c>
      <c r="H85" s="37">
        <f>'_Data'!I363</f>
        <v/>
      </c>
      <c r="I85" s="40">
        <f>'_Data'!J363</f>
        <v/>
      </c>
      <c r="J85" s="39">
        <f>IF(AND(C85&gt;0,F85&gt;0),ABS(F85-C85)/C85,"")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'_Data'!K363</f>
        <v/>
      </c>
      <c r="N85" s="36">
        <f>'_Data'!L363</f>
        <v/>
      </c>
    </row>
    <row r="86">
      <c r="A86" s="36" t="inlineStr">
        <is>
          <t>2026 W51</t>
        </is>
      </c>
      <c r="B86" s="36" t="n">
        <v>51</v>
      </c>
      <c r="C86" s="36">
        <f>'_Data'!D364</f>
        <v/>
      </c>
      <c r="D86" s="36">
        <f>'_Data'!E364</f>
        <v/>
      </c>
      <c r="E86" s="36">
        <f>'_Data'!F364</f>
        <v/>
      </c>
      <c r="F86" s="37">
        <f>'_Data'!G364</f>
        <v/>
      </c>
      <c r="G86" s="37">
        <f>'_Data'!H364</f>
        <v/>
      </c>
      <c r="H86" s="37">
        <f>'_Data'!I364</f>
        <v/>
      </c>
      <c r="I86" s="40">
        <f>'_Data'!J364</f>
        <v/>
      </c>
      <c r="J86" s="39">
        <f>IF(AND(C86&gt;0,F86&gt;0),ABS(F86-C86)/C86,"")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'_Data'!K364</f>
        <v/>
      </c>
      <c r="N86" s="36">
        <f>'_Data'!L364</f>
        <v/>
      </c>
    </row>
    <row r="87">
      <c r="A87" s="36" t="inlineStr">
        <is>
          <t>2026 W52</t>
        </is>
      </c>
      <c r="B87" s="36" t="n">
        <v>52</v>
      </c>
      <c r="C87" s="36">
        <f>'_Data'!D365</f>
        <v/>
      </c>
      <c r="D87" s="36">
        <f>'_Data'!E365</f>
        <v/>
      </c>
      <c r="E87" s="36">
        <f>'_Data'!F365</f>
        <v/>
      </c>
      <c r="F87" s="37">
        <f>'_Data'!G365</f>
        <v/>
      </c>
      <c r="G87" s="37">
        <f>'_Data'!H365</f>
        <v/>
      </c>
      <c r="H87" s="37">
        <f>'_Data'!I365</f>
        <v/>
      </c>
      <c r="I87" s="40">
        <f>'_Data'!J365</f>
        <v/>
      </c>
      <c r="J87" s="39">
        <f>IF(AND(C87&gt;0,F87&gt;0),ABS(F87-C87)/C87,"")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'_Data'!K365</f>
        <v/>
      </c>
      <c r="N87" s="36">
        <f>'_Data'!L365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F1C40F"/>
      </dataBar>
    </cfRule>
  </conditionalFormatting>
  <conditionalFormatting sqref="J36:J87">
    <cfRule type="colorScale" priority="2">
      <colorScale>
        <cfvo type="num" val="0"/>
        <cfvo type="num" val="0.1"/>
        <cfvo type="num" val="0.3"/>
        <color rgb="FF27AE60"/>
        <color rgb="FFFFFFFF"/>
        <color rgb="FFE74C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9B59B6"/>
    <outlinePr summaryBelow="1" summaryRight="1"/>
    <pageSetUpPr/>
  </sheetPr>
  <dimension ref="A1:N87"/>
  <sheetViews>
    <sheetView showGridLines="0" topLeftCell="A24" workbookViewId="0">
      <selection activeCell="A29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8" t="inlineStr">
        <is>
          <t>JP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TEXT(SUM('_Data'!D366:D417),"#,##0")</f>
        <v/>
      </c>
      <c r="B4" s="74" t="n"/>
      <c r="C4" s="33">
        <f>TEXT(SUM('_Data'!E366:E417),"$#,##0")</f>
        <v/>
      </c>
      <c r="D4" s="74" t="n"/>
      <c r="E4" s="33">
        <f>TEXT(IF(SUM('_Data'!D366:D417)&gt;0,SUM('_Data'!E366:E417)/SUM('_Data'!D366:D417),0),"$#,##0.00")</f>
        <v/>
      </c>
      <c r="F4" s="74" t="n"/>
      <c r="G4" s="33">
        <f>IF(AND('_Data'!C699&gt;0,'_Data'!F699&gt;0),TEXT(('_Data'!C699-'_Data'!F699)/'_Data'!F699,"+0.0%;-0.0%"),"")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9" t="inlineStr">
        <is>
          <t>Period</t>
        </is>
      </c>
      <c r="B9" s="59" t="inlineStr">
        <is>
          <t>Actual Regs</t>
        </is>
      </c>
      <c r="C9" s="59" t="inlineStr">
        <is>
          <t>Pred Regs</t>
        </is>
      </c>
      <c r="D9" s="59" t="inlineStr">
        <is>
          <t>CI Low</t>
        </is>
      </c>
      <c r="E9" s="59" t="inlineStr">
        <is>
          <t>CI High</t>
        </is>
      </c>
      <c r="F9" s="59" t="inlineStr">
        <is>
          <t>OP2 Target</t>
        </is>
      </c>
      <c r="G9" s="59" t="inlineStr">
        <is>
          <t>vs OP2 %</t>
        </is>
      </c>
      <c r="H9" s="59" t="inlineStr">
        <is>
          <t>Error %</t>
        </is>
      </c>
      <c r="I9" s="59" t="inlineStr">
        <is>
          <t>Confidence</t>
        </is>
      </c>
      <c r="J9" s="59" t="inlineStr">
        <is>
          <t>Score</t>
        </is>
      </c>
      <c r="K9" s="59" t="inlineStr">
        <is>
          <t>Notes</t>
        </is>
      </c>
    </row>
    <row r="10">
      <c r="A10" s="36" t="inlineStr">
        <is>
          <t>2026 Full Year</t>
        </is>
      </c>
      <c r="B10" s="37">
        <f>'_Data'!B699</f>
        <v/>
      </c>
      <c r="C10" s="37">
        <f>'_Data'!C699</f>
        <v/>
      </c>
      <c r="D10" s="37">
        <f>'_Data'!D699</f>
        <v/>
      </c>
      <c r="E10" s="37">
        <f>'_Data'!E699</f>
        <v/>
      </c>
      <c r="F10" s="37">
        <f>'_Data'!F699</f>
        <v/>
      </c>
      <c r="G10" s="38">
        <f>IF(AND(B10&gt;0,F10&gt;0),(B10-F10)/F10,"")</f>
        <v/>
      </c>
      <c r="H10" s="39">
        <f>IF(AND(B10&gt;0,C10&gt;0),ABS(C10-B10)/B10,"")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9" t="inlineStr">
        <is>
          <t>Period</t>
        </is>
      </c>
      <c r="B13" s="59" t="inlineStr">
        <is>
          <t>Actual Regs</t>
        </is>
      </c>
      <c r="C13" s="59" t="inlineStr">
        <is>
          <t>Pred Regs</t>
        </is>
      </c>
      <c r="D13" s="59" t="inlineStr">
        <is>
          <t>CI Low</t>
        </is>
      </c>
      <c r="E13" s="59" t="inlineStr">
        <is>
          <t>CI High</t>
        </is>
      </c>
      <c r="F13" s="59" t="inlineStr">
        <is>
          <t>OP2 Target</t>
        </is>
      </c>
      <c r="G13" s="59" t="inlineStr">
        <is>
          <t>vs OP2 %</t>
        </is>
      </c>
      <c r="H13" s="59" t="inlineStr">
        <is>
          <t>Error %</t>
        </is>
      </c>
      <c r="I13" s="59" t="inlineStr">
        <is>
          <t>Confidence</t>
        </is>
      </c>
      <c r="J13" s="59" t="inlineStr">
        <is>
          <t>Score</t>
        </is>
      </c>
      <c r="K13" s="59" t="inlineStr">
        <is>
          <t>Notes</t>
        </is>
      </c>
    </row>
    <row r="14">
      <c r="A14" s="41" t="inlineStr">
        <is>
          <t>Q1</t>
        </is>
      </c>
      <c r="B14" s="42">
        <f>'_Data'!D676</f>
        <v/>
      </c>
      <c r="C14" s="42">
        <f>'_Data'!E676</f>
        <v/>
      </c>
      <c r="D14" s="42">
        <f>'_Data'!F676</f>
        <v/>
      </c>
      <c r="E14" s="42">
        <f>'_Data'!G676</f>
        <v/>
      </c>
      <c r="F14" s="42">
        <f>'_Data'!H676</f>
        <v/>
      </c>
      <c r="G14" s="43">
        <f>IF(AND(B14&gt;0,F14&gt;0),(B14-F14)/F14,"")</f>
        <v/>
      </c>
      <c r="H14" s="44">
        <f>IF(AND(B14&gt;0,C14&gt;0),ABS(C14-B14)/B14,"")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'_Data'!D677</f>
        <v/>
      </c>
      <c r="C15" s="37">
        <f>'_Data'!E677</f>
        <v/>
      </c>
      <c r="D15" s="37">
        <f>'_Data'!F677</f>
        <v/>
      </c>
      <c r="E15" s="37">
        <f>'_Data'!G677</f>
        <v/>
      </c>
      <c r="F15" s="37">
        <f>'_Data'!H677</f>
        <v/>
      </c>
      <c r="G15" s="38">
        <f>IF(AND(B15&gt;0,F15&gt;0),(B15-F15)/F15,"")</f>
        <v/>
      </c>
      <c r="H15" s="39">
        <f>IF(AND(B15&gt;0,C15&gt;0),ABS(C15-B15)/B15,"")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'_Data'!D678</f>
        <v/>
      </c>
      <c r="C16" s="37">
        <f>'_Data'!E678</f>
        <v/>
      </c>
      <c r="D16" s="37">
        <f>'_Data'!F678</f>
        <v/>
      </c>
      <c r="E16" s="37">
        <f>'_Data'!G678</f>
        <v/>
      </c>
      <c r="F16" s="37">
        <f>'_Data'!H678</f>
        <v/>
      </c>
      <c r="G16" s="38">
        <f>IF(AND(B16&gt;0,F16&gt;0),(B16-F16)/F16,"")</f>
        <v/>
      </c>
      <c r="H16" s="39">
        <f>IF(AND(B16&gt;0,C16&gt;0),ABS(C16-B16)/B16,"")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'_Data'!D679</f>
        <v/>
      </c>
      <c r="C17" s="37">
        <f>'_Data'!E679</f>
        <v/>
      </c>
      <c r="D17" s="37">
        <f>'_Data'!F679</f>
        <v/>
      </c>
      <c r="E17" s="37">
        <f>'_Data'!G679</f>
        <v/>
      </c>
      <c r="F17" s="37">
        <f>'_Data'!H679</f>
        <v/>
      </c>
      <c r="G17" s="38">
        <f>IF(AND(B17&gt;0,F17&gt;0),(B17-F17)/F17,"")</f>
        <v/>
      </c>
      <c r="H17" s="39">
        <f>IF(AND(B17&gt;0,C17&gt;0),ABS(C17-B17)/B17,"")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9" t="inlineStr">
        <is>
          <t>Period</t>
        </is>
      </c>
      <c r="B20" s="59" t="inlineStr">
        <is>
          <t>Actual Regs</t>
        </is>
      </c>
      <c r="C20" s="59" t="inlineStr">
        <is>
          <t>Pred Regs</t>
        </is>
      </c>
      <c r="D20" s="59" t="inlineStr">
        <is>
          <t>CI Low</t>
        </is>
      </c>
      <c r="E20" s="59" t="inlineStr">
        <is>
          <t>CI High</t>
        </is>
      </c>
      <c r="F20" s="59" t="inlineStr">
        <is>
          <t>OP2 Target</t>
        </is>
      </c>
      <c r="G20" s="59" t="inlineStr">
        <is>
          <t>vs OP2 %</t>
        </is>
      </c>
      <c r="H20" s="59" t="inlineStr">
        <is>
          <t>Error %</t>
        </is>
      </c>
      <c r="I20" s="59" t="inlineStr">
        <is>
          <t>Confidence</t>
        </is>
      </c>
      <c r="J20" s="59" t="inlineStr">
        <is>
          <t>Score</t>
        </is>
      </c>
      <c r="K20" s="59" t="inlineStr">
        <is>
          <t>Notes</t>
        </is>
      </c>
    </row>
    <row r="21">
      <c r="A21" s="41" t="inlineStr">
        <is>
          <t>Jan</t>
        </is>
      </c>
      <c r="B21" s="42">
        <f>'_Data'!D608</f>
        <v/>
      </c>
      <c r="C21" s="42">
        <f>'_Data'!E608</f>
        <v/>
      </c>
      <c r="D21" s="42">
        <f>'_Data'!F608</f>
        <v/>
      </c>
      <c r="E21" s="42">
        <f>'_Data'!G608</f>
        <v/>
      </c>
      <c r="F21" s="42">
        <f>'_Data'!H608</f>
        <v/>
      </c>
      <c r="G21" s="43">
        <f>IF(AND(B21&gt;0,F21&gt;0),(B21-F21)/F21,"")</f>
        <v/>
      </c>
      <c r="H21" s="44">
        <f>IF(AND(B21&gt;0,C21&gt;0),ABS(C21-B21)/B21,"")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'_Data'!D609</f>
        <v/>
      </c>
      <c r="C22" s="47">
        <f>'_Data'!E609</f>
        <v/>
      </c>
      <c r="D22" s="47">
        <f>'_Data'!F609</f>
        <v/>
      </c>
      <c r="E22" s="47">
        <f>'_Data'!G609</f>
        <v/>
      </c>
      <c r="F22" s="47">
        <f>'_Data'!H609</f>
        <v/>
      </c>
      <c r="G22" s="48">
        <f>IF(AND(B22&gt;0,F22&gt;0),(B22-F22)/F22,"")</f>
        <v/>
      </c>
      <c r="H22" s="49">
        <f>IF(AND(B22&gt;0,C22&gt;0),ABS(C22-B22)/B22,"")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'_Data'!D610</f>
        <v/>
      </c>
      <c r="C23" s="42">
        <f>'_Data'!E610</f>
        <v/>
      </c>
      <c r="D23" s="42">
        <f>'_Data'!F610</f>
        <v/>
      </c>
      <c r="E23" s="42">
        <f>'_Data'!G610</f>
        <v/>
      </c>
      <c r="F23" s="42">
        <f>'_Data'!H610</f>
        <v/>
      </c>
      <c r="G23" s="43">
        <f>IF(AND(B23&gt;0,F23&gt;0),(B23-F23)/F23,"")</f>
        <v/>
      </c>
      <c r="H23" s="44">
        <f>IF(AND(B23&gt;0,C23&gt;0),ABS(C23-B23)/B23,"")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'_Data'!D611</f>
        <v/>
      </c>
      <c r="C24" s="37">
        <f>'_Data'!E611</f>
        <v/>
      </c>
      <c r="D24" s="37">
        <f>'_Data'!F611</f>
        <v/>
      </c>
      <c r="E24" s="37">
        <f>'_Data'!G611</f>
        <v/>
      </c>
      <c r="F24" s="37">
        <f>'_Data'!H611</f>
        <v/>
      </c>
      <c r="G24" s="38">
        <f>IF(AND(B24&gt;0,F24&gt;0),(B24-F24)/F24,"")</f>
        <v/>
      </c>
      <c r="H24" s="39">
        <f>IF(AND(B24&gt;0,C24&gt;0),ABS(C24-B24)/B24,"")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'_Data'!D612</f>
        <v/>
      </c>
      <c r="C25" s="37">
        <f>'_Data'!E612</f>
        <v/>
      </c>
      <c r="D25" s="37">
        <f>'_Data'!F612</f>
        <v/>
      </c>
      <c r="E25" s="37">
        <f>'_Data'!G612</f>
        <v/>
      </c>
      <c r="F25" s="37">
        <f>'_Data'!H612</f>
        <v/>
      </c>
      <c r="G25" s="38">
        <f>IF(AND(B25&gt;0,F25&gt;0),(B25-F25)/F25,"")</f>
        <v/>
      </c>
      <c r="H25" s="39">
        <f>IF(AND(B25&gt;0,C25&gt;0),ABS(C25-B25)/B25,"")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'_Data'!D613</f>
        <v/>
      </c>
      <c r="C26" s="37">
        <f>'_Data'!E613</f>
        <v/>
      </c>
      <c r="D26" s="37">
        <f>'_Data'!F613</f>
        <v/>
      </c>
      <c r="E26" s="37">
        <f>'_Data'!G613</f>
        <v/>
      </c>
      <c r="F26" s="37">
        <f>'_Data'!H613</f>
        <v/>
      </c>
      <c r="G26" s="38">
        <f>IF(AND(B26&gt;0,F26&gt;0),(B26-F26)/F26,"")</f>
        <v/>
      </c>
      <c r="H26" s="39">
        <f>IF(AND(B26&gt;0,C26&gt;0),ABS(C26-B26)/B26,"")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'_Data'!D614</f>
        <v/>
      </c>
      <c r="C27" s="37">
        <f>'_Data'!E614</f>
        <v/>
      </c>
      <c r="D27" s="37">
        <f>'_Data'!F614</f>
        <v/>
      </c>
      <c r="E27" s="37">
        <f>'_Data'!G614</f>
        <v/>
      </c>
      <c r="F27" s="37">
        <f>'_Data'!H614</f>
        <v/>
      </c>
      <c r="G27" s="38">
        <f>IF(AND(B27&gt;0,F27&gt;0),(B27-F27)/F27,"")</f>
        <v/>
      </c>
      <c r="H27" s="39">
        <f>IF(AND(B27&gt;0,C27&gt;0),ABS(C27-B27)/B27,"")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'_Data'!D615</f>
        <v/>
      </c>
      <c r="C28" s="37">
        <f>'_Data'!E615</f>
        <v/>
      </c>
      <c r="D28" s="37">
        <f>'_Data'!F615</f>
        <v/>
      </c>
      <c r="E28" s="37">
        <f>'_Data'!G615</f>
        <v/>
      </c>
      <c r="F28" s="37">
        <f>'_Data'!H615</f>
        <v/>
      </c>
      <c r="G28" s="38">
        <f>IF(AND(B28&gt;0,F28&gt;0),(B28-F28)/F28,"")</f>
        <v/>
      </c>
      <c r="H28" s="39">
        <f>IF(AND(B28&gt;0,C28&gt;0),ABS(C28-B28)/B28,"")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'_Data'!D616</f>
        <v/>
      </c>
      <c r="C29" s="37">
        <f>'_Data'!E616</f>
        <v/>
      </c>
      <c r="D29" s="37">
        <f>'_Data'!F616</f>
        <v/>
      </c>
      <c r="E29" s="37">
        <f>'_Data'!G616</f>
        <v/>
      </c>
      <c r="F29" s="37">
        <f>'_Data'!H616</f>
        <v/>
      </c>
      <c r="G29" s="38">
        <f>IF(AND(B29&gt;0,F29&gt;0),(B29-F29)/F29,"")</f>
        <v/>
      </c>
      <c r="H29" s="39">
        <f>IF(AND(B29&gt;0,C29&gt;0),ABS(C29-B29)/B29,"")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'_Data'!D617</f>
        <v/>
      </c>
      <c r="C30" s="37">
        <f>'_Data'!E617</f>
        <v/>
      </c>
      <c r="D30" s="37">
        <f>'_Data'!F617</f>
        <v/>
      </c>
      <c r="E30" s="37">
        <f>'_Data'!G617</f>
        <v/>
      </c>
      <c r="F30" s="37">
        <f>'_Data'!H617</f>
        <v/>
      </c>
      <c r="G30" s="38">
        <f>IF(AND(B30&gt;0,F30&gt;0),(B30-F30)/F30,"")</f>
        <v/>
      </c>
      <c r="H30" s="39">
        <f>IF(AND(B30&gt;0,C30&gt;0),ABS(C30-B30)/B30,"")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'_Data'!D618</f>
        <v/>
      </c>
      <c r="C31" s="37">
        <f>'_Data'!E618</f>
        <v/>
      </c>
      <c r="D31" s="37">
        <f>'_Data'!F618</f>
        <v/>
      </c>
      <c r="E31" s="37">
        <f>'_Data'!G618</f>
        <v/>
      </c>
      <c r="F31" s="37">
        <f>'_Data'!H618</f>
        <v/>
      </c>
      <c r="G31" s="38">
        <f>IF(AND(B31&gt;0,F31&gt;0),(B31-F31)/F31,"")</f>
        <v/>
      </c>
      <c r="H31" s="39">
        <f>IF(AND(B31&gt;0,C31&gt;0),ABS(C31-B31)/B31,"")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'_Data'!D619</f>
        <v/>
      </c>
      <c r="C32" s="37">
        <f>'_Data'!E619</f>
        <v/>
      </c>
      <c r="D32" s="37">
        <f>'_Data'!F619</f>
        <v/>
      </c>
      <c r="E32" s="37">
        <f>'_Data'!G619</f>
        <v/>
      </c>
      <c r="F32" s="37">
        <f>'_Data'!H619</f>
        <v/>
      </c>
      <c r="G32" s="38">
        <f>IF(AND(B32&gt;0,F32&gt;0),(B32-F32)/F32,"")</f>
        <v/>
      </c>
      <c r="H32" s="39">
        <f>IF(AND(B32&gt;0,C32&gt;0),ABS(C32-B32)/B32,"")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9" t="inlineStr">
        <is>
          <t>Week</t>
        </is>
      </c>
      <c r="B35" s="59" t="inlineStr">
        <is>
          <t>Wk#</t>
        </is>
      </c>
      <c r="C35" s="59" t="inlineStr">
        <is>
          <t>Actual Regs</t>
        </is>
      </c>
      <c r="D35" s="59" t="inlineStr">
        <is>
          <t>Actual Cost</t>
        </is>
      </c>
      <c r="E35" s="59" t="inlineStr">
        <is>
          <t>Actual CPA</t>
        </is>
      </c>
      <c r="F35" s="59" t="inlineStr">
        <is>
          <t>Pred Regs</t>
        </is>
      </c>
      <c r="G35" s="59" t="inlineStr">
        <is>
          <t>CI Low</t>
        </is>
      </c>
      <c r="H35" s="59" t="inlineStr">
        <is>
          <t>CI High</t>
        </is>
      </c>
      <c r="I35" s="59" t="inlineStr">
        <is>
          <t>Confidence</t>
        </is>
      </c>
      <c r="J35" s="59" t="inlineStr">
        <is>
          <t>Error %</t>
        </is>
      </c>
      <c r="K35" s="59" t="inlineStr">
        <is>
          <t>Within CI</t>
        </is>
      </c>
      <c r="L35" s="59" t="inlineStr">
        <is>
          <t>WoW Δ%</t>
        </is>
      </c>
      <c r="M35" s="59" t="inlineStr">
        <is>
          <t>Brand Regs</t>
        </is>
      </c>
      <c r="N35" s="5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'_Data'!D366</f>
        <v/>
      </c>
      <c r="D36" s="51">
        <f>'_Data'!E366</f>
        <v/>
      </c>
      <c r="E36" s="52">
        <f>'_Data'!F366</f>
        <v/>
      </c>
      <c r="F36" s="42">
        <f>'_Data'!G366</f>
        <v/>
      </c>
      <c r="G36" s="42">
        <f>'_Data'!H366</f>
        <v/>
      </c>
      <c r="H36" s="42">
        <f>'_Data'!I366</f>
        <v/>
      </c>
      <c r="I36" s="45">
        <f>'_Data'!J366</f>
        <v/>
      </c>
      <c r="J36" s="44">
        <f>IF(AND(C36&gt;0,F36&gt;0),ABS(F36-C36)/C36,"")</f>
        <v/>
      </c>
      <c r="K36" s="41">
        <f>IF(AND(C36&gt;0,G36&gt;0),IF(AND(C36&gt;=G36,C36&lt;=H36),"✓","✗"),"")</f>
        <v/>
      </c>
      <c r="L36" s="41" t="n"/>
      <c r="M36" s="42">
        <f>'_Data'!K366</f>
        <v/>
      </c>
      <c r="N36" s="42">
        <f>'_Data'!L366</f>
        <v/>
      </c>
    </row>
    <row r="37">
      <c r="A37" s="46" t="inlineStr">
        <is>
          <t>2026 W2</t>
        </is>
      </c>
      <c r="B37" s="46" t="n">
        <v>2</v>
      </c>
      <c r="C37" s="47">
        <f>'_Data'!D367</f>
        <v/>
      </c>
      <c r="D37" s="53">
        <f>'_Data'!E367</f>
        <v/>
      </c>
      <c r="E37" s="54">
        <f>'_Data'!F367</f>
        <v/>
      </c>
      <c r="F37" s="47">
        <f>'_Data'!G367</f>
        <v/>
      </c>
      <c r="G37" s="47">
        <f>'_Data'!H367</f>
        <v/>
      </c>
      <c r="H37" s="47">
        <f>'_Data'!I367</f>
        <v/>
      </c>
      <c r="I37" s="50">
        <f>'_Data'!J367</f>
        <v/>
      </c>
      <c r="J37" s="49">
        <f>IF(AND(C37&gt;0,F37&gt;0),ABS(F37-C37)/C37,"")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'_Data'!K367</f>
        <v/>
      </c>
      <c r="N37" s="47">
        <f>'_Data'!L367</f>
        <v/>
      </c>
    </row>
    <row r="38">
      <c r="A38" s="41" t="inlineStr">
        <is>
          <t>2026 W3</t>
        </is>
      </c>
      <c r="B38" s="41" t="n">
        <v>3</v>
      </c>
      <c r="C38" s="42">
        <f>'_Data'!D368</f>
        <v/>
      </c>
      <c r="D38" s="51">
        <f>'_Data'!E368</f>
        <v/>
      </c>
      <c r="E38" s="52">
        <f>'_Data'!F368</f>
        <v/>
      </c>
      <c r="F38" s="42">
        <f>'_Data'!G368</f>
        <v/>
      </c>
      <c r="G38" s="42">
        <f>'_Data'!H368</f>
        <v/>
      </c>
      <c r="H38" s="42">
        <f>'_Data'!I368</f>
        <v/>
      </c>
      <c r="I38" s="45">
        <f>'_Data'!J368</f>
        <v/>
      </c>
      <c r="J38" s="44">
        <f>IF(AND(C38&gt;0,F38&gt;0),ABS(F38-C38)/C38,"")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'_Data'!K368</f>
        <v/>
      </c>
      <c r="N38" s="42">
        <f>'_Data'!L368</f>
        <v/>
      </c>
    </row>
    <row r="39">
      <c r="A39" s="46" t="inlineStr">
        <is>
          <t>2026 W4</t>
        </is>
      </c>
      <c r="B39" s="46" t="n">
        <v>4</v>
      </c>
      <c r="C39" s="47">
        <f>'_Data'!D369</f>
        <v/>
      </c>
      <c r="D39" s="53">
        <f>'_Data'!E369</f>
        <v/>
      </c>
      <c r="E39" s="54">
        <f>'_Data'!F369</f>
        <v/>
      </c>
      <c r="F39" s="47">
        <f>'_Data'!G369</f>
        <v/>
      </c>
      <c r="G39" s="47">
        <f>'_Data'!H369</f>
        <v/>
      </c>
      <c r="H39" s="47">
        <f>'_Data'!I369</f>
        <v/>
      </c>
      <c r="I39" s="50">
        <f>'_Data'!J369</f>
        <v/>
      </c>
      <c r="J39" s="49">
        <f>IF(AND(C39&gt;0,F39&gt;0),ABS(F39-C39)/C39,"")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'_Data'!K369</f>
        <v/>
      </c>
      <c r="N39" s="47">
        <f>'_Data'!L369</f>
        <v/>
      </c>
    </row>
    <row r="40">
      <c r="A40" s="41" t="inlineStr">
        <is>
          <t>2026 W5</t>
        </is>
      </c>
      <c r="B40" s="41" t="n">
        <v>5</v>
      </c>
      <c r="C40" s="42">
        <f>'_Data'!D370</f>
        <v/>
      </c>
      <c r="D40" s="51">
        <f>'_Data'!E370</f>
        <v/>
      </c>
      <c r="E40" s="52">
        <f>'_Data'!F370</f>
        <v/>
      </c>
      <c r="F40" s="42">
        <f>'_Data'!G370</f>
        <v/>
      </c>
      <c r="G40" s="42">
        <f>'_Data'!H370</f>
        <v/>
      </c>
      <c r="H40" s="42">
        <f>'_Data'!I370</f>
        <v/>
      </c>
      <c r="I40" s="45">
        <f>'_Data'!J370</f>
        <v/>
      </c>
      <c r="J40" s="44">
        <f>IF(AND(C40&gt;0,F40&gt;0),ABS(F40-C40)/C40,"")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'_Data'!K370</f>
        <v/>
      </c>
      <c r="N40" s="42">
        <f>'_Data'!L370</f>
        <v/>
      </c>
    </row>
    <row r="41">
      <c r="A41" s="46" t="inlineStr">
        <is>
          <t>2026 W6</t>
        </is>
      </c>
      <c r="B41" s="46" t="n">
        <v>6</v>
      </c>
      <c r="C41" s="47">
        <f>'_Data'!D371</f>
        <v/>
      </c>
      <c r="D41" s="53">
        <f>'_Data'!E371</f>
        <v/>
      </c>
      <c r="E41" s="54">
        <f>'_Data'!F371</f>
        <v/>
      </c>
      <c r="F41" s="47">
        <f>'_Data'!G371</f>
        <v/>
      </c>
      <c r="G41" s="47">
        <f>'_Data'!H371</f>
        <v/>
      </c>
      <c r="H41" s="47">
        <f>'_Data'!I371</f>
        <v/>
      </c>
      <c r="I41" s="50">
        <f>'_Data'!J371</f>
        <v/>
      </c>
      <c r="J41" s="49">
        <f>IF(AND(C41&gt;0,F41&gt;0),ABS(F41-C41)/C41,"")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'_Data'!K371</f>
        <v/>
      </c>
      <c r="N41" s="47">
        <f>'_Data'!L371</f>
        <v/>
      </c>
    </row>
    <row r="42">
      <c r="A42" s="41" t="inlineStr">
        <is>
          <t>2026 W7</t>
        </is>
      </c>
      <c r="B42" s="41" t="n">
        <v>7</v>
      </c>
      <c r="C42" s="42">
        <f>'_Data'!D372</f>
        <v/>
      </c>
      <c r="D42" s="51">
        <f>'_Data'!E372</f>
        <v/>
      </c>
      <c r="E42" s="52">
        <f>'_Data'!F372</f>
        <v/>
      </c>
      <c r="F42" s="42">
        <f>'_Data'!G372</f>
        <v/>
      </c>
      <c r="G42" s="42">
        <f>'_Data'!H372</f>
        <v/>
      </c>
      <c r="H42" s="42">
        <f>'_Data'!I372</f>
        <v/>
      </c>
      <c r="I42" s="45">
        <f>'_Data'!J372</f>
        <v/>
      </c>
      <c r="J42" s="44">
        <f>IF(AND(C42&gt;0,F42&gt;0),ABS(F42-C42)/C42,"")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'_Data'!K372</f>
        <v/>
      </c>
      <c r="N42" s="42">
        <f>'_Data'!L372</f>
        <v/>
      </c>
    </row>
    <row r="43">
      <c r="A43" s="46" t="inlineStr">
        <is>
          <t>2026 W8</t>
        </is>
      </c>
      <c r="B43" s="46" t="n">
        <v>8</v>
      </c>
      <c r="C43" s="47">
        <f>'_Data'!D373</f>
        <v/>
      </c>
      <c r="D43" s="53">
        <f>'_Data'!E373</f>
        <v/>
      </c>
      <c r="E43" s="54">
        <f>'_Data'!F373</f>
        <v/>
      </c>
      <c r="F43" s="47">
        <f>'_Data'!G373</f>
        <v/>
      </c>
      <c r="G43" s="47">
        <f>'_Data'!H373</f>
        <v/>
      </c>
      <c r="H43" s="47">
        <f>'_Data'!I373</f>
        <v/>
      </c>
      <c r="I43" s="50">
        <f>'_Data'!J373</f>
        <v/>
      </c>
      <c r="J43" s="49">
        <f>IF(AND(C43&gt;0,F43&gt;0),ABS(F43-C43)/C43,"")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'_Data'!K373</f>
        <v/>
      </c>
      <c r="N43" s="47">
        <f>'_Data'!L373</f>
        <v/>
      </c>
    </row>
    <row r="44">
      <c r="A44" s="41" t="inlineStr">
        <is>
          <t>2026 W9</t>
        </is>
      </c>
      <c r="B44" s="41" t="n">
        <v>9</v>
      </c>
      <c r="C44" s="42">
        <f>'_Data'!D374</f>
        <v/>
      </c>
      <c r="D44" s="51">
        <f>'_Data'!E374</f>
        <v/>
      </c>
      <c r="E44" s="52">
        <f>'_Data'!F374</f>
        <v/>
      </c>
      <c r="F44" s="42">
        <f>'_Data'!G374</f>
        <v/>
      </c>
      <c r="G44" s="42">
        <f>'_Data'!H374</f>
        <v/>
      </c>
      <c r="H44" s="42">
        <f>'_Data'!I374</f>
        <v/>
      </c>
      <c r="I44" s="45">
        <f>'_Data'!J374</f>
        <v/>
      </c>
      <c r="J44" s="44">
        <f>IF(AND(C44&gt;0,F44&gt;0),ABS(F44-C44)/C44,"")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'_Data'!K374</f>
        <v/>
      </c>
      <c r="N44" s="42">
        <f>'_Data'!L374</f>
        <v/>
      </c>
    </row>
    <row r="45">
      <c r="A45" s="46" t="inlineStr">
        <is>
          <t>2026 W10</t>
        </is>
      </c>
      <c r="B45" s="46" t="n">
        <v>10</v>
      </c>
      <c r="C45" s="47">
        <f>'_Data'!D375</f>
        <v/>
      </c>
      <c r="D45" s="53">
        <f>'_Data'!E375</f>
        <v/>
      </c>
      <c r="E45" s="54">
        <f>'_Data'!F375</f>
        <v/>
      </c>
      <c r="F45" s="47">
        <f>'_Data'!G375</f>
        <v/>
      </c>
      <c r="G45" s="47">
        <f>'_Data'!H375</f>
        <v/>
      </c>
      <c r="H45" s="47">
        <f>'_Data'!I375</f>
        <v/>
      </c>
      <c r="I45" s="50">
        <f>'_Data'!J375</f>
        <v/>
      </c>
      <c r="J45" s="49">
        <f>IF(AND(C45&gt;0,F45&gt;0),ABS(F45-C45)/C45,"")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'_Data'!K375</f>
        <v/>
      </c>
      <c r="N45" s="47">
        <f>'_Data'!L375</f>
        <v/>
      </c>
    </row>
    <row r="46">
      <c r="A46" s="41" t="inlineStr">
        <is>
          <t>2026 W11</t>
        </is>
      </c>
      <c r="B46" s="41" t="n">
        <v>11</v>
      </c>
      <c r="C46" s="42">
        <f>'_Data'!D376</f>
        <v/>
      </c>
      <c r="D46" s="51">
        <f>'_Data'!E376</f>
        <v/>
      </c>
      <c r="E46" s="52">
        <f>'_Data'!F376</f>
        <v/>
      </c>
      <c r="F46" s="42">
        <f>'_Data'!G376</f>
        <v/>
      </c>
      <c r="G46" s="42">
        <f>'_Data'!H376</f>
        <v/>
      </c>
      <c r="H46" s="42">
        <f>'_Data'!I376</f>
        <v/>
      </c>
      <c r="I46" s="45">
        <f>'_Data'!J376</f>
        <v/>
      </c>
      <c r="J46" s="44">
        <f>IF(AND(C46&gt;0,F46&gt;0),ABS(F46-C46)/C46,"")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'_Data'!K376</f>
        <v/>
      </c>
      <c r="N46" s="42">
        <f>'_Data'!L376</f>
        <v/>
      </c>
    </row>
    <row r="47">
      <c r="A47" s="46" t="inlineStr">
        <is>
          <t>2026 W12</t>
        </is>
      </c>
      <c r="B47" s="46" t="n">
        <v>12</v>
      </c>
      <c r="C47" s="47">
        <f>'_Data'!D377</f>
        <v/>
      </c>
      <c r="D47" s="53">
        <f>'_Data'!E377</f>
        <v/>
      </c>
      <c r="E47" s="54">
        <f>'_Data'!F377</f>
        <v/>
      </c>
      <c r="F47" s="47">
        <f>'_Data'!G377</f>
        <v/>
      </c>
      <c r="G47" s="47">
        <f>'_Data'!H377</f>
        <v/>
      </c>
      <c r="H47" s="47">
        <f>'_Data'!I377</f>
        <v/>
      </c>
      <c r="I47" s="50">
        <f>'_Data'!J377</f>
        <v/>
      </c>
      <c r="J47" s="49">
        <f>IF(AND(C47&gt;0,F47&gt;0),ABS(F47-C47)/C47,"")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'_Data'!K377</f>
        <v/>
      </c>
      <c r="N47" s="47">
        <f>'_Data'!L377</f>
        <v/>
      </c>
    </row>
    <row r="48">
      <c r="A48" s="41" t="inlineStr">
        <is>
          <t>2026 W13</t>
        </is>
      </c>
      <c r="B48" s="41" t="n">
        <v>13</v>
      </c>
      <c r="C48" s="42">
        <f>'_Data'!D378</f>
        <v/>
      </c>
      <c r="D48" s="51">
        <f>'_Data'!E378</f>
        <v/>
      </c>
      <c r="E48" s="52">
        <f>'_Data'!F378</f>
        <v/>
      </c>
      <c r="F48" s="42">
        <f>'_Data'!G378</f>
        <v/>
      </c>
      <c r="G48" s="42">
        <f>'_Data'!H378</f>
        <v/>
      </c>
      <c r="H48" s="42">
        <f>'_Data'!I378</f>
        <v/>
      </c>
      <c r="I48" s="45">
        <f>'_Data'!J378</f>
        <v/>
      </c>
      <c r="J48" s="44">
        <f>IF(AND(C48&gt;0,F48&gt;0),ABS(F48-C48)/C48,"")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'_Data'!K378</f>
        <v/>
      </c>
      <c r="N48" s="42">
        <f>'_Data'!L378</f>
        <v/>
      </c>
    </row>
    <row r="49">
      <c r="A49" s="46" t="inlineStr">
        <is>
          <t>2026 W14</t>
        </is>
      </c>
      <c r="B49" s="46" t="n">
        <v>14</v>
      </c>
      <c r="C49" s="47">
        <f>'_Data'!D379</f>
        <v/>
      </c>
      <c r="D49" s="53">
        <f>'_Data'!E379</f>
        <v/>
      </c>
      <c r="E49" s="54">
        <f>'_Data'!F379</f>
        <v/>
      </c>
      <c r="F49" s="47">
        <f>'_Data'!G379</f>
        <v/>
      </c>
      <c r="G49" s="47">
        <f>'_Data'!H379</f>
        <v/>
      </c>
      <c r="H49" s="47">
        <f>'_Data'!I379</f>
        <v/>
      </c>
      <c r="I49" s="50">
        <f>'_Data'!J379</f>
        <v/>
      </c>
      <c r="J49" s="49">
        <f>IF(AND(C49&gt;0,F49&gt;0),ABS(F49-C49)/C49,"")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'_Data'!K379</f>
        <v/>
      </c>
      <c r="N49" s="47">
        <f>'_Data'!L379</f>
        <v/>
      </c>
    </row>
    <row r="50">
      <c r="A50" s="41" t="inlineStr">
        <is>
          <t>2026 W15</t>
        </is>
      </c>
      <c r="B50" s="41" t="n">
        <v>15</v>
      </c>
      <c r="C50" s="42">
        <f>'_Data'!D380</f>
        <v/>
      </c>
      <c r="D50" s="51">
        <f>'_Data'!E380</f>
        <v/>
      </c>
      <c r="E50" s="52">
        <f>'_Data'!F380</f>
        <v/>
      </c>
      <c r="F50" s="42">
        <f>'_Data'!G380</f>
        <v/>
      </c>
      <c r="G50" s="42">
        <f>'_Data'!H380</f>
        <v/>
      </c>
      <c r="H50" s="42">
        <f>'_Data'!I380</f>
        <v/>
      </c>
      <c r="I50" s="45">
        <f>'_Data'!J380</f>
        <v/>
      </c>
      <c r="J50" s="44">
        <f>IF(AND(C50&gt;0,F50&gt;0),ABS(F50-C50)/C50,"")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'_Data'!K380</f>
        <v/>
      </c>
      <c r="N50" s="42">
        <f>'_Data'!L380</f>
        <v/>
      </c>
    </row>
    <row r="51">
      <c r="A51" s="36" t="inlineStr">
        <is>
          <t>2026 W16</t>
        </is>
      </c>
      <c r="B51" s="36" t="n">
        <v>16</v>
      </c>
      <c r="C51" s="36">
        <f>'_Data'!D381</f>
        <v/>
      </c>
      <c r="D51" s="36">
        <f>'_Data'!E381</f>
        <v/>
      </c>
      <c r="E51" s="36">
        <f>'_Data'!F381</f>
        <v/>
      </c>
      <c r="F51" s="37">
        <f>'_Data'!G381</f>
        <v/>
      </c>
      <c r="G51" s="37">
        <f>'_Data'!H381</f>
        <v/>
      </c>
      <c r="H51" s="37">
        <f>'_Data'!I381</f>
        <v/>
      </c>
      <c r="I51" s="40">
        <f>'_Data'!J381</f>
        <v/>
      </c>
      <c r="J51" s="39">
        <f>IF(AND(C51&gt;0,F51&gt;0),ABS(F51-C51)/C51,"")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'_Data'!K381</f>
        <v/>
      </c>
      <c r="N51" s="36">
        <f>'_Data'!L381</f>
        <v/>
      </c>
    </row>
    <row r="52">
      <c r="A52" s="36" t="inlineStr">
        <is>
          <t>2026 W17</t>
        </is>
      </c>
      <c r="B52" s="36" t="n">
        <v>17</v>
      </c>
      <c r="C52" s="36">
        <f>'_Data'!D382</f>
        <v/>
      </c>
      <c r="D52" s="36">
        <f>'_Data'!E382</f>
        <v/>
      </c>
      <c r="E52" s="36">
        <f>'_Data'!F382</f>
        <v/>
      </c>
      <c r="F52" s="37">
        <f>'_Data'!G382</f>
        <v/>
      </c>
      <c r="G52" s="37">
        <f>'_Data'!H382</f>
        <v/>
      </c>
      <c r="H52" s="37">
        <f>'_Data'!I382</f>
        <v/>
      </c>
      <c r="I52" s="40">
        <f>'_Data'!J382</f>
        <v/>
      </c>
      <c r="J52" s="39">
        <f>IF(AND(C52&gt;0,F52&gt;0),ABS(F52-C52)/C52,"")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'_Data'!K382</f>
        <v/>
      </c>
      <c r="N52" s="36">
        <f>'_Data'!L382</f>
        <v/>
      </c>
    </row>
    <row r="53">
      <c r="A53" s="36" t="inlineStr">
        <is>
          <t>2026 W18</t>
        </is>
      </c>
      <c r="B53" s="36" t="n">
        <v>18</v>
      </c>
      <c r="C53" s="36">
        <f>'_Data'!D383</f>
        <v/>
      </c>
      <c r="D53" s="36">
        <f>'_Data'!E383</f>
        <v/>
      </c>
      <c r="E53" s="36">
        <f>'_Data'!F383</f>
        <v/>
      </c>
      <c r="F53" s="37">
        <f>'_Data'!G383</f>
        <v/>
      </c>
      <c r="G53" s="37">
        <f>'_Data'!H383</f>
        <v/>
      </c>
      <c r="H53" s="37">
        <f>'_Data'!I383</f>
        <v/>
      </c>
      <c r="I53" s="40">
        <f>'_Data'!J383</f>
        <v/>
      </c>
      <c r="J53" s="39">
        <f>IF(AND(C53&gt;0,F53&gt;0),ABS(F53-C53)/C53,"")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'_Data'!K383</f>
        <v/>
      </c>
      <c r="N53" s="36">
        <f>'_Data'!L383</f>
        <v/>
      </c>
    </row>
    <row r="54">
      <c r="A54" s="36" t="inlineStr">
        <is>
          <t>2026 W19</t>
        </is>
      </c>
      <c r="B54" s="36" t="n">
        <v>19</v>
      </c>
      <c r="C54" s="36">
        <f>'_Data'!D384</f>
        <v/>
      </c>
      <c r="D54" s="36">
        <f>'_Data'!E384</f>
        <v/>
      </c>
      <c r="E54" s="36">
        <f>'_Data'!F384</f>
        <v/>
      </c>
      <c r="F54" s="37">
        <f>'_Data'!G384</f>
        <v/>
      </c>
      <c r="G54" s="37">
        <f>'_Data'!H384</f>
        <v/>
      </c>
      <c r="H54" s="37">
        <f>'_Data'!I384</f>
        <v/>
      </c>
      <c r="I54" s="40">
        <f>'_Data'!J384</f>
        <v/>
      </c>
      <c r="J54" s="39">
        <f>IF(AND(C54&gt;0,F54&gt;0),ABS(F54-C54)/C54,"")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'_Data'!K384</f>
        <v/>
      </c>
      <c r="N54" s="36">
        <f>'_Data'!L384</f>
        <v/>
      </c>
    </row>
    <row r="55">
      <c r="A55" s="36" t="inlineStr">
        <is>
          <t>2026 W20</t>
        </is>
      </c>
      <c r="B55" s="36" t="n">
        <v>20</v>
      </c>
      <c r="C55" s="36">
        <f>'_Data'!D385</f>
        <v/>
      </c>
      <c r="D55" s="36">
        <f>'_Data'!E385</f>
        <v/>
      </c>
      <c r="E55" s="36">
        <f>'_Data'!F385</f>
        <v/>
      </c>
      <c r="F55" s="37">
        <f>'_Data'!G385</f>
        <v/>
      </c>
      <c r="G55" s="37">
        <f>'_Data'!H385</f>
        <v/>
      </c>
      <c r="H55" s="37">
        <f>'_Data'!I385</f>
        <v/>
      </c>
      <c r="I55" s="40">
        <f>'_Data'!J385</f>
        <v/>
      </c>
      <c r="J55" s="39">
        <f>IF(AND(C55&gt;0,F55&gt;0),ABS(F55-C55)/C55,"")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'_Data'!K385</f>
        <v/>
      </c>
      <c r="N55" s="36">
        <f>'_Data'!L385</f>
        <v/>
      </c>
    </row>
    <row r="56">
      <c r="A56" s="36" t="inlineStr">
        <is>
          <t>2026 W21</t>
        </is>
      </c>
      <c r="B56" s="36" t="n">
        <v>21</v>
      </c>
      <c r="C56" s="36">
        <f>'_Data'!D386</f>
        <v/>
      </c>
      <c r="D56" s="36">
        <f>'_Data'!E386</f>
        <v/>
      </c>
      <c r="E56" s="36">
        <f>'_Data'!F386</f>
        <v/>
      </c>
      <c r="F56" s="37">
        <f>'_Data'!G386</f>
        <v/>
      </c>
      <c r="G56" s="37">
        <f>'_Data'!H386</f>
        <v/>
      </c>
      <c r="H56" s="37">
        <f>'_Data'!I386</f>
        <v/>
      </c>
      <c r="I56" s="40">
        <f>'_Data'!J386</f>
        <v/>
      </c>
      <c r="J56" s="39">
        <f>IF(AND(C56&gt;0,F56&gt;0),ABS(F56-C56)/C56,"")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'_Data'!K386</f>
        <v/>
      </c>
      <c r="N56" s="36">
        <f>'_Data'!L386</f>
        <v/>
      </c>
    </row>
    <row r="57">
      <c r="A57" s="36" t="inlineStr">
        <is>
          <t>2026 W22</t>
        </is>
      </c>
      <c r="B57" s="36" t="n">
        <v>22</v>
      </c>
      <c r="C57" s="36">
        <f>'_Data'!D387</f>
        <v/>
      </c>
      <c r="D57" s="36">
        <f>'_Data'!E387</f>
        <v/>
      </c>
      <c r="E57" s="36">
        <f>'_Data'!F387</f>
        <v/>
      </c>
      <c r="F57" s="37">
        <f>'_Data'!G387</f>
        <v/>
      </c>
      <c r="G57" s="37">
        <f>'_Data'!H387</f>
        <v/>
      </c>
      <c r="H57" s="37">
        <f>'_Data'!I387</f>
        <v/>
      </c>
      <c r="I57" s="40">
        <f>'_Data'!J387</f>
        <v/>
      </c>
      <c r="J57" s="39">
        <f>IF(AND(C57&gt;0,F57&gt;0),ABS(F57-C57)/C57,"")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'_Data'!K387</f>
        <v/>
      </c>
      <c r="N57" s="36">
        <f>'_Data'!L387</f>
        <v/>
      </c>
    </row>
    <row r="58">
      <c r="A58" s="36" t="inlineStr">
        <is>
          <t>2026 W23</t>
        </is>
      </c>
      <c r="B58" s="36" t="n">
        <v>23</v>
      </c>
      <c r="C58" s="36">
        <f>'_Data'!D388</f>
        <v/>
      </c>
      <c r="D58" s="36">
        <f>'_Data'!E388</f>
        <v/>
      </c>
      <c r="E58" s="36">
        <f>'_Data'!F388</f>
        <v/>
      </c>
      <c r="F58" s="37">
        <f>'_Data'!G388</f>
        <v/>
      </c>
      <c r="G58" s="37">
        <f>'_Data'!H388</f>
        <v/>
      </c>
      <c r="H58" s="37">
        <f>'_Data'!I388</f>
        <v/>
      </c>
      <c r="I58" s="40">
        <f>'_Data'!J388</f>
        <v/>
      </c>
      <c r="J58" s="39">
        <f>IF(AND(C58&gt;0,F58&gt;0),ABS(F58-C58)/C58,"")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'_Data'!K388</f>
        <v/>
      </c>
      <c r="N58" s="36">
        <f>'_Data'!L388</f>
        <v/>
      </c>
    </row>
    <row r="59">
      <c r="A59" s="36" t="inlineStr">
        <is>
          <t>2026 W24</t>
        </is>
      </c>
      <c r="B59" s="36" t="n">
        <v>24</v>
      </c>
      <c r="C59" s="36">
        <f>'_Data'!D389</f>
        <v/>
      </c>
      <c r="D59" s="36">
        <f>'_Data'!E389</f>
        <v/>
      </c>
      <c r="E59" s="36">
        <f>'_Data'!F389</f>
        <v/>
      </c>
      <c r="F59" s="37">
        <f>'_Data'!G389</f>
        <v/>
      </c>
      <c r="G59" s="37">
        <f>'_Data'!H389</f>
        <v/>
      </c>
      <c r="H59" s="37">
        <f>'_Data'!I389</f>
        <v/>
      </c>
      <c r="I59" s="40">
        <f>'_Data'!J389</f>
        <v/>
      </c>
      <c r="J59" s="39">
        <f>IF(AND(C59&gt;0,F59&gt;0),ABS(F59-C59)/C59,"")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'_Data'!K389</f>
        <v/>
      </c>
      <c r="N59" s="36">
        <f>'_Data'!L389</f>
        <v/>
      </c>
    </row>
    <row r="60">
      <c r="A60" s="36" t="inlineStr">
        <is>
          <t>2026 W25</t>
        </is>
      </c>
      <c r="B60" s="36" t="n">
        <v>25</v>
      </c>
      <c r="C60" s="36">
        <f>'_Data'!D390</f>
        <v/>
      </c>
      <c r="D60" s="36">
        <f>'_Data'!E390</f>
        <v/>
      </c>
      <c r="E60" s="36">
        <f>'_Data'!F390</f>
        <v/>
      </c>
      <c r="F60" s="37">
        <f>'_Data'!G390</f>
        <v/>
      </c>
      <c r="G60" s="37">
        <f>'_Data'!H390</f>
        <v/>
      </c>
      <c r="H60" s="37">
        <f>'_Data'!I390</f>
        <v/>
      </c>
      <c r="I60" s="40">
        <f>'_Data'!J390</f>
        <v/>
      </c>
      <c r="J60" s="39">
        <f>IF(AND(C60&gt;0,F60&gt;0),ABS(F60-C60)/C60,"")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'_Data'!K390</f>
        <v/>
      </c>
      <c r="N60" s="36">
        <f>'_Data'!L390</f>
        <v/>
      </c>
    </row>
    <row r="61">
      <c r="A61" s="36" t="inlineStr">
        <is>
          <t>2026 W26</t>
        </is>
      </c>
      <c r="B61" s="36" t="n">
        <v>26</v>
      </c>
      <c r="C61" s="36">
        <f>'_Data'!D391</f>
        <v/>
      </c>
      <c r="D61" s="36">
        <f>'_Data'!E391</f>
        <v/>
      </c>
      <c r="E61" s="36">
        <f>'_Data'!F391</f>
        <v/>
      </c>
      <c r="F61" s="37">
        <f>'_Data'!G391</f>
        <v/>
      </c>
      <c r="G61" s="37">
        <f>'_Data'!H391</f>
        <v/>
      </c>
      <c r="H61" s="37">
        <f>'_Data'!I391</f>
        <v/>
      </c>
      <c r="I61" s="40">
        <f>'_Data'!J391</f>
        <v/>
      </c>
      <c r="J61" s="39">
        <f>IF(AND(C61&gt;0,F61&gt;0),ABS(F61-C61)/C61,"")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'_Data'!K391</f>
        <v/>
      </c>
      <c r="N61" s="36">
        <f>'_Data'!L391</f>
        <v/>
      </c>
    </row>
    <row r="62">
      <c r="A62" s="36" t="inlineStr">
        <is>
          <t>2026 W27</t>
        </is>
      </c>
      <c r="B62" s="36" t="n">
        <v>27</v>
      </c>
      <c r="C62" s="36">
        <f>'_Data'!D392</f>
        <v/>
      </c>
      <c r="D62" s="36">
        <f>'_Data'!E392</f>
        <v/>
      </c>
      <c r="E62" s="36">
        <f>'_Data'!F392</f>
        <v/>
      </c>
      <c r="F62" s="37">
        <f>'_Data'!G392</f>
        <v/>
      </c>
      <c r="G62" s="37">
        <f>'_Data'!H392</f>
        <v/>
      </c>
      <c r="H62" s="37">
        <f>'_Data'!I392</f>
        <v/>
      </c>
      <c r="I62" s="40">
        <f>'_Data'!J392</f>
        <v/>
      </c>
      <c r="J62" s="39">
        <f>IF(AND(C62&gt;0,F62&gt;0),ABS(F62-C62)/C62,"")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'_Data'!K392</f>
        <v/>
      </c>
      <c r="N62" s="36">
        <f>'_Data'!L392</f>
        <v/>
      </c>
    </row>
    <row r="63">
      <c r="A63" s="36" t="inlineStr">
        <is>
          <t>2026 W28</t>
        </is>
      </c>
      <c r="B63" s="36" t="n">
        <v>28</v>
      </c>
      <c r="C63" s="36">
        <f>'_Data'!D393</f>
        <v/>
      </c>
      <c r="D63" s="36">
        <f>'_Data'!E393</f>
        <v/>
      </c>
      <c r="E63" s="36">
        <f>'_Data'!F393</f>
        <v/>
      </c>
      <c r="F63" s="37">
        <f>'_Data'!G393</f>
        <v/>
      </c>
      <c r="G63" s="37">
        <f>'_Data'!H393</f>
        <v/>
      </c>
      <c r="H63" s="37">
        <f>'_Data'!I393</f>
        <v/>
      </c>
      <c r="I63" s="40">
        <f>'_Data'!J393</f>
        <v/>
      </c>
      <c r="J63" s="39">
        <f>IF(AND(C63&gt;0,F63&gt;0),ABS(F63-C63)/C63,"")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'_Data'!K393</f>
        <v/>
      </c>
      <c r="N63" s="36">
        <f>'_Data'!L393</f>
        <v/>
      </c>
    </row>
    <row r="64">
      <c r="A64" s="36" t="inlineStr">
        <is>
          <t>2026 W29</t>
        </is>
      </c>
      <c r="B64" s="36" t="n">
        <v>29</v>
      </c>
      <c r="C64" s="36">
        <f>'_Data'!D394</f>
        <v/>
      </c>
      <c r="D64" s="36">
        <f>'_Data'!E394</f>
        <v/>
      </c>
      <c r="E64" s="36">
        <f>'_Data'!F394</f>
        <v/>
      </c>
      <c r="F64" s="37">
        <f>'_Data'!G394</f>
        <v/>
      </c>
      <c r="G64" s="37">
        <f>'_Data'!H394</f>
        <v/>
      </c>
      <c r="H64" s="37">
        <f>'_Data'!I394</f>
        <v/>
      </c>
      <c r="I64" s="40">
        <f>'_Data'!J394</f>
        <v/>
      </c>
      <c r="J64" s="39">
        <f>IF(AND(C64&gt;0,F64&gt;0),ABS(F64-C64)/C64,"")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'_Data'!K394</f>
        <v/>
      </c>
      <c r="N64" s="36">
        <f>'_Data'!L394</f>
        <v/>
      </c>
    </row>
    <row r="65">
      <c r="A65" s="36" t="inlineStr">
        <is>
          <t>2026 W30</t>
        </is>
      </c>
      <c r="B65" s="36" t="n">
        <v>30</v>
      </c>
      <c r="C65" s="36">
        <f>'_Data'!D395</f>
        <v/>
      </c>
      <c r="D65" s="36">
        <f>'_Data'!E395</f>
        <v/>
      </c>
      <c r="E65" s="36">
        <f>'_Data'!F395</f>
        <v/>
      </c>
      <c r="F65" s="37">
        <f>'_Data'!G395</f>
        <v/>
      </c>
      <c r="G65" s="37">
        <f>'_Data'!H395</f>
        <v/>
      </c>
      <c r="H65" s="37">
        <f>'_Data'!I395</f>
        <v/>
      </c>
      <c r="I65" s="40">
        <f>'_Data'!J395</f>
        <v/>
      </c>
      <c r="J65" s="39">
        <f>IF(AND(C65&gt;0,F65&gt;0),ABS(F65-C65)/C65,"")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'_Data'!K395</f>
        <v/>
      </c>
      <c r="N65" s="36">
        <f>'_Data'!L395</f>
        <v/>
      </c>
    </row>
    <row r="66">
      <c r="A66" s="36" t="inlineStr">
        <is>
          <t>2026 W31</t>
        </is>
      </c>
      <c r="B66" s="36" t="n">
        <v>31</v>
      </c>
      <c r="C66" s="36">
        <f>'_Data'!D396</f>
        <v/>
      </c>
      <c r="D66" s="36">
        <f>'_Data'!E396</f>
        <v/>
      </c>
      <c r="E66" s="36">
        <f>'_Data'!F396</f>
        <v/>
      </c>
      <c r="F66" s="37">
        <f>'_Data'!G396</f>
        <v/>
      </c>
      <c r="G66" s="37">
        <f>'_Data'!H396</f>
        <v/>
      </c>
      <c r="H66" s="37">
        <f>'_Data'!I396</f>
        <v/>
      </c>
      <c r="I66" s="40">
        <f>'_Data'!J396</f>
        <v/>
      </c>
      <c r="J66" s="39">
        <f>IF(AND(C66&gt;0,F66&gt;0),ABS(F66-C66)/C66,"")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'_Data'!K396</f>
        <v/>
      </c>
      <c r="N66" s="36">
        <f>'_Data'!L396</f>
        <v/>
      </c>
    </row>
    <row r="67">
      <c r="A67" s="36" t="inlineStr">
        <is>
          <t>2026 W32</t>
        </is>
      </c>
      <c r="B67" s="36" t="n">
        <v>32</v>
      </c>
      <c r="C67" s="36">
        <f>'_Data'!D397</f>
        <v/>
      </c>
      <c r="D67" s="36">
        <f>'_Data'!E397</f>
        <v/>
      </c>
      <c r="E67" s="36">
        <f>'_Data'!F397</f>
        <v/>
      </c>
      <c r="F67" s="37">
        <f>'_Data'!G397</f>
        <v/>
      </c>
      <c r="G67" s="37">
        <f>'_Data'!H397</f>
        <v/>
      </c>
      <c r="H67" s="37">
        <f>'_Data'!I397</f>
        <v/>
      </c>
      <c r="I67" s="40">
        <f>'_Data'!J397</f>
        <v/>
      </c>
      <c r="J67" s="39">
        <f>IF(AND(C67&gt;0,F67&gt;0),ABS(F67-C67)/C67,"")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'_Data'!K397</f>
        <v/>
      </c>
      <c r="N67" s="36">
        <f>'_Data'!L397</f>
        <v/>
      </c>
    </row>
    <row r="68">
      <c r="A68" s="36" t="inlineStr">
        <is>
          <t>2026 W33</t>
        </is>
      </c>
      <c r="B68" s="36" t="n">
        <v>33</v>
      </c>
      <c r="C68" s="36">
        <f>'_Data'!D398</f>
        <v/>
      </c>
      <c r="D68" s="36">
        <f>'_Data'!E398</f>
        <v/>
      </c>
      <c r="E68" s="36">
        <f>'_Data'!F398</f>
        <v/>
      </c>
      <c r="F68" s="37">
        <f>'_Data'!G398</f>
        <v/>
      </c>
      <c r="G68" s="37">
        <f>'_Data'!H398</f>
        <v/>
      </c>
      <c r="H68" s="37">
        <f>'_Data'!I398</f>
        <v/>
      </c>
      <c r="I68" s="40">
        <f>'_Data'!J398</f>
        <v/>
      </c>
      <c r="J68" s="39">
        <f>IF(AND(C68&gt;0,F68&gt;0),ABS(F68-C68)/C68,"")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'_Data'!K398</f>
        <v/>
      </c>
      <c r="N68" s="36">
        <f>'_Data'!L398</f>
        <v/>
      </c>
    </row>
    <row r="69">
      <c r="A69" s="36" t="inlineStr">
        <is>
          <t>2026 W34</t>
        </is>
      </c>
      <c r="B69" s="36" t="n">
        <v>34</v>
      </c>
      <c r="C69" s="36">
        <f>'_Data'!D399</f>
        <v/>
      </c>
      <c r="D69" s="36">
        <f>'_Data'!E399</f>
        <v/>
      </c>
      <c r="E69" s="36">
        <f>'_Data'!F399</f>
        <v/>
      </c>
      <c r="F69" s="37">
        <f>'_Data'!G399</f>
        <v/>
      </c>
      <c r="G69" s="37">
        <f>'_Data'!H399</f>
        <v/>
      </c>
      <c r="H69" s="37">
        <f>'_Data'!I399</f>
        <v/>
      </c>
      <c r="I69" s="40">
        <f>'_Data'!J399</f>
        <v/>
      </c>
      <c r="J69" s="39">
        <f>IF(AND(C69&gt;0,F69&gt;0),ABS(F69-C69)/C69,"")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'_Data'!K399</f>
        <v/>
      </c>
      <c r="N69" s="36">
        <f>'_Data'!L399</f>
        <v/>
      </c>
    </row>
    <row r="70">
      <c r="A70" s="36" t="inlineStr">
        <is>
          <t>2026 W35</t>
        </is>
      </c>
      <c r="B70" s="36" t="n">
        <v>35</v>
      </c>
      <c r="C70" s="36">
        <f>'_Data'!D400</f>
        <v/>
      </c>
      <c r="D70" s="36">
        <f>'_Data'!E400</f>
        <v/>
      </c>
      <c r="E70" s="36">
        <f>'_Data'!F400</f>
        <v/>
      </c>
      <c r="F70" s="37">
        <f>'_Data'!G400</f>
        <v/>
      </c>
      <c r="G70" s="37">
        <f>'_Data'!H400</f>
        <v/>
      </c>
      <c r="H70" s="37">
        <f>'_Data'!I400</f>
        <v/>
      </c>
      <c r="I70" s="40">
        <f>'_Data'!J400</f>
        <v/>
      </c>
      <c r="J70" s="39">
        <f>IF(AND(C70&gt;0,F70&gt;0),ABS(F70-C70)/C70,"")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'_Data'!K400</f>
        <v/>
      </c>
      <c r="N70" s="36">
        <f>'_Data'!L400</f>
        <v/>
      </c>
    </row>
    <row r="71">
      <c r="A71" s="36" t="inlineStr">
        <is>
          <t>2026 W36</t>
        </is>
      </c>
      <c r="B71" s="36" t="n">
        <v>36</v>
      </c>
      <c r="C71" s="36">
        <f>'_Data'!D401</f>
        <v/>
      </c>
      <c r="D71" s="36">
        <f>'_Data'!E401</f>
        <v/>
      </c>
      <c r="E71" s="36">
        <f>'_Data'!F401</f>
        <v/>
      </c>
      <c r="F71" s="37">
        <f>'_Data'!G401</f>
        <v/>
      </c>
      <c r="G71" s="37">
        <f>'_Data'!H401</f>
        <v/>
      </c>
      <c r="H71" s="37">
        <f>'_Data'!I401</f>
        <v/>
      </c>
      <c r="I71" s="40">
        <f>'_Data'!J401</f>
        <v/>
      </c>
      <c r="J71" s="39">
        <f>IF(AND(C71&gt;0,F71&gt;0),ABS(F71-C71)/C71,"")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'_Data'!K401</f>
        <v/>
      </c>
      <c r="N71" s="36">
        <f>'_Data'!L401</f>
        <v/>
      </c>
    </row>
    <row r="72">
      <c r="A72" s="36" t="inlineStr">
        <is>
          <t>2026 W37</t>
        </is>
      </c>
      <c r="B72" s="36" t="n">
        <v>37</v>
      </c>
      <c r="C72" s="36">
        <f>'_Data'!D402</f>
        <v/>
      </c>
      <c r="D72" s="36">
        <f>'_Data'!E402</f>
        <v/>
      </c>
      <c r="E72" s="36">
        <f>'_Data'!F402</f>
        <v/>
      </c>
      <c r="F72" s="37">
        <f>'_Data'!G402</f>
        <v/>
      </c>
      <c r="G72" s="37">
        <f>'_Data'!H402</f>
        <v/>
      </c>
      <c r="H72" s="37">
        <f>'_Data'!I402</f>
        <v/>
      </c>
      <c r="I72" s="40">
        <f>'_Data'!J402</f>
        <v/>
      </c>
      <c r="J72" s="39">
        <f>IF(AND(C72&gt;0,F72&gt;0),ABS(F72-C72)/C72,"")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'_Data'!K402</f>
        <v/>
      </c>
      <c r="N72" s="36">
        <f>'_Data'!L402</f>
        <v/>
      </c>
    </row>
    <row r="73">
      <c r="A73" s="36" t="inlineStr">
        <is>
          <t>2026 W38</t>
        </is>
      </c>
      <c r="B73" s="36" t="n">
        <v>38</v>
      </c>
      <c r="C73" s="36">
        <f>'_Data'!D403</f>
        <v/>
      </c>
      <c r="D73" s="36">
        <f>'_Data'!E403</f>
        <v/>
      </c>
      <c r="E73" s="36">
        <f>'_Data'!F403</f>
        <v/>
      </c>
      <c r="F73" s="37">
        <f>'_Data'!G403</f>
        <v/>
      </c>
      <c r="G73" s="37">
        <f>'_Data'!H403</f>
        <v/>
      </c>
      <c r="H73" s="37">
        <f>'_Data'!I403</f>
        <v/>
      </c>
      <c r="I73" s="40">
        <f>'_Data'!J403</f>
        <v/>
      </c>
      <c r="J73" s="39">
        <f>IF(AND(C73&gt;0,F73&gt;0),ABS(F73-C73)/C73,"")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'_Data'!K403</f>
        <v/>
      </c>
      <c r="N73" s="36">
        <f>'_Data'!L403</f>
        <v/>
      </c>
    </row>
    <row r="74">
      <c r="A74" s="36" t="inlineStr">
        <is>
          <t>2026 W39</t>
        </is>
      </c>
      <c r="B74" s="36" t="n">
        <v>39</v>
      </c>
      <c r="C74" s="36">
        <f>'_Data'!D404</f>
        <v/>
      </c>
      <c r="D74" s="36">
        <f>'_Data'!E404</f>
        <v/>
      </c>
      <c r="E74" s="36">
        <f>'_Data'!F404</f>
        <v/>
      </c>
      <c r="F74" s="37">
        <f>'_Data'!G404</f>
        <v/>
      </c>
      <c r="G74" s="37">
        <f>'_Data'!H404</f>
        <v/>
      </c>
      <c r="H74" s="37">
        <f>'_Data'!I404</f>
        <v/>
      </c>
      <c r="I74" s="40">
        <f>'_Data'!J404</f>
        <v/>
      </c>
      <c r="J74" s="39">
        <f>IF(AND(C74&gt;0,F74&gt;0),ABS(F74-C74)/C74,"")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'_Data'!K404</f>
        <v/>
      </c>
      <c r="N74" s="36">
        <f>'_Data'!L404</f>
        <v/>
      </c>
    </row>
    <row r="75">
      <c r="A75" s="36" t="inlineStr">
        <is>
          <t>2026 W40</t>
        </is>
      </c>
      <c r="B75" s="36" t="n">
        <v>40</v>
      </c>
      <c r="C75" s="36">
        <f>'_Data'!D405</f>
        <v/>
      </c>
      <c r="D75" s="36">
        <f>'_Data'!E405</f>
        <v/>
      </c>
      <c r="E75" s="36">
        <f>'_Data'!F405</f>
        <v/>
      </c>
      <c r="F75" s="37">
        <f>'_Data'!G405</f>
        <v/>
      </c>
      <c r="G75" s="37">
        <f>'_Data'!H405</f>
        <v/>
      </c>
      <c r="H75" s="37">
        <f>'_Data'!I405</f>
        <v/>
      </c>
      <c r="I75" s="40">
        <f>'_Data'!J405</f>
        <v/>
      </c>
      <c r="J75" s="39">
        <f>IF(AND(C75&gt;0,F75&gt;0),ABS(F75-C75)/C75,"")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'_Data'!K405</f>
        <v/>
      </c>
      <c r="N75" s="36">
        <f>'_Data'!L405</f>
        <v/>
      </c>
    </row>
    <row r="76">
      <c r="A76" s="36" t="inlineStr">
        <is>
          <t>2026 W41</t>
        </is>
      </c>
      <c r="B76" s="36" t="n">
        <v>41</v>
      </c>
      <c r="C76" s="36">
        <f>'_Data'!D406</f>
        <v/>
      </c>
      <c r="D76" s="36">
        <f>'_Data'!E406</f>
        <v/>
      </c>
      <c r="E76" s="36">
        <f>'_Data'!F406</f>
        <v/>
      </c>
      <c r="F76" s="37">
        <f>'_Data'!G406</f>
        <v/>
      </c>
      <c r="G76" s="37">
        <f>'_Data'!H406</f>
        <v/>
      </c>
      <c r="H76" s="37">
        <f>'_Data'!I406</f>
        <v/>
      </c>
      <c r="I76" s="40">
        <f>'_Data'!J406</f>
        <v/>
      </c>
      <c r="J76" s="39">
        <f>IF(AND(C76&gt;0,F76&gt;0),ABS(F76-C76)/C76,"")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'_Data'!K406</f>
        <v/>
      </c>
      <c r="N76" s="36">
        <f>'_Data'!L406</f>
        <v/>
      </c>
    </row>
    <row r="77">
      <c r="A77" s="36" t="inlineStr">
        <is>
          <t>2026 W42</t>
        </is>
      </c>
      <c r="B77" s="36" t="n">
        <v>42</v>
      </c>
      <c r="C77" s="36">
        <f>'_Data'!D407</f>
        <v/>
      </c>
      <c r="D77" s="36">
        <f>'_Data'!E407</f>
        <v/>
      </c>
      <c r="E77" s="36">
        <f>'_Data'!F407</f>
        <v/>
      </c>
      <c r="F77" s="37">
        <f>'_Data'!G407</f>
        <v/>
      </c>
      <c r="G77" s="37">
        <f>'_Data'!H407</f>
        <v/>
      </c>
      <c r="H77" s="37">
        <f>'_Data'!I407</f>
        <v/>
      </c>
      <c r="I77" s="40">
        <f>'_Data'!J407</f>
        <v/>
      </c>
      <c r="J77" s="39">
        <f>IF(AND(C77&gt;0,F77&gt;0),ABS(F77-C77)/C77,"")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'_Data'!K407</f>
        <v/>
      </c>
      <c r="N77" s="36">
        <f>'_Data'!L407</f>
        <v/>
      </c>
    </row>
    <row r="78">
      <c r="A78" s="36" t="inlineStr">
        <is>
          <t>2026 W43</t>
        </is>
      </c>
      <c r="B78" s="36" t="n">
        <v>43</v>
      </c>
      <c r="C78" s="36">
        <f>'_Data'!D408</f>
        <v/>
      </c>
      <c r="D78" s="36">
        <f>'_Data'!E408</f>
        <v/>
      </c>
      <c r="E78" s="36">
        <f>'_Data'!F408</f>
        <v/>
      </c>
      <c r="F78" s="37">
        <f>'_Data'!G408</f>
        <v/>
      </c>
      <c r="G78" s="37">
        <f>'_Data'!H408</f>
        <v/>
      </c>
      <c r="H78" s="37">
        <f>'_Data'!I408</f>
        <v/>
      </c>
      <c r="I78" s="40">
        <f>'_Data'!J408</f>
        <v/>
      </c>
      <c r="J78" s="39">
        <f>IF(AND(C78&gt;0,F78&gt;0),ABS(F78-C78)/C78,"")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'_Data'!K408</f>
        <v/>
      </c>
      <c r="N78" s="36">
        <f>'_Data'!L408</f>
        <v/>
      </c>
    </row>
    <row r="79">
      <c r="A79" s="36" t="inlineStr">
        <is>
          <t>2026 W44</t>
        </is>
      </c>
      <c r="B79" s="36" t="n">
        <v>44</v>
      </c>
      <c r="C79" s="36">
        <f>'_Data'!D409</f>
        <v/>
      </c>
      <c r="D79" s="36">
        <f>'_Data'!E409</f>
        <v/>
      </c>
      <c r="E79" s="36">
        <f>'_Data'!F409</f>
        <v/>
      </c>
      <c r="F79" s="37">
        <f>'_Data'!G409</f>
        <v/>
      </c>
      <c r="G79" s="37">
        <f>'_Data'!H409</f>
        <v/>
      </c>
      <c r="H79" s="37">
        <f>'_Data'!I409</f>
        <v/>
      </c>
      <c r="I79" s="40">
        <f>'_Data'!J409</f>
        <v/>
      </c>
      <c r="J79" s="39">
        <f>IF(AND(C79&gt;0,F79&gt;0),ABS(F79-C79)/C79,"")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'_Data'!K409</f>
        <v/>
      </c>
      <c r="N79" s="36">
        <f>'_Data'!L409</f>
        <v/>
      </c>
    </row>
    <row r="80">
      <c r="A80" s="36" t="inlineStr">
        <is>
          <t>2026 W45</t>
        </is>
      </c>
      <c r="B80" s="36" t="n">
        <v>45</v>
      </c>
      <c r="C80" s="36">
        <f>'_Data'!D410</f>
        <v/>
      </c>
      <c r="D80" s="36">
        <f>'_Data'!E410</f>
        <v/>
      </c>
      <c r="E80" s="36">
        <f>'_Data'!F410</f>
        <v/>
      </c>
      <c r="F80" s="37">
        <f>'_Data'!G410</f>
        <v/>
      </c>
      <c r="G80" s="37">
        <f>'_Data'!H410</f>
        <v/>
      </c>
      <c r="H80" s="37">
        <f>'_Data'!I410</f>
        <v/>
      </c>
      <c r="I80" s="40">
        <f>'_Data'!J410</f>
        <v/>
      </c>
      <c r="J80" s="39">
        <f>IF(AND(C80&gt;0,F80&gt;0),ABS(F80-C80)/C80,"")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'_Data'!K410</f>
        <v/>
      </c>
      <c r="N80" s="36">
        <f>'_Data'!L410</f>
        <v/>
      </c>
    </row>
    <row r="81">
      <c r="A81" s="36" t="inlineStr">
        <is>
          <t>2026 W46</t>
        </is>
      </c>
      <c r="B81" s="36" t="n">
        <v>46</v>
      </c>
      <c r="C81" s="36">
        <f>'_Data'!D411</f>
        <v/>
      </c>
      <c r="D81" s="36">
        <f>'_Data'!E411</f>
        <v/>
      </c>
      <c r="E81" s="36">
        <f>'_Data'!F411</f>
        <v/>
      </c>
      <c r="F81" s="37">
        <f>'_Data'!G411</f>
        <v/>
      </c>
      <c r="G81" s="37">
        <f>'_Data'!H411</f>
        <v/>
      </c>
      <c r="H81" s="37">
        <f>'_Data'!I411</f>
        <v/>
      </c>
      <c r="I81" s="40">
        <f>'_Data'!J411</f>
        <v/>
      </c>
      <c r="J81" s="39">
        <f>IF(AND(C81&gt;0,F81&gt;0),ABS(F81-C81)/C81,"")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'_Data'!K411</f>
        <v/>
      </c>
      <c r="N81" s="36">
        <f>'_Data'!L411</f>
        <v/>
      </c>
    </row>
    <row r="82">
      <c r="A82" s="36" t="inlineStr">
        <is>
          <t>2026 W47</t>
        </is>
      </c>
      <c r="B82" s="36" t="n">
        <v>47</v>
      </c>
      <c r="C82" s="36">
        <f>'_Data'!D412</f>
        <v/>
      </c>
      <c r="D82" s="36">
        <f>'_Data'!E412</f>
        <v/>
      </c>
      <c r="E82" s="36">
        <f>'_Data'!F412</f>
        <v/>
      </c>
      <c r="F82" s="37">
        <f>'_Data'!G412</f>
        <v/>
      </c>
      <c r="G82" s="37">
        <f>'_Data'!H412</f>
        <v/>
      </c>
      <c r="H82" s="37">
        <f>'_Data'!I412</f>
        <v/>
      </c>
      <c r="I82" s="40">
        <f>'_Data'!J412</f>
        <v/>
      </c>
      <c r="J82" s="39">
        <f>IF(AND(C82&gt;0,F82&gt;0),ABS(F82-C82)/C82,"")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'_Data'!K412</f>
        <v/>
      </c>
      <c r="N82" s="36">
        <f>'_Data'!L412</f>
        <v/>
      </c>
    </row>
    <row r="83">
      <c r="A83" s="36" t="inlineStr">
        <is>
          <t>2026 W48</t>
        </is>
      </c>
      <c r="B83" s="36" t="n">
        <v>48</v>
      </c>
      <c r="C83" s="36">
        <f>'_Data'!D413</f>
        <v/>
      </c>
      <c r="D83" s="36">
        <f>'_Data'!E413</f>
        <v/>
      </c>
      <c r="E83" s="36">
        <f>'_Data'!F413</f>
        <v/>
      </c>
      <c r="F83" s="37">
        <f>'_Data'!G413</f>
        <v/>
      </c>
      <c r="G83" s="37">
        <f>'_Data'!H413</f>
        <v/>
      </c>
      <c r="H83" s="37">
        <f>'_Data'!I413</f>
        <v/>
      </c>
      <c r="I83" s="40">
        <f>'_Data'!J413</f>
        <v/>
      </c>
      <c r="J83" s="39">
        <f>IF(AND(C83&gt;0,F83&gt;0),ABS(F83-C83)/C83,"")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'_Data'!K413</f>
        <v/>
      </c>
      <c r="N83" s="36">
        <f>'_Data'!L413</f>
        <v/>
      </c>
    </row>
    <row r="84">
      <c r="A84" s="36" t="inlineStr">
        <is>
          <t>2026 W49</t>
        </is>
      </c>
      <c r="B84" s="36" t="n">
        <v>49</v>
      </c>
      <c r="C84" s="36">
        <f>'_Data'!D414</f>
        <v/>
      </c>
      <c r="D84" s="36">
        <f>'_Data'!E414</f>
        <v/>
      </c>
      <c r="E84" s="36">
        <f>'_Data'!F414</f>
        <v/>
      </c>
      <c r="F84" s="37">
        <f>'_Data'!G414</f>
        <v/>
      </c>
      <c r="G84" s="37">
        <f>'_Data'!H414</f>
        <v/>
      </c>
      <c r="H84" s="37">
        <f>'_Data'!I414</f>
        <v/>
      </c>
      <c r="I84" s="40">
        <f>'_Data'!J414</f>
        <v/>
      </c>
      <c r="J84" s="39">
        <f>IF(AND(C84&gt;0,F84&gt;0),ABS(F84-C84)/C84,"")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'_Data'!K414</f>
        <v/>
      </c>
      <c r="N84" s="36">
        <f>'_Data'!L414</f>
        <v/>
      </c>
    </row>
    <row r="85">
      <c r="A85" s="36" t="inlineStr">
        <is>
          <t>2026 W50</t>
        </is>
      </c>
      <c r="B85" s="36" t="n">
        <v>50</v>
      </c>
      <c r="C85" s="36">
        <f>'_Data'!D415</f>
        <v/>
      </c>
      <c r="D85" s="36">
        <f>'_Data'!E415</f>
        <v/>
      </c>
      <c r="E85" s="36">
        <f>'_Data'!F415</f>
        <v/>
      </c>
      <c r="F85" s="37">
        <f>'_Data'!G415</f>
        <v/>
      </c>
      <c r="G85" s="37">
        <f>'_Data'!H415</f>
        <v/>
      </c>
      <c r="H85" s="37">
        <f>'_Data'!I415</f>
        <v/>
      </c>
      <c r="I85" s="40">
        <f>'_Data'!J415</f>
        <v/>
      </c>
      <c r="J85" s="39">
        <f>IF(AND(C85&gt;0,F85&gt;0),ABS(F85-C85)/C85,"")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'_Data'!K415</f>
        <v/>
      </c>
      <c r="N85" s="36">
        <f>'_Data'!L415</f>
        <v/>
      </c>
    </row>
    <row r="86">
      <c r="A86" s="36" t="inlineStr">
        <is>
          <t>2026 W51</t>
        </is>
      </c>
      <c r="B86" s="36" t="n">
        <v>51</v>
      </c>
      <c r="C86" s="36">
        <f>'_Data'!D416</f>
        <v/>
      </c>
      <c r="D86" s="36">
        <f>'_Data'!E416</f>
        <v/>
      </c>
      <c r="E86" s="36">
        <f>'_Data'!F416</f>
        <v/>
      </c>
      <c r="F86" s="37">
        <f>'_Data'!G416</f>
        <v/>
      </c>
      <c r="G86" s="37">
        <f>'_Data'!H416</f>
        <v/>
      </c>
      <c r="H86" s="37">
        <f>'_Data'!I416</f>
        <v/>
      </c>
      <c r="I86" s="40">
        <f>'_Data'!J416</f>
        <v/>
      </c>
      <c r="J86" s="39">
        <f>IF(AND(C86&gt;0,F86&gt;0),ABS(F86-C86)/C86,"")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'_Data'!K416</f>
        <v/>
      </c>
      <c r="N86" s="36">
        <f>'_Data'!L416</f>
        <v/>
      </c>
    </row>
    <row r="87">
      <c r="A87" s="36" t="inlineStr">
        <is>
          <t>2026 W52</t>
        </is>
      </c>
      <c r="B87" s="36" t="n">
        <v>52</v>
      </c>
      <c r="C87" s="36">
        <f>'_Data'!D417</f>
        <v/>
      </c>
      <c r="D87" s="36">
        <f>'_Data'!E417</f>
        <v/>
      </c>
      <c r="E87" s="36">
        <f>'_Data'!F417</f>
        <v/>
      </c>
      <c r="F87" s="37">
        <f>'_Data'!G417</f>
        <v/>
      </c>
      <c r="G87" s="37">
        <f>'_Data'!H417</f>
        <v/>
      </c>
      <c r="H87" s="37">
        <f>'_Data'!I417</f>
        <v/>
      </c>
      <c r="I87" s="40">
        <f>'_Data'!J417</f>
        <v/>
      </c>
      <c r="J87" s="39">
        <f>IF(AND(C87&gt;0,F87&gt;0),ABS(F87-C87)/C87,"")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'_Data'!K417</f>
        <v/>
      </c>
      <c r="N87" s="36">
        <f>'_Data'!L417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9B59B6"/>
      </dataBar>
    </cfRule>
  </conditionalFormatting>
  <conditionalFormatting sqref="J36:J87">
    <cfRule type="colorScale" priority="2">
      <colorScale>
        <cfvo type="num" val="0"/>
        <cfvo type="num" val="0.1"/>
        <cfvo type="num" val="0.3"/>
        <color rgb="FF27AE60"/>
        <color rgb="FFFFFFFF"/>
        <color rgb="FFE74C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D35400"/>
    <outlinePr summaryBelow="1" summaryRight="1"/>
    <pageSetUpPr/>
  </sheetPr>
  <dimension ref="A1:N87"/>
  <sheetViews>
    <sheetView showGridLines="0" workbookViewId="0">
      <selection activeCell="I33" sqref="I33"/>
    </sheetView>
  </sheetViews>
  <sheetFormatPr baseColWidth="8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7" t="inlineStr">
        <is>
          <t>MX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TEXT(SUM('_Data'!D418:D469),"#,##0")</f>
        <v/>
      </c>
      <c r="B4" s="74" t="n"/>
      <c r="C4" s="27">
        <f>TEXT(SUM('_Data'!E418:E469),"$#,##0")</f>
        <v/>
      </c>
      <c r="D4" s="74" t="n"/>
      <c r="E4" s="27">
        <f>TEXT(IF(SUM('_Data'!D418:D469)&gt;0,SUM('_Data'!E418:E469)/SUM('_Data'!D418:D469),0),"$#,##0.00")</f>
        <v/>
      </c>
      <c r="F4" s="74" t="n"/>
      <c r="G4" s="27">
        <f>IF(AND('_Data'!C700&gt;0,'_Data'!F700&gt;0),TEXT(('_Data'!C700-'_Data'!F700)/'_Data'!F700,"+0.0%;-0.0%"),"")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 ht="40.5" customHeight="1" s="71">
      <c r="A9" s="25" t="inlineStr">
        <is>
          <t>Period</t>
        </is>
      </c>
      <c r="B9" s="25" t="inlineStr">
        <is>
          <t>Actual Regs</t>
        </is>
      </c>
      <c r="C9" s="25" t="inlineStr">
        <is>
          <t>Pred Regs</t>
        </is>
      </c>
      <c r="D9" s="25" t="inlineStr">
        <is>
          <t>CI Low</t>
        </is>
      </c>
      <c r="E9" s="25" t="inlineStr">
        <is>
          <t>CI High</t>
        </is>
      </c>
      <c r="F9" s="25" t="inlineStr">
        <is>
          <t>OP2 Target</t>
        </is>
      </c>
      <c r="G9" s="25" t="inlineStr">
        <is>
          <t>vs OP2 %</t>
        </is>
      </c>
      <c r="H9" s="25" t="inlineStr">
        <is>
          <t>Error %</t>
        </is>
      </c>
      <c r="I9" s="25" t="inlineStr">
        <is>
          <t>Confidence</t>
        </is>
      </c>
      <c r="J9" s="25" t="inlineStr">
        <is>
          <t>Score</t>
        </is>
      </c>
      <c r="K9" s="25" t="inlineStr">
        <is>
          <t>Notes</t>
        </is>
      </c>
    </row>
    <row r="10">
      <c r="A10" s="14" t="inlineStr">
        <is>
          <t>2026 Full Year</t>
        </is>
      </c>
      <c r="B10" s="15">
        <f>'_Data'!B700</f>
        <v/>
      </c>
      <c r="C10" s="15">
        <f>'_Data'!C700</f>
        <v/>
      </c>
      <c r="D10" s="15">
        <f>'_Data'!D700</f>
        <v/>
      </c>
      <c r="E10" s="15">
        <f>'_Data'!E700</f>
        <v/>
      </c>
      <c r="F10" s="15">
        <f>'_Data'!F700</f>
        <v/>
      </c>
      <c r="G10" s="16">
        <f>IF(AND(B10&gt;0,F10&gt;0),(B10-F10)/F10,"")</f>
        <v/>
      </c>
      <c r="H10" s="17">
        <f>IF(AND(B10&gt;0,C10&gt;0),ABS(C10-B10)/B10,"")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 ht="40.5" customHeight="1" s="71">
      <c r="A13" s="25" t="inlineStr">
        <is>
          <t>Period</t>
        </is>
      </c>
      <c r="B13" s="25" t="inlineStr">
        <is>
          <t>Actual Regs</t>
        </is>
      </c>
      <c r="C13" s="25" t="inlineStr">
        <is>
          <t>Pred Regs</t>
        </is>
      </c>
      <c r="D13" s="25" t="inlineStr">
        <is>
          <t>CI Low</t>
        </is>
      </c>
      <c r="E13" s="25" t="inlineStr">
        <is>
          <t>CI High</t>
        </is>
      </c>
      <c r="F13" s="25" t="inlineStr">
        <is>
          <t>OP2 Target</t>
        </is>
      </c>
      <c r="G13" s="25" t="inlineStr">
        <is>
          <t>vs OP2 %</t>
        </is>
      </c>
      <c r="H13" s="25" t="inlineStr">
        <is>
          <t>Error %</t>
        </is>
      </c>
      <c r="I13" s="25" t="inlineStr">
        <is>
          <t>Confidence</t>
        </is>
      </c>
      <c r="J13" s="25" t="inlineStr">
        <is>
          <t>Score</t>
        </is>
      </c>
      <c r="K13" s="25" t="inlineStr">
        <is>
          <t>Notes</t>
        </is>
      </c>
    </row>
    <row r="14">
      <c r="A14" s="3" t="inlineStr">
        <is>
          <t>Q1</t>
        </is>
      </c>
      <c r="B14" s="4">
        <f>'_Data'!D680</f>
        <v/>
      </c>
      <c r="C14" s="4">
        <f>'_Data'!E680</f>
        <v/>
      </c>
      <c r="D14" s="4">
        <f>'_Data'!F680</f>
        <v/>
      </c>
      <c r="E14" s="4">
        <f>'_Data'!G680</f>
        <v/>
      </c>
      <c r="F14" s="4">
        <f>'_Data'!H680</f>
        <v/>
      </c>
      <c r="G14" s="19">
        <f>IF(AND(B14&gt;0,F14&gt;0),(B14-F14)/F14,"")</f>
        <v/>
      </c>
      <c r="H14" s="20">
        <f>IF(AND(B14&gt;0,C14&gt;0),ABS(C14-B14)/B14,"")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'_Data'!D681</f>
        <v/>
      </c>
      <c r="C15" s="15">
        <f>'_Data'!E681</f>
        <v/>
      </c>
      <c r="D15" s="15">
        <f>'_Data'!F681</f>
        <v/>
      </c>
      <c r="E15" s="15">
        <f>'_Data'!G681</f>
        <v/>
      </c>
      <c r="F15" s="15">
        <f>'_Data'!H681</f>
        <v/>
      </c>
      <c r="G15" s="16">
        <f>IF(AND(B15&gt;0,F15&gt;0),(B15-F15)/F15,"")</f>
        <v/>
      </c>
      <c r="H15" s="17">
        <f>IF(AND(B15&gt;0,C15&gt;0),ABS(C15-B15)/B15,"")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'_Data'!D682</f>
        <v/>
      </c>
      <c r="C16" s="15">
        <f>'_Data'!E682</f>
        <v/>
      </c>
      <c r="D16" s="15">
        <f>'_Data'!F682</f>
        <v/>
      </c>
      <c r="E16" s="15">
        <f>'_Data'!G682</f>
        <v/>
      </c>
      <c r="F16" s="15">
        <f>'_Data'!H682</f>
        <v/>
      </c>
      <c r="G16" s="16">
        <f>IF(AND(B16&gt;0,F16&gt;0),(B16-F16)/F16,"")</f>
        <v/>
      </c>
      <c r="H16" s="17">
        <f>IF(AND(B16&gt;0,C16&gt;0),ABS(C16-B16)/B16,"")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'_Data'!D683</f>
        <v/>
      </c>
      <c r="C17" s="15">
        <f>'_Data'!E683</f>
        <v/>
      </c>
      <c r="D17" s="15">
        <f>'_Data'!F683</f>
        <v/>
      </c>
      <c r="E17" s="15">
        <f>'_Data'!G683</f>
        <v/>
      </c>
      <c r="F17" s="15">
        <f>'_Data'!H683</f>
        <v/>
      </c>
      <c r="G17" s="16">
        <f>IF(AND(B17&gt;0,F17&gt;0),(B17-F17)/F17,"")</f>
        <v/>
      </c>
      <c r="H17" s="17">
        <f>IF(AND(B17&gt;0,C17&gt;0),ABS(C17-B17)/B17,"")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 ht="40.5" customHeight="1" s="71">
      <c r="A20" s="25" t="inlineStr">
        <is>
          <t>Period</t>
        </is>
      </c>
      <c r="B20" s="25" t="inlineStr">
        <is>
          <t>Actual Regs</t>
        </is>
      </c>
      <c r="C20" s="25" t="inlineStr">
        <is>
          <t>Pred Regs</t>
        </is>
      </c>
      <c r="D20" s="25" t="inlineStr">
        <is>
          <t>CI Low</t>
        </is>
      </c>
      <c r="E20" s="25" t="inlineStr">
        <is>
          <t>CI High</t>
        </is>
      </c>
      <c r="F20" s="25" t="inlineStr">
        <is>
          <t>OP2 Target</t>
        </is>
      </c>
      <c r="G20" s="25" t="inlineStr">
        <is>
          <t>vs OP2 %</t>
        </is>
      </c>
      <c r="H20" s="25" t="inlineStr">
        <is>
          <t>Error %</t>
        </is>
      </c>
      <c r="I20" s="25" t="inlineStr">
        <is>
          <t>Confidence</t>
        </is>
      </c>
      <c r="J20" s="25" t="inlineStr">
        <is>
          <t>Score</t>
        </is>
      </c>
      <c r="K20" s="25" t="inlineStr">
        <is>
          <t>Notes</t>
        </is>
      </c>
    </row>
    <row r="21">
      <c r="A21" s="3" t="inlineStr">
        <is>
          <t>Jan</t>
        </is>
      </c>
      <c r="B21" s="4">
        <f>'_Data'!D620</f>
        <v/>
      </c>
      <c r="C21" s="4">
        <f>'_Data'!E620</f>
        <v/>
      </c>
      <c r="D21" s="4">
        <f>'_Data'!F620</f>
        <v/>
      </c>
      <c r="E21" s="4">
        <f>'_Data'!G620</f>
        <v/>
      </c>
      <c r="F21" s="4">
        <f>'_Data'!H620</f>
        <v/>
      </c>
      <c r="G21" s="19">
        <f>IF(AND(B21&gt;0,F21&gt;0),(B21-F21)/F21,"")</f>
        <v/>
      </c>
      <c r="H21" s="20">
        <f>IF(AND(B21&gt;0,C21&gt;0),ABS(C21-B21)/B21,"")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'_Data'!D621</f>
        <v/>
      </c>
      <c r="C22" s="9">
        <f>'_Data'!E621</f>
        <v/>
      </c>
      <c r="D22" s="9">
        <f>'_Data'!F621</f>
        <v/>
      </c>
      <c r="E22" s="9">
        <f>'_Data'!G621</f>
        <v/>
      </c>
      <c r="F22" s="9">
        <f>'_Data'!H621</f>
        <v/>
      </c>
      <c r="G22" s="22">
        <f>IF(AND(B22&gt;0,F22&gt;0),(B22-F22)/F22,"")</f>
        <v/>
      </c>
      <c r="H22" s="23">
        <f>IF(AND(B22&gt;0,C22&gt;0),ABS(C22-B22)/B22,"")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'_Data'!D622</f>
        <v/>
      </c>
      <c r="C23" s="4">
        <f>'_Data'!E622</f>
        <v/>
      </c>
      <c r="D23" s="4">
        <f>'_Data'!F622</f>
        <v/>
      </c>
      <c r="E23" s="4">
        <f>'_Data'!G622</f>
        <v/>
      </c>
      <c r="F23" s="4">
        <f>'_Data'!H622</f>
        <v/>
      </c>
      <c r="G23" s="19">
        <f>IF(AND(B23&gt;0,F23&gt;0),(B23-F23)/F23,"")</f>
        <v/>
      </c>
      <c r="H23" s="20">
        <f>IF(AND(B23&gt;0,C23&gt;0),ABS(C23-B23)/B23,"")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'_Data'!D623</f>
        <v/>
      </c>
      <c r="C24" s="15">
        <f>'_Data'!E623</f>
        <v/>
      </c>
      <c r="D24" s="15">
        <f>'_Data'!F623</f>
        <v/>
      </c>
      <c r="E24" s="15">
        <f>'_Data'!G623</f>
        <v/>
      </c>
      <c r="F24" s="15">
        <f>'_Data'!H623</f>
        <v/>
      </c>
      <c r="G24" s="16">
        <f>IF(AND(B24&gt;0,F24&gt;0),(B24-F24)/F24,"")</f>
        <v/>
      </c>
      <c r="H24" s="17">
        <f>IF(AND(B24&gt;0,C24&gt;0),ABS(C24-B24)/B24,"")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'_Data'!D624</f>
        <v/>
      </c>
      <c r="C25" s="15">
        <f>'_Data'!E624</f>
        <v/>
      </c>
      <c r="D25" s="15">
        <f>'_Data'!F624</f>
        <v/>
      </c>
      <c r="E25" s="15">
        <f>'_Data'!G624</f>
        <v/>
      </c>
      <c r="F25" s="15">
        <f>'_Data'!H624</f>
        <v/>
      </c>
      <c r="G25" s="16">
        <f>IF(AND(B25&gt;0,F25&gt;0),(B25-F25)/F25,"")</f>
        <v/>
      </c>
      <c r="H25" s="17">
        <f>IF(AND(B25&gt;0,C25&gt;0),ABS(C25-B25)/B25,"")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'_Data'!D625</f>
        <v/>
      </c>
      <c r="C26" s="15">
        <f>'_Data'!E625</f>
        <v/>
      </c>
      <c r="D26" s="15">
        <f>'_Data'!F625</f>
        <v/>
      </c>
      <c r="E26" s="15">
        <f>'_Data'!G625</f>
        <v/>
      </c>
      <c r="F26" s="15">
        <f>'_Data'!H625</f>
        <v/>
      </c>
      <c r="G26" s="16">
        <f>IF(AND(B26&gt;0,F26&gt;0),(B26-F26)/F26,"")</f>
        <v/>
      </c>
      <c r="H26" s="17">
        <f>IF(AND(B26&gt;0,C26&gt;0),ABS(C26-B26)/B26,"")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'_Data'!D626</f>
        <v/>
      </c>
      <c r="C27" s="15">
        <f>'_Data'!E626</f>
        <v/>
      </c>
      <c r="D27" s="15">
        <f>'_Data'!F626</f>
        <v/>
      </c>
      <c r="E27" s="15">
        <f>'_Data'!G626</f>
        <v/>
      </c>
      <c r="F27" s="15">
        <f>'_Data'!H626</f>
        <v/>
      </c>
      <c r="G27" s="16">
        <f>IF(AND(B27&gt;0,F27&gt;0),(B27-F27)/F27,"")</f>
        <v/>
      </c>
      <c r="H27" s="17">
        <f>IF(AND(B27&gt;0,C27&gt;0),ABS(C27-B27)/B27,"")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'_Data'!D627</f>
        <v/>
      </c>
      <c r="C28" s="15">
        <f>'_Data'!E627</f>
        <v/>
      </c>
      <c r="D28" s="15">
        <f>'_Data'!F627</f>
        <v/>
      </c>
      <c r="E28" s="15">
        <f>'_Data'!G627</f>
        <v/>
      </c>
      <c r="F28" s="15">
        <f>'_Data'!H627</f>
        <v/>
      </c>
      <c r="G28" s="16">
        <f>IF(AND(B28&gt;0,F28&gt;0),(B28-F28)/F28,"")</f>
        <v/>
      </c>
      <c r="H28" s="17">
        <f>IF(AND(B28&gt;0,C28&gt;0),ABS(C28-B28)/B28,"")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'_Data'!D628</f>
        <v/>
      </c>
      <c r="C29" s="15">
        <f>'_Data'!E628</f>
        <v/>
      </c>
      <c r="D29" s="15">
        <f>'_Data'!F628</f>
        <v/>
      </c>
      <c r="E29" s="15">
        <f>'_Data'!G628</f>
        <v/>
      </c>
      <c r="F29" s="15">
        <f>'_Data'!H628</f>
        <v/>
      </c>
      <c r="G29" s="16">
        <f>IF(AND(B29&gt;0,F29&gt;0),(B29-F29)/F29,"")</f>
        <v/>
      </c>
      <c r="H29" s="17">
        <f>IF(AND(B29&gt;0,C29&gt;0),ABS(C29-B29)/B29,"")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'_Data'!D629</f>
        <v/>
      </c>
      <c r="C30" s="15">
        <f>'_Data'!E629</f>
        <v/>
      </c>
      <c r="D30" s="15">
        <f>'_Data'!F629</f>
        <v/>
      </c>
      <c r="E30" s="15">
        <f>'_Data'!G629</f>
        <v/>
      </c>
      <c r="F30" s="15">
        <f>'_Data'!H629</f>
        <v/>
      </c>
      <c r="G30" s="16">
        <f>IF(AND(B30&gt;0,F30&gt;0),(B30-F30)/F30,"")</f>
        <v/>
      </c>
      <c r="H30" s="17">
        <f>IF(AND(B30&gt;0,C30&gt;0),ABS(C30-B30)/B30,"")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'_Data'!D630</f>
        <v/>
      </c>
      <c r="C31" s="15">
        <f>'_Data'!E630</f>
        <v/>
      </c>
      <c r="D31" s="15">
        <f>'_Data'!F630</f>
        <v/>
      </c>
      <c r="E31" s="15">
        <f>'_Data'!G630</f>
        <v/>
      </c>
      <c r="F31" s="15">
        <f>'_Data'!H630</f>
        <v/>
      </c>
      <c r="G31" s="16">
        <f>IF(AND(B31&gt;0,F31&gt;0),(B31-F31)/F31,"")</f>
        <v/>
      </c>
      <c r="H31" s="17">
        <f>IF(AND(B31&gt;0,C31&gt;0),ABS(C31-B31)/B31,"")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'_Data'!D631</f>
        <v/>
      </c>
      <c r="C32" s="15">
        <f>'_Data'!E631</f>
        <v/>
      </c>
      <c r="D32" s="15">
        <f>'_Data'!F631</f>
        <v/>
      </c>
      <c r="E32" s="15">
        <f>'_Data'!G631</f>
        <v/>
      </c>
      <c r="F32" s="15">
        <f>'_Data'!H631</f>
        <v/>
      </c>
      <c r="G32" s="16">
        <f>IF(AND(B32&gt;0,F32&gt;0),(B32-F32)/F32,"")</f>
        <v/>
      </c>
      <c r="H32" s="17">
        <f>IF(AND(B32&gt;0,C32&gt;0),ABS(C32-B32)/B32,"")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25" t="inlineStr">
        <is>
          <t>Week</t>
        </is>
      </c>
      <c r="B35" s="25" t="inlineStr">
        <is>
          <t>Wk#</t>
        </is>
      </c>
      <c r="C35" s="25" t="inlineStr">
        <is>
          <t>Actual Regs</t>
        </is>
      </c>
      <c r="D35" s="25" t="inlineStr">
        <is>
          <t>Actual Cost</t>
        </is>
      </c>
      <c r="E35" s="25" t="inlineStr">
        <is>
          <t>Actual CPA</t>
        </is>
      </c>
      <c r="F35" s="25" t="inlineStr">
        <is>
          <t>Pred Regs</t>
        </is>
      </c>
      <c r="G35" s="25" t="inlineStr">
        <is>
          <t>CI Low</t>
        </is>
      </c>
      <c r="H35" s="25" t="inlineStr">
        <is>
          <t>CI High</t>
        </is>
      </c>
      <c r="I35" s="25" t="inlineStr">
        <is>
          <t>Confidence</t>
        </is>
      </c>
      <c r="J35" s="25" t="inlineStr">
        <is>
          <t>Error %</t>
        </is>
      </c>
      <c r="K35" s="25" t="inlineStr">
        <is>
          <t>Within CI</t>
        </is>
      </c>
      <c r="L35" s="25" t="inlineStr">
        <is>
          <t>WoW Δ%</t>
        </is>
      </c>
      <c r="M35" s="25" t="inlineStr">
        <is>
          <t>Brand Regs</t>
        </is>
      </c>
      <c r="N35" s="25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'_Data'!D418</f>
        <v/>
      </c>
      <c r="D36" s="5">
        <f>'_Data'!E418</f>
        <v/>
      </c>
      <c r="E36" s="6">
        <f>'_Data'!F418</f>
        <v/>
      </c>
      <c r="F36" s="4">
        <f>'_Data'!G418</f>
        <v/>
      </c>
      <c r="G36" s="4">
        <f>'_Data'!H418</f>
        <v/>
      </c>
      <c r="H36" s="4">
        <f>'_Data'!I418</f>
        <v/>
      </c>
      <c r="I36" s="21">
        <f>'_Data'!J418</f>
        <v/>
      </c>
      <c r="J36" s="20">
        <f>IF(AND(C36&gt;0,F36&gt;0),ABS(F36-C36)/C36,"")</f>
        <v/>
      </c>
      <c r="K36" s="3">
        <f>IF(AND(C36&gt;0,G36&gt;0),IF(AND(C36&gt;=G36,C36&lt;=H36),"✓","✗"),"")</f>
        <v/>
      </c>
      <c r="L36" s="3" t="n"/>
      <c r="M36" s="4">
        <f>'_Data'!K418</f>
        <v/>
      </c>
      <c r="N36" s="4">
        <f>'_Data'!L418</f>
        <v/>
      </c>
    </row>
    <row r="37">
      <c r="A37" s="8" t="inlineStr">
        <is>
          <t>2026 W2</t>
        </is>
      </c>
      <c r="B37" s="8" t="n">
        <v>2</v>
      </c>
      <c r="C37" s="9">
        <f>'_Data'!D419</f>
        <v/>
      </c>
      <c r="D37" s="10">
        <f>'_Data'!E419</f>
        <v/>
      </c>
      <c r="E37" s="11">
        <f>'_Data'!F419</f>
        <v/>
      </c>
      <c r="F37" s="9">
        <f>'_Data'!G419</f>
        <v/>
      </c>
      <c r="G37" s="9">
        <f>'_Data'!H419</f>
        <v/>
      </c>
      <c r="H37" s="9">
        <f>'_Data'!I419</f>
        <v/>
      </c>
      <c r="I37" s="24">
        <f>'_Data'!J419</f>
        <v/>
      </c>
      <c r="J37" s="23">
        <f>IF(AND(C37&gt;0,F37&gt;0),ABS(F37-C37)/C37,"")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'_Data'!K419</f>
        <v/>
      </c>
      <c r="N37" s="9">
        <f>'_Data'!L419</f>
        <v/>
      </c>
    </row>
    <row r="38">
      <c r="A38" s="3" t="inlineStr">
        <is>
          <t>2026 W3</t>
        </is>
      </c>
      <c r="B38" s="3" t="n">
        <v>3</v>
      </c>
      <c r="C38" s="4">
        <f>'_Data'!D420</f>
        <v/>
      </c>
      <c r="D38" s="5">
        <f>'_Data'!E420</f>
        <v/>
      </c>
      <c r="E38" s="6">
        <f>'_Data'!F420</f>
        <v/>
      </c>
      <c r="F38" s="4">
        <f>'_Data'!G420</f>
        <v/>
      </c>
      <c r="G38" s="4">
        <f>'_Data'!H420</f>
        <v/>
      </c>
      <c r="H38" s="4">
        <f>'_Data'!I420</f>
        <v/>
      </c>
      <c r="I38" s="21">
        <f>'_Data'!J420</f>
        <v/>
      </c>
      <c r="J38" s="20">
        <f>IF(AND(C38&gt;0,F38&gt;0),ABS(F38-C38)/C38,"")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'_Data'!K420</f>
        <v/>
      </c>
      <c r="N38" s="4">
        <f>'_Data'!L420</f>
        <v/>
      </c>
    </row>
    <row r="39">
      <c r="A39" s="8" t="inlineStr">
        <is>
          <t>2026 W4</t>
        </is>
      </c>
      <c r="B39" s="8" t="n">
        <v>4</v>
      </c>
      <c r="C39" s="9">
        <f>'_Data'!D421</f>
        <v/>
      </c>
      <c r="D39" s="10">
        <f>'_Data'!E421</f>
        <v/>
      </c>
      <c r="E39" s="11">
        <f>'_Data'!F421</f>
        <v/>
      </c>
      <c r="F39" s="9">
        <f>'_Data'!G421</f>
        <v/>
      </c>
      <c r="G39" s="9">
        <f>'_Data'!H421</f>
        <v/>
      </c>
      <c r="H39" s="9">
        <f>'_Data'!I421</f>
        <v/>
      </c>
      <c r="I39" s="24">
        <f>'_Data'!J421</f>
        <v/>
      </c>
      <c r="J39" s="23">
        <f>IF(AND(C39&gt;0,F39&gt;0),ABS(F39-C39)/C39,"")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'_Data'!K421</f>
        <v/>
      </c>
      <c r="N39" s="9">
        <f>'_Data'!L421</f>
        <v/>
      </c>
    </row>
    <row r="40">
      <c r="A40" s="3" t="inlineStr">
        <is>
          <t>2026 W5</t>
        </is>
      </c>
      <c r="B40" s="3" t="n">
        <v>5</v>
      </c>
      <c r="C40" s="4">
        <f>'_Data'!D422</f>
        <v/>
      </c>
      <c r="D40" s="5">
        <f>'_Data'!E422</f>
        <v/>
      </c>
      <c r="E40" s="6">
        <f>'_Data'!F422</f>
        <v/>
      </c>
      <c r="F40" s="4">
        <f>'_Data'!G422</f>
        <v/>
      </c>
      <c r="G40" s="4">
        <f>'_Data'!H422</f>
        <v/>
      </c>
      <c r="H40" s="4">
        <f>'_Data'!I422</f>
        <v/>
      </c>
      <c r="I40" s="21">
        <f>'_Data'!J422</f>
        <v/>
      </c>
      <c r="J40" s="20">
        <f>IF(AND(C40&gt;0,F40&gt;0),ABS(F40-C40)/C40,"")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'_Data'!K422</f>
        <v/>
      </c>
      <c r="N40" s="4">
        <f>'_Data'!L422</f>
        <v/>
      </c>
    </row>
    <row r="41">
      <c r="A41" s="8" t="inlineStr">
        <is>
          <t>2026 W6</t>
        </is>
      </c>
      <c r="B41" s="8" t="n">
        <v>6</v>
      </c>
      <c r="C41" s="9">
        <f>'_Data'!D423</f>
        <v/>
      </c>
      <c r="D41" s="10">
        <f>'_Data'!E423</f>
        <v/>
      </c>
      <c r="E41" s="11">
        <f>'_Data'!F423</f>
        <v/>
      </c>
      <c r="F41" s="9">
        <f>'_Data'!G423</f>
        <v/>
      </c>
      <c r="G41" s="9">
        <f>'_Data'!H423</f>
        <v/>
      </c>
      <c r="H41" s="9">
        <f>'_Data'!I423</f>
        <v/>
      </c>
      <c r="I41" s="24">
        <f>'_Data'!J423</f>
        <v/>
      </c>
      <c r="J41" s="23">
        <f>IF(AND(C41&gt;0,F41&gt;0),ABS(F41-C41)/C41,"")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'_Data'!K423</f>
        <v/>
      </c>
      <c r="N41" s="9">
        <f>'_Data'!L423</f>
        <v/>
      </c>
    </row>
    <row r="42">
      <c r="A42" s="3" t="inlineStr">
        <is>
          <t>2026 W7</t>
        </is>
      </c>
      <c r="B42" s="3" t="n">
        <v>7</v>
      </c>
      <c r="C42" s="4">
        <f>'_Data'!D424</f>
        <v/>
      </c>
      <c r="D42" s="5">
        <f>'_Data'!E424</f>
        <v/>
      </c>
      <c r="E42" s="6">
        <f>'_Data'!F424</f>
        <v/>
      </c>
      <c r="F42" s="4">
        <f>'_Data'!G424</f>
        <v/>
      </c>
      <c r="G42" s="4">
        <f>'_Data'!H424</f>
        <v/>
      </c>
      <c r="H42" s="4">
        <f>'_Data'!I424</f>
        <v/>
      </c>
      <c r="I42" s="21">
        <f>'_Data'!J424</f>
        <v/>
      </c>
      <c r="J42" s="20">
        <f>IF(AND(C42&gt;0,F42&gt;0),ABS(F42-C42)/C42,"")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'_Data'!K424</f>
        <v/>
      </c>
      <c r="N42" s="4">
        <f>'_Data'!L424</f>
        <v/>
      </c>
    </row>
    <row r="43">
      <c r="A43" s="8" t="inlineStr">
        <is>
          <t>2026 W8</t>
        </is>
      </c>
      <c r="B43" s="8" t="n">
        <v>8</v>
      </c>
      <c r="C43" s="9">
        <f>'_Data'!D425</f>
        <v/>
      </c>
      <c r="D43" s="10">
        <f>'_Data'!E425</f>
        <v/>
      </c>
      <c r="E43" s="11">
        <f>'_Data'!F425</f>
        <v/>
      </c>
      <c r="F43" s="9">
        <f>'_Data'!G425</f>
        <v/>
      </c>
      <c r="G43" s="9">
        <f>'_Data'!H425</f>
        <v/>
      </c>
      <c r="H43" s="9">
        <f>'_Data'!I425</f>
        <v/>
      </c>
      <c r="I43" s="24">
        <f>'_Data'!J425</f>
        <v/>
      </c>
      <c r="J43" s="23">
        <f>IF(AND(C43&gt;0,F43&gt;0),ABS(F43-C43)/C43,"")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'_Data'!K425</f>
        <v/>
      </c>
      <c r="N43" s="9">
        <f>'_Data'!L425</f>
        <v/>
      </c>
    </row>
    <row r="44">
      <c r="A44" s="3" t="inlineStr">
        <is>
          <t>2026 W9</t>
        </is>
      </c>
      <c r="B44" s="3" t="n">
        <v>9</v>
      </c>
      <c r="C44" s="4">
        <f>'_Data'!D426</f>
        <v/>
      </c>
      <c r="D44" s="5">
        <f>'_Data'!E426</f>
        <v/>
      </c>
      <c r="E44" s="6">
        <f>'_Data'!F426</f>
        <v/>
      </c>
      <c r="F44" s="4">
        <f>'_Data'!G426</f>
        <v/>
      </c>
      <c r="G44" s="4">
        <f>'_Data'!H426</f>
        <v/>
      </c>
      <c r="H44" s="4">
        <f>'_Data'!I426</f>
        <v/>
      </c>
      <c r="I44" s="21">
        <f>'_Data'!J426</f>
        <v/>
      </c>
      <c r="J44" s="20">
        <f>IF(AND(C44&gt;0,F44&gt;0),ABS(F44-C44)/C44,"")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'_Data'!K426</f>
        <v/>
      </c>
      <c r="N44" s="4">
        <f>'_Data'!L426</f>
        <v/>
      </c>
    </row>
    <row r="45">
      <c r="A45" s="8" t="inlineStr">
        <is>
          <t>2026 W10</t>
        </is>
      </c>
      <c r="B45" s="8" t="n">
        <v>10</v>
      </c>
      <c r="C45" s="9">
        <f>'_Data'!D427</f>
        <v/>
      </c>
      <c r="D45" s="10">
        <f>'_Data'!E427</f>
        <v/>
      </c>
      <c r="E45" s="11">
        <f>'_Data'!F427</f>
        <v/>
      </c>
      <c r="F45" s="9">
        <f>'_Data'!G427</f>
        <v/>
      </c>
      <c r="G45" s="9">
        <f>'_Data'!H427</f>
        <v/>
      </c>
      <c r="H45" s="9">
        <f>'_Data'!I427</f>
        <v/>
      </c>
      <c r="I45" s="24">
        <f>'_Data'!J427</f>
        <v/>
      </c>
      <c r="J45" s="23">
        <f>IF(AND(C45&gt;0,F45&gt;0),ABS(F45-C45)/C45,"")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'_Data'!K427</f>
        <v/>
      </c>
      <c r="N45" s="9">
        <f>'_Data'!L427</f>
        <v/>
      </c>
    </row>
    <row r="46">
      <c r="A46" s="3" t="inlineStr">
        <is>
          <t>2026 W11</t>
        </is>
      </c>
      <c r="B46" s="3" t="n">
        <v>11</v>
      </c>
      <c r="C46" s="4">
        <f>'_Data'!D428</f>
        <v/>
      </c>
      <c r="D46" s="5">
        <f>'_Data'!E428</f>
        <v/>
      </c>
      <c r="E46" s="6">
        <f>'_Data'!F428</f>
        <v/>
      </c>
      <c r="F46" s="4">
        <f>'_Data'!G428</f>
        <v/>
      </c>
      <c r="G46" s="4">
        <f>'_Data'!H428</f>
        <v/>
      </c>
      <c r="H46" s="4">
        <f>'_Data'!I428</f>
        <v/>
      </c>
      <c r="I46" s="21">
        <f>'_Data'!J428</f>
        <v/>
      </c>
      <c r="J46" s="20">
        <f>IF(AND(C46&gt;0,F46&gt;0),ABS(F46-C46)/C46,"")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'_Data'!K428</f>
        <v/>
      </c>
      <c r="N46" s="4">
        <f>'_Data'!L428</f>
        <v/>
      </c>
    </row>
    <row r="47">
      <c r="A47" s="8" t="inlineStr">
        <is>
          <t>2026 W12</t>
        </is>
      </c>
      <c r="B47" s="8" t="n">
        <v>12</v>
      </c>
      <c r="C47" s="9">
        <f>'_Data'!D429</f>
        <v/>
      </c>
      <c r="D47" s="10">
        <f>'_Data'!E429</f>
        <v/>
      </c>
      <c r="E47" s="11">
        <f>'_Data'!F429</f>
        <v/>
      </c>
      <c r="F47" s="9">
        <f>'_Data'!G429</f>
        <v/>
      </c>
      <c r="G47" s="9">
        <f>'_Data'!H429</f>
        <v/>
      </c>
      <c r="H47" s="9">
        <f>'_Data'!I429</f>
        <v/>
      </c>
      <c r="I47" s="24">
        <f>'_Data'!J429</f>
        <v/>
      </c>
      <c r="J47" s="23">
        <f>IF(AND(C47&gt;0,F47&gt;0),ABS(F47-C47)/C47,"")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'_Data'!K429</f>
        <v/>
      </c>
      <c r="N47" s="9">
        <f>'_Data'!L429</f>
        <v/>
      </c>
    </row>
    <row r="48">
      <c r="A48" s="3" t="inlineStr">
        <is>
          <t>2026 W13</t>
        </is>
      </c>
      <c r="B48" s="3" t="n">
        <v>13</v>
      </c>
      <c r="C48" s="4">
        <f>'_Data'!D430</f>
        <v/>
      </c>
      <c r="D48" s="5">
        <f>'_Data'!E430</f>
        <v/>
      </c>
      <c r="E48" s="6">
        <f>'_Data'!F430</f>
        <v/>
      </c>
      <c r="F48" s="4">
        <f>'_Data'!G430</f>
        <v/>
      </c>
      <c r="G48" s="4">
        <f>'_Data'!H430</f>
        <v/>
      </c>
      <c r="H48" s="4">
        <f>'_Data'!I430</f>
        <v/>
      </c>
      <c r="I48" s="21">
        <f>'_Data'!J430</f>
        <v/>
      </c>
      <c r="J48" s="20">
        <f>IF(AND(C48&gt;0,F48&gt;0),ABS(F48-C48)/C48,"")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'_Data'!K430</f>
        <v/>
      </c>
      <c r="N48" s="4">
        <f>'_Data'!L430</f>
        <v/>
      </c>
    </row>
    <row r="49">
      <c r="A49" s="8" t="inlineStr">
        <is>
          <t>2026 W14</t>
        </is>
      </c>
      <c r="B49" s="8" t="n">
        <v>14</v>
      </c>
      <c r="C49" s="9">
        <f>'_Data'!D431</f>
        <v/>
      </c>
      <c r="D49" s="10">
        <f>'_Data'!E431</f>
        <v/>
      </c>
      <c r="E49" s="11">
        <f>'_Data'!F431</f>
        <v/>
      </c>
      <c r="F49" s="9">
        <f>'_Data'!G431</f>
        <v/>
      </c>
      <c r="G49" s="9">
        <f>'_Data'!H431</f>
        <v/>
      </c>
      <c r="H49" s="9">
        <f>'_Data'!I431</f>
        <v/>
      </c>
      <c r="I49" s="24">
        <f>'_Data'!J431</f>
        <v/>
      </c>
      <c r="J49" s="23">
        <f>IF(AND(C49&gt;0,F49&gt;0),ABS(F49-C49)/C49,"")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'_Data'!K431</f>
        <v/>
      </c>
      <c r="N49" s="9">
        <f>'_Data'!L431</f>
        <v/>
      </c>
    </row>
    <row r="50">
      <c r="A50" s="3" t="inlineStr">
        <is>
          <t>2026 W15</t>
        </is>
      </c>
      <c r="B50" s="3" t="n">
        <v>15</v>
      </c>
      <c r="C50" s="4">
        <f>'_Data'!D432</f>
        <v/>
      </c>
      <c r="D50" s="5">
        <f>'_Data'!E432</f>
        <v/>
      </c>
      <c r="E50" s="6">
        <f>'_Data'!F432</f>
        <v/>
      </c>
      <c r="F50" s="4">
        <f>'_Data'!G432</f>
        <v/>
      </c>
      <c r="G50" s="4">
        <f>'_Data'!H432</f>
        <v/>
      </c>
      <c r="H50" s="4">
        <f>'_Data'!I432</f>
        <v/>
      </c>
      <c r="I50" s="21">
        <f>'_Data'!J432</f>
        <v/>
      </c>
      <c r="J50" s="20">
        <f>IF(AND(C50&gt;0,F50&gt;0),ABS(F50-C50)/C50,"")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'_Data'!K432</f>
        <v/>
      </c>
      <c r="N50" s="4">
        <f>'_Data'!L432</f>
        <v/>
      </c>
    </row>
    <row r="51">
      <c r="A51" s="14" t="inlineStr">
        <is>
          <t>2026 W16</t>
        </is>
      </c>
      <c r="B51" s="14" t="n">
        <v>16</v>
      </c>
      <c r="C51" s="14">
        <f>'_Data'!D433</f>
        <v/>
      </c>
      <c r="D51" s="14">
        <f>'_Data'!E433</f>
        <v/>
      </c>
      <c r="E51" s="14">
        <f>'_Data'!F433</f>
        <v/>
      </c>
      <c r="F51" s="15">
        <f>'_Data'!G433</f>
        <v/>
      </c>
      <c r="G51" s="15">
        <f>'_Data'!H433</f>
        <v/>
      </c>
      <c r="H51" s="15">
        <f>'_Data'!I433</f>
        <v/>
      </c>
      <c r="I51" s="18">
        <f>'_Data'!J433</f>
        <v/>
      </c>
      <c r="J51" s="17">
        <f>IF(AND(C51&gt;0,F51&gt;0),ABS(F51-C51)/C51,"")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'_Data'!K433</f>
        <v/>
      </c>
      <c r="N51" s="14">
        <f>'_Data'!L433</f>
        <v/>
      </c>
    </row>
    <row r="52">
      <c r="A52" s="14" t="inlineStr">
        <is>
          <t>2026 W17</t>
        </is>
      </c>
      <c r="B52" s="14" t="n">
        <v>17</v>
      </c>
      <c r="C52" s="14">
        <f>'_Data'!D434</f>
        <v/>
      </c>
      <c r="D52" s="14">
        <f>'_Data'!E434</f>
        <v/>
      </c>
      <c r="E52" s="14">
        <f>'_Data'!F434</f>
        <v/>
      </c>
      <c r="F52" s="15">
        <f>'_Data'!G434</f>
        <v/>
      </c>
      <c r="G52" s="15">
        <f>'_Data'!H434</f>
        <v/>
      </c>
      <c r="H52" s="15">
        <f>'_Data'!I434</f>
        <v/>
      </c>
      <c r="I52" s="18">
        <f>'_Data'!J434</f>
        <v/>
      </c>
      <c r="J52" s="17">
        <f>IF(AND(C52&gt;0,F52&gt;0),ABS(F52-C52)/C52,"")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'_Data'!K434</f>
        <v/>
      </c>
      <c r="N52" s="14">
        <f>'_Data'!L434</f>
        <v/>
      </c>
    </row>
    <row r="53">
      <c r="A53" s="14" t="inlineStr">
        <is>
          <t>2026 W18</t>
        </is>
      </c>
      <c r="B53" s="14" t="n">
        <v>18</v>
      </c>
      <c r="C53" s="14">
        <f>'_Data'!D435</f>
        <v/>
      </c>
      <c r="D53" s="14">
        <f>'_Data'!E435</f>
        <v/>
      </c>
      <c r="E53" s="14">
        <f>'_Data'!F435</f>
        <v/>
      </c>
      <c r="F53" s="15">
        <f>'_Data'!G435</f>
        <v/>
      </c>
      <c r="G53" s="15">
        <f>'_Data'!H435</f>
        <v/>
      </c>
      <c r="H53" s="15">
        <f>'_Data'!I435</f>
        <v/>
      </c>
      <c r="I53" s="18">
        <f>'_Data'!J435</f>
        <v/>
      </c>
      <c r="J53" s="17">
        <f>IF(AND(C53&gt;0,F53&gt;0),ABS(F53-C53)/C53,"")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'_Data'!K435</f>
        <v/>
      </c>
      <c r="N53" s="14">
        <f>'_Data'!L435</f>
        <v/>
      </c>
    </row>
    <row r="54">
      <c r="A54" s="14" t="inlineStr">
        <is>
          <t>2026 W19</t>
        </is>
      </c>
      <c r="B54" s="14" t="n">
        <v>19</v>
      </c>
      <c r="C54" s="14">
        <f>'_Data'!D436</f>
        <v/>
      </c>
      <c r="D54" s="14">
        <f>'_Data'!E436</f>
        <v/>
      </c>
      <c r="E54" s="14">
        <f>'_Data'!F436</f>
        <v/>
      </c>
      <c r="F54" s="15">
        <f>'_Data'!G436</f>
        <v/>
      </c>
      <c r="G54" s="15">
        <f>'_Data'!H436</f>
        <v/>
      </c>
      <c r="H54" s="15">
        <f>'_Data'!I436</f>
        <v/>
      </c>
      <c r="I54" s="18">
        <f>'_Data'!J436</f>
        <v/>
      </c>
      <c r="J54" s="17">
        <f>IF(AND(C54&gt;0,F54&gt;0),ABS(F54-C54)/C54,"")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'_Data'!K436</f>
        <v/>
      </c>
      <c r="N54" s="14">
        <f>'_Data'!L436</f>
        <v/>
      </c>
    </row>
    <row r="55">
      <c r="A55" s="14" t="inlineStr">
        <is>
          <t>2026 W20</t>
        </is>
      </c>
      <c r="B55" s="14" t="n">
        <v>20</v>
      </c>
      <c r="C55" s="14">
        <f>'_Data'!D437</f>
        <v/>
      </c>
      <c r="D55" s="14">
        <f>'_Data'!E437</f>
        <v/>
      </c>
      <c r="E55" s="14">
        <f>'_Data'!F437</f>
        <v/>
      </c>
      <c r="F55" s="15">
        <f>'_Data'!G437</f>
        <v/>
      </c>
      <c r="G55" s="15">
        <f>'_Data'!H437</f>
        <v/>
      </c>
      <c r="H55" s="15">
        <f>'_Data'!I437</f>
        <v/>
      </c>
      <c r="I55" s="18">
        <f>'_Data'!J437</f>
        <v/>
      </c>
      <c r="J55" s="17">
        <f>IF(AND(C55&gt;0,F55&gt;0),ABS(F55-C55)/C55,"")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'_Data'!K437</f>
        <v/>
      </c>
      <c r="N55" s="14">
        <f>'_Data'!L437</f>
        <v/>
      </c>
    </row>
    <row r="56">
      <c r="A56" s="14" t="inlineStr">
        <is>
          <t>2026 W21</t>
        </is>
      </c>
      <c r="B56" s="14" t="n">
        <v>21</v>
      </c>
      <c r="C56" s="14">
        <f>'_Data'!D438</f>
        <v/>
      </c>
      <c r="D56" s="14">
        <f>'_Data'!E438</f>
        <v/>
      </c>
      <c r="E56" s="14">
        <f>'_Data'!F438</f>
        <v/>
      </c>
      <c r="F56" s="15">
        <f>'_Data'!G438</f>
        <v/>
      </c>
      <c r="G56" s="15">
        <f>'_Data'!H438</f>
        <v/>
      </c>
      <c r="H56" s="15">
        <f>'_Data'!I438</f>
        <v/>
      </c>
      <c r="I56" s="18">
        <f>'_Data'!J438</f>
        <v/>
      </c>
      <c r="J56" s="17">
        <f>IF(AND(C56&gt;0,F56&gt;0),ABS(F56-C56)/C56,"")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'_Data'!K438</f>
        <v/>
      </c>
      <c r="N56" s="14">
        <f>'_Data'!L438</f>
        <v/>
      </c>
    </row>
    <row r="57">
      <c r="A57" s="14" t="inlineStr">
        <is>
          <t>2026 W22</t>
        </is>
      </c>
      <c r="B57" s="14" t="n">
        <v>22</v>
      </c>
      <c r="C57" s="14">
        <f>'_Data'!D439</f>
        <v/>
      </c>
      <c r="D57" s="14">
        <f>'_Data'!E439</f>
        <v/>
      </c>
      <c r="E57" s="14">
        <f>'_Data'!F439</f>
        <v/>
      </c>
      <c r="F57" s="15">
        <f>'_Data'!G439</f>
        <v/>
      </c>
      <c r="G57" s="15">
        <f>'_Data'!H439</f>
        <v/>
      </c>
      <c r="H57" s="15">
        <f>'_Data'!I439</f>
        <v/>
      </c>
      <c r="I57" s="18">
        <f>'_Data'!J439</f>
        <v/>
      </c>
      <c r="J57" s="17">
        <f>IF(AND(C57&gt;0,F57&gt;0),ABS(F57-C57)/C57,"")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'_Data'!K439</f>
        <v/>
      </c>
      <c r="N57" s="14">
        <f>'_Data'!L439</f>
        <v/>
      </c>
    </row>
    <row r="58">
      <c r="A58" s="14" t="inlineStr">
        <is>
          <t>2026 W23</t>
        </is>
      </c>
      <c r="B58" s="14" t="n">
        <v>23</v>
      </c>
      <c r="C58" s="14">
        <f>'_Data'!D440</f>
        <v/>
      </c>
      <c r="D58" s="14">
        <f>'_Data'!E440</f>
        <v/>
      </c>
      <c r="E58" s="14">
        <f>'_Data'!F440</f>
        <v/>
      </c>
      <c r="F58" s="15">
        <f>'_Data'!G440</f>
        <v/>
      </c>
      <c r="G58" s="15">
        <f>'_Data'!H440</f>
        <v/>
      </c>
      <c r="H58" s="15">
        <f>'_Data'!I440</f>
        <v/>
      </c>
      <c r="I58" s="18">
        <f>'_Data'!J440</f>
        <v/>
      </c>
      <c r="J58" s="17">
        <f>IF(AND(C58&gt;0,F58&gt;0),ABS(F58-C58)/C58,"")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'_Data'!K440</f>
        <v/>
      </c>
      <c r="N58" s="14">
        <f>'_Data'!L440</f>
        <v/>
      </c>
    </row>
    <row r="59">
      <c r="A59" s="14" t="inlineStr">
        <is>
          <t>2026 W24</t>
        </is>
      </c>
      <c r="B59" s="14" t="n">
        <v>24</v>
      </c>
      <c r="C59" s="14">
        <f>'_Data'!D441</f>
        <v/>
      </c>
      <c r="D59" s="14">
        <f>'_Data'!E441</f>
        <v/>
      </c>
      <c r="E59" s="14">
        <f>'_Data'!F441</f>
        <v/>
      </c>
      <c r="F59" s="15">
        <f>'_Data'!G441</f>
        <v/>
      </c>
      <c r="G59" s="15">
        <f>'_Data'!H441</f>
        <v/>
      </c>
      <c r="H59" s="15">
        <f>'_Data'!I441</f>
        <v/>
      </c>
      <c r="I59" s="18">
        <f>'_Data'!J441</f>
        <v/>
      </c>
      <c r="J59" s="17">
        <f>IF(AND(C59&gt;0,F59&gt;0),ABS(F59-C59)/C59,"")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'_Data'!K441</f>
        <v/>
      </c>
      <c r="N59" s="14">
        <f>'_Data'!L441</f>
        <v/>
      </c>
    </row>
    <row r="60">
      <c r="A60" s="14" t="inlineStr">
        <is>
          <t>2026 W25</t>
        </is>
      </c>
      <c r="B60" s="14" t="n">
        <v>25</v>
      </c>
      <c r="C60" s="14">
        <f>'_Data'!D442</f>
        <v/>
      </c>
      <c r="D60" s="14">
        <f>'_Data'!E442</f>
        <v/>
      </c>
      <c r="E60" s="14">
        <f>'_Data'!F442</f>
        <v/>
      </c>
      <c r="F60" s="15">
        <f>'_Data'!G442</f>
        <v/>
      </c>
      <c r="G60" s="15">
        <f>'_Data'!H442</f>
        <v/>
      </c>
      <c r="H60" s="15">
        <f>'_Data'!I442</f>
        <v/>
      </c>
      <c r="I60" s="18">
        <f>'_Data'!J442</f>
        <v/>
      </c>
      <c r="J60" s="17">
        <f>IF(AND(C60&gt;0,F60&gt;0),ABS(F60-C60)/C60,"")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'_Data'!K442</f>
        <v/>
      </c>
      <c r="N60" s="14">
        <f>'_Data'!L442</f>
        <v/>
      </c>
    </row>
    <row r="61">
      <c r="A61" s="14" t="inlineStr">
        <is>
          <t>2026 W26</t>
        </is>
      </c>
      <c r="B61" s="14" t="n">
        <v>26</v>
      </c>
      <c r="C61" s="14">
        <f>'_Data'!D443</f>
        <v/>
      </c>
      <c r="D61" s="14">
        <f>'_Data'!E443</f>
        <v/>
      </c>
      <c r="E61" s="14">
        <f>'_Data'!F443</f>
        <v/>
      </c>
      <c r="F61" s="15">
        <f>'_Data'!G443</f>
        <v/>
      </c>
      <c r="G61" s="15">
        <f>'_Data'!H443</f>
        <v/>
      </c>
      <c r="H61" s="15">
        <f>'_Data'!I443</f>
        <v/>
      </c>
      <c r="I61" s="18">
        <f>'_Data'!J443</f>
        <v/>
      </c>
      <c r="J61" s="17">
        <f>IF(AND(C61&gt;0,F61&gt;0),ABS(F61-C61)/C61,"")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'_Data'!K443</f>
        <v/>
      </c>
      <c r="N61" s="14">
        <f>'_Data'!L443</f>
        <v/>
      </c>
    </row>
    <row r="62">
      <c r="A62" s="14" t="inlineStr">
        <is>
          <t>2026 W27</t>
        </is>
      </c>
      <c r="B62" s="14" t="n">
        <v>27</v>
      </c>
      <c r="C62" s="14">
        <f>'_Data'!D444</f>
        <v/>
      </c>
      <c r="D62" s="14">
        <f>'_Data'!E444</f>
        <v/>
      </c>
      <c r="E62" s="14">
        <f>'_Data'!F444</f>
        <v/>
      </c>
      <c r="F62" s="15">
        <f>'_Data'!G444</f>
        <v/>
      </c>
      <c r="G62" s="15">
        <f>'_Data'!H444</f>
        <v/>
      </c>
      <c r="H62" s="15">
        <f>'_Data'!I444</f>
        <v/>
      </c>
      <c r="I62" s="18">
        <f>'_Data'!J444</f>
        <v/>
      </c>
      <c r="J62" s="17">
        <f>IF(AND(C62&gt;0,F62&gt;0),ABS(F62-C62)/C62,"")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'_Data'!K444</f>
        <v/>
      </c>
      <c r="N62" s="14">
        <f>'_Data'!L444</f>
        <v/>
      </c>
    </row>
    <row r="63">
      <c r="A63" s="14" t="inlineStr">
        <is>
          <t>2026 W28</t>
        </is>
      </c>
      <c r="B63" s="14" t="n">
        <v>28</v>
      </c>
      <c r="C63" s="14">
        <f>'_Data'!D445</f>
        <v/>
      </c>
      <c r="D63" s="14">
        <f>'_Data'!E445</f>
        <v/>
      </c>
      <c r="E63" s="14">
        <f>'_Data'!F445</f>
        <v/>
      </c>
      <c r="F63" s="15">
        <f>'_Data'!G445</f>
        <v/>
      </c>
      <c r="G63" s="15">
        <f>'_Data'!H445</f>
        <v/>
      </c>
      <c r="H63" s="15">
        <f>'_Data'!I445</f>
        <v/>
      </c>
      <c r="I63" s="18">
        <f>'_Data'!J445</f>
        <v/>
      </c>
      <c r="J63" s="17">
        <f>IF(AND(C63&gt;0,F63&gt;0),ABS(F63-C63)/C63,"")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'_Data'!K445</f>
        <v/>
      </c>
      <c r="N63" s="14">
        <f>'_Data'!L445</f>
        <v/>
      </c>
    </row>
    <row r="64">
      <c r="A64" s="14" t="inlineStr">
        <is>
          <t>2026 W29</t>
        </is>
      </c>
      <c r="B64" s="14" t="n">
        <v>29</v>
      </c>
      <c r="C64" s="14">
        <f>'_Data'!D446</f>
        <v/>
      </c>
      <c r="D64" s="14">
        <f>'_Data'!E446</f>
        <v/>
      </c>
      <c r="E64" s="14">
        <f>'_Data'!F446</f>
        <v/>
      </c>
      <c r="F64" s="15">
        <f>'_Data'!G446</f>
        <v/>
      </c>
      <c r="G64" s="15">
        <f>'_Data'!H446</f>
        <v/>
      </c>
      <c r="H64" s="15">
        <f>'_Data'!I446</f>
        <v/>
      </c>
      <c r="I64" s="18">
        <f>'_Data'!J446</f>
        <v/>
      </c>
      <c r="J64" s="17">
        <f>IF(AND(C64&gt;0,F64&gt;0),ABS(F64-C64)/C64,"")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'_Data'!K446</f>
        <v/>
      </c>
      <c r="N64" s="14">
        <f>'_Data'!L446</f>
        <v/>
      </c>
    </row>
    <row r="65">
      <c r="A65" s="14" t="inlineStr">
        <is>
          <t>2026 W30</t>
        </is>
      </c>
      <c r="B65" s="14" t="n">
        <v>30</v>
      </c>
      <c r="C65" s="14">
        <f>'_Data'!D447</f>
        <v/>
      </c>
      <c r="D65" s="14">
        <f>'_Data'!E447</f>
        <v/>
      </c>
      <c r="E65" s="14">
        <f>'_Data'!F447</f>
        <v/>
      </c>
      <c r="F65" s="15">
        <f>'_Data'!G447</f>
        <v/>
      </c>
      <c r="G65" s="15">
        <f>'_Data'!H447</f>
        <v/>
      </c>
      <c r="H65" s="15">
        <f>'_Data'!I447</f>
        <v/>
      </c>
      <c r="I65" s="18">
        <f>'_Data'!J447</f>
        <v/>
      </c>
      <c r="J65" s="17">
        <f>IF(AND(C65&gt;0,F65&gt;0),ABS(F65-C65)/C65,"")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'_Data'!K447</f>
        <v/>
      </c>
      <c r="N65" s="14">
        <f>'_Data'!L447</f>
        <v/>
      </c>
    </row>
    <row r="66">
      <c r="A66" s="14" t="inlineStr">
        <is>
          <t>2026 W31</t>
        </is>
      </c>
      <c r="B66" s="14" t="n">
        <v>31</v>
      </c>
      <c r="C66" s="14">
        <f>'_Data'!D448</f>
        <v/>
      </c>
      <c r="D66" s="14">
        <f>'_Data'!E448</f>
        <v/>
      </c>
      <c r="E66" s="14">
        <f>'_Data'!F448</f>
        <v/>
      </c>
      <c r="F66" s="15">
        <f>'_Data'!G448</f>
        <v/>
      </c>
      <c r="G66" s="15">
        <f>'_Data'!H448</f>
        <v/>
      </c>
      <c r="H66" s="15">
        <f>'_Data'!I448</f>
        <v/>
      </c>
      <c r="I66" s="18">
        <f>'_Data'!J448</f>
        <v/>
      </c>
      <c r="J66" s="17">
        <f>IF(AND(C66&gt;0,F66&gt;0),ABS(F66-C66)/C66,"")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'_Data'!K448</f>
        <v/>
      </c>
      <c r="N66" s="14">
        <f>'_Data'!L448</f>
        <v/>
      </c>
    </row>
    <row r="67">
      <c r="A67" s="14" t="inlineStr">
        <is>
          <t>2026 W32</t>
        </is>
      </c>
      <c r="B67" s="14" t="n">
        <v>32</v>
      </c>
      <c r="C67" s="14">
        <f>'_Data'!D449</f>
        <v/>
      </c>
      <c r="D67" s="14">
        <f>'_Data'!E449</f>
        <v/>
      </c>
      <c r="E67" s="14">
        <f>'_Data'!F449</f>
        <v/>
      </c>
      <c r="F67" s="15">
        <f>'_Data'!G449</f>
        <v/>
      </c>
      <c r="G67" s="15">
        <f>'_Data'!H449</f>
        <v/>
      </c>
      <c r="H67" s="15">
        <f>'_Data'!I449</f>
        <v/>
      </c>
      <c r="I67" s="18">
        <f>'_Data'!J449</f>
        <v/>
      </c>
      <c r="J67" s="17">
        <f>IF(AND(C67&gt;0,F67&gt;0),ABS(F67-C67)/C67,"")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'_Data'!K449</f>
        <v/>
      </c>
      <c r="N67" s="14">
        <f>'_Data'!L449</f>
        <v/>
      </c>
    </row>
    <row r="68">
      <c r="A68" s="14" t="inlineStr">
        <is>
          <t>2026 W33</t>
        </is>
      </c>
      <c r="B68" s="14" t="n">
        <v>33</v>
      </c>
      <c r="C68" s="14">
        <f>'_Data'!D450</f>
        <v/>
      </c>
      <c r="D68" s="14">
        <f>'_Data'!E450</f>
        <v/>
      </c>
      <c r="E68" s="14">
        <f>'_Data'!F450</f>
        <v/>
      </c>
      <c r="F68" s="15">
        <f>'_Data'!G450</f>
        <v/>
      </c>
      <c r="G68" s="15">
        <f>'_Data'!H450</f>
        <v/>
      </c>
      <c r="H68" s="15">
        <f>'_Data'!I450</f>
        <v/>
      </c>
      <c r="I68" s="18">
        <f>'_Data'!J450</f>
        <v/>
      </c>
      <c r="J68" s="17">
        <f>IF(AND(C68&gt;0,F68&gt;0),ABS(F68-C68)/C68,"")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'_Data'!K450</f>
        <v/>
      </c>
      <c r="N68" s="14">
        <f>'_Data'!L450</f>
        <v/>
      </c>
    </row>
    <row r="69">
      <c r="A69" s="14" t="inlineStr">
        <is>
          <t>2026 W34</t>
        </is>
      </c>
      <c r="B69" s="14" t="n">
        <v>34</v>
      </c>
      <c r="C69" s="14">
        <f>'_Data'!D451</f>
        <v/>
      </c>
      <c r="D69" s="14">
        <f>'_Data'!E451</f>
        <v/>
      </c>
      <c r="E69" s="14">
        <f>'_Data'!F451</f>
        <v/>
      </c>
      <c r="F69" s="15">
        <f>'_Data'!G451</f>
        <v/>
      </c>
      <c r="G69" s="15">
        <f>'_Data'!H451</f>
        <v/>
      </c>
      <c r="H69" s="15">
        <f>'_Data'!I451</f>
        <v/>
      </c>
      <c r="I69" s="18">
        <f>'_Data'!J451</f>
        <v/>
      </c>
      <c r="J69" s="17">
        <f>IF(AND(C69&gt;0,F69&gt;0),ABS(F69-C69)/C69,"")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'_Data'!K451</f>
        <v/>
      </c>
      <c r="N69" s="14">
        <f>'_Data'!L451</f>
        <v/>
      </c>
    </row>
    <row r="70">
      <c r="A70" s="14" t="inlineStr">
        <is>
          <t>2026 W35</t>
        </is>
      </c>
      <c r="B70" s="14" t="n">
        <v>35</v>
      </c>
      <c r="C70" s="14">
        <f>'_Data'!D452</f>
        <v/>
      </c>
      <c r="D70" s="14">
        <f>'_Data'!E452</f>
        <v/>
      </c>
      <c r="E70" s="14">
        <f>'_Data'!F452</f>
        <v/>
      </c>
      <c r="F70" s="15">
        <f>'_Data'!G452</f>
        <v/>
      </c>
      <c r="G70" s="15">
        <f>'_Data'!H452</f>
        <v/>
      </c>
      <c r="H70" s="15">
        <f>'_Data'!I452</f>
        <v/>
      </c>
      <c r="I70" s="18">
        <f>'_Data'!J452</f>
        <v/>
      </c>
      <c r="J70" s="17">
        <f>IF(AND(C70&gt;0,F70&gt;0),ABS(F70-C70)/C70,"")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'_Data'!K452</f>
        <v/>
      </c>
      <c r="N70" s="14">
        <f>'_Data'!L452</f>
        <v/>
      </c>
    </row>
    <row r="71">
      <c r="A71" s="14" t="inlineStr">
        <is>
          <t>2026 W36</t>
        </is>
      </c>
      <c r="B71" s="14" t="n">
        <v>36</v>
      </c>
      <c r="C71" s="14">
        <f>'_Data'!D453</f>
        <v/>
      </c>
      <c r="D71" s="14">
        <f>'_Data'!E453</f>
        <v/>
      </c>
      <c r="E71" s="14">
        <f>'_Data'!F453</f>
        <v/>
      </c>
      <c r="F71" s="15">
        <f>'_Data'!G453</f>
        <v/>
      </c>
      <c r="G71" s="15">
        <f>'_Data'!H453</f>
        <v/>
      </c>
      <c r="H71" s="15">
        <f>'_Data'!I453</f>
        <v/>
      </c>
      <c r="I71" s="18">
        <f>'_Data'!J453</f>
        <v/>
      </c>
      <c r="J71" s="17">
        <f>IF(AND(C71&gt;0,F71&gt;0),ABS(F71-C71)/C71,"")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'_Data'!K453</f>
        <v/>
      </c>
      <c r="N71" s="14">
        <f>'_Data'!L453</f>
        <v/>
      </c>
    </row>
    <row r="72">
      <c r="A72" s="14" t="inlineStr">
        <is>
          <t>2026 W37</t>
        </is>
      </c>
      <c r="B72" s="14" t="n">
        <v>37</v>
      </c>
      <c r="C72" s="14">
        <f>'_Data'!D454</f>
        <v/>
      </c>
      <c r="D72" s="14">
        <f>'_Data'!E454</f>
        <v/>
      </c>
      <c r="E72" s="14">
        <f>'_Data'!F454</f>
        <v/>
      </c>
      <c r="F72" s="15">
        <f>'_Data'!G454</f>
        <v/>
      </c>
      <c r="G72" s="15">
        <f>'_Data'!H454</f>
        <v/>
      </c>
      <c r="H72" s="15">
        <f>'_Data'!I454</f>
        <v/>
      </c>
      <c r="I72" s="18">
        <f>'_Data'!J454</f>
        <v/>
      </c>
      <c r="J72" s="17">
        <f>IF(AND(C72&gt;0,F72&gt;0),ABS(F72-C72)/C72,"")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'_Data'!K454</f>
        <v/>
      </c>
      <c r="N72" s="14">
        <f>'_Data'!L454</f>
        <v/>
      </c>
    </row>
    <row r="73">
      <c r="A73" s="14" t="inlineStr">
        <is>
          <t>2026 W38</t>
        </is>
      </c>
      <c r="B73" s="14" t="n">
        <v>38</v>
      </c>
      <c r="C73" s="14">
        <f>'_Data'!D455</f>
        <v/>
      </c>
      <c r="D73" s="14">
        <f>'_Data'!E455</f>
        <v/>
      </c>
      <c r="E73" s="14">
        <f>'_Data'!F455</f>
        <v/>
      </c>
      <c r="F73" s="15">
        <f>'_Data'!G455</f>
        <v/>
      </c>
      <c r="G73" s="15">
        <f>'_Data'!H455</f>
        <v/>
      </c>
      <c r="H73" s="15">
        <f>'_Data'!I455</f>
        <v/>
      </c>
      <c r="I73" s="18">
        <f>'_Data'!J455</f>
        <v/>
      </c>
      <c r="J73" s="17">
        <f>IF(AND(C73&gt;0,F73&gt;0),ABS(F73-C73)/C73,"")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'_Data'!K455</f>
        <v/>
      </c>
      <c r="N73" s="14">
        <f>'_Data'!L455</f>
        <v/>
      </c>
    </row>
    <row r="74">
      <c r="A74" s="14" t="inlineStr">
        <is>
          <t>2026 W39</t>
        </is>
      </c>
      <c r="B74" s="14" t="n">
        <v>39</v>
      </c>
      <c r="C74" s="14">
        <f>'_Data'!D456</f>
        <v/>
      </c>
      <c r="D74" s="14">
        <f>'_Data'!E456</f>
        <v/>
      </c>
      <c r="E74" s="14">
        <f>'_Data'!F456</f>
        <v/>
      </c>
      <c r="F74" s="15">
        <f>'_Data'!G456</f>
        <v/>
      </c>
      <c r="G74" s="15">
        <f>'_Data'!H456</f>
        <v/>
      </c>
      <c r="H74" s="15">
        <f>'_Data'!I456</f>
        <v/>
      </c>
      <c r="I74" s="18">
        <f>'_Data'!J456</f>
        <v/>
      </c>
      <c r="J74" s="17">
        <f>IF(AND(C74&gt;0,F74&gt;0),ABS(F74-C74)/C74,"")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'_Data'!K456</f>
        <v/>
      </c>
      <c r="N74" s="14">
        <f>'_Data'!L456</f>
        <v/>
      </c>
    </row>
    <row r="75">
      <c r="A75" s="14" t="inlineStr">
        <is>
          <t>2026 W40</t>
        </is>
      </c>
      <c r="B75" s="14" t="n">
        <v>40</v>
      </c>
      <c r="C75" s="14">
        <f>'_Data'!D457</f>
        <v/>
      </c>
      <c r="D75" s="14">
        <f>'_Data'!E457</f>
        <v/>
      </c>
      <c r="E75" s="14">
        <f>'_Data'!F457</f>
        <v/>
      </c>
      <c r="F75" s="15">
        <f>'_Data'!G457</f>
        <v/>
      </c>
      <c r="G75" s="15">
        <f>'_Data'!H457</f>
        <v/>
      </c>
      <c r="H75" s="15">
        <f>'_Data'!I457</f>
        <v/>
      </c>
      <c r="I75" s="18">
        <f>'_Data'!J457</f>
        <v/>
      </c>
      <c r="J75" s="17">
        <f>IF(AND(C75&gt;0,F75&gt;0),ABS(F75-C75)/C75,"")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'_Data'!K457</f>
        <v/>
      </c>
      <c r="N75" s="14">
        <f>'_Data'!L457</f>
        <v/>
      </c>
    </row>
    <row r="76">
      <c r="A76" s="14" t="inlineStr">
        <is>
          <t>2026 W41</t>
        </is>
      </c>
      <c r="B76" s="14" t="n">
        <v>41</v>
      </c>
      <c r="C76" s="14">
        <f>'_Data'!D458</f>
        <v/>
      </c>
      <c r="D76" s="14">
        <f>'_Data'!E458</f>
        <v/>
      </c>
      <c r="E76" s="14">
        <f>'_Data'!F458</f>
        <v/>
      </c>
      <c r="F76" s="15">
        <f>'_Data'!G458</f>
        <v/>
      </c>
      <c r="G76" s="15">
        <f>'_Data'!H458</f>
        <v/>
      </c>
      <c r="H76" s="15">
        <f>'_Data'!I458</f>
        <v/>
      </c>
      <c r="I76" s="18">
        <f>'_Data'!J458</f>
        <v/>
      </c>
      <c r="J76" s="17">
        <f>IF(AND(C76&gt;0,F76&gt;0),ABS(F76-C76)/C76,"")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'_Data'!K458</f>
        <v/>
      </c>
      <c r="N76" s="14">
        <f>'_Data'!L458</f>
        <v/>
      </c>
    </row>
    <row r="77">
      <c r="A77" s="14" t="inlineStr">
        <is>
          <t>2026 W42</t>
        </is>
      </c>
      <c r="B77" s="14" t="n">
        <v>42</v>
      </c>
      <c r="C77" s="14">
        <f>'_Data'!D459</f>
        <v/>
      </c>
      <c r="D77" s="14">
        <f>'_Data'!E459</f>
        <v/>
      </c>
      <c r="E77" s="14">
        <f>'_Data'!F459</f>
        <v/>
      </c>
      <c r="F77" s="15">
        <f>'_Data'!G459</f>
        <v/>
      </c>
      <c r="G77" s="15">
        <f>'_Data'!H459</f>
        <v/>
      </c>
      <c r="H77" s="15">
        <f>'_Data'!I459</f>
        <v/>
      </c>
      <c r="I77" s="18">
        <f>'_Data'!J459</f>
        <v/>
      </c>
      <c r="J77" s="17">
        <f>IF(AND(C77&gt;0,F77&gt;0),ABS(F77-C77)/C77,"")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'_Data'!K459</f>
        <v/>
      </c>
      <c r="N77" s="14">
        <f>'_Data'!L459</f>
        <v/>
      </c>
    </row>
    <row r="78">
      <c r="A78" s="14" t="inlineStr">
        <is>
          <t>2026 W43</t>
        </is>
      </c>
      <c r="B78" s="14" t="n">
        <v>43</v>
      </c>
      <c r="C78" s="14">
        <f>'_Data'!D460</f>
        <v/>
      </c>
      <c r="D78" s="14">
        <f>'_Data'!E460</f>
        <v/>
      </c>
      <c r="E78" s="14">
        <f>'_Data'!F460</f>
        <v/>
      </c>
      <c r="F78" s="15">
        <f>'_Data'!G460</f>
        <v/>
      </c>
      <c r="G78" s="15">
        <f>'_Data'!H460</f>
        <v/>
      </c>
      <c r="H78" s="15">
        <f>'_Data'!I460</f>
        <v/>
      </c>
      <c r="I78" s="18">
        <f>'_Data'!J460</f>
        <v/>
      </c>
      <c r="J78" s="17">
        <f>IF(AND(C78&gt;0,F78&gt;0),ABS(F78-C78)/C78,"")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'_Data'!K460</f>
        <v/>
      </c>
      <c r="N78" s="14">
        <f>'_Data'!L460</f>
        <v/>
      </c>
    </row>
    <row r="79">
      <c r="A79" s="14" t="inlineStr">
        <is>
          <t>2026 W44</t>
        </is>
      </c>
      <c r="B79" s="14" t="n">
        <v>44</v>
      </c>
      <c r="C79" s="14">
        <f>'_Data'!D461</f>
        <v/>
      </c>
      <c r="D79" s="14">
        <f>'_Data'!E461</f>
        <v/>
      </c>
      <c r="E79" s="14">
        <f>'_Data'!F461</f>
        <v/>
      </c>
      <c r="F79" s="15">
        <f>'_Data'!G461</f>
        <v/>
      </c>
      <c r="G79" s="15">
        <f>'_Data'!H461</f>
        <v/>
      </c>
      <c r="H79" s="15">
        <f>'_Data'!I461</f>
        <v/>
      </c>
      <c r="I79" s="18">
        <f>'_Data'!J461</f>
        <v/>
      </c>
      <c r="J79" s="17">
        <f>IF(AND(C79&gt;0,F79&gt;0),ABS(F79-C79)/C79,"")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'_Data'!K461</f>
        <v/>
      </c>
      <c r="N79" s="14">
        <f>'_Data'!L461</f>
        <v/>
      </c>
    </row>
    <row r="80">
      <c r="A80" s="14" t="inlineStr">
        <is>
          <t>2026 W45</t>
        </is>
      </c>
      <c r="B80" s="14" t="n">
        <v>45</v>
      </c>
      <c r="C80" s="14">
        <f>'_Data'!D462</f>
        <v/>
      </c>
      <c r="D80" s="14">
        <f>'_Data'!E462</f>
        <v/>
      </c>
      <c r="E80" s="14">
        <f>'_Data'!F462</f>
        <v/>
      </c>
      <c r="F80" s="15">
        <f>'_Data'!G462</f>
        <v/>
      </c>
      <c r="G80" s="15">
        <f>'_Data'!H462</f>
        <v/>
      </c>
      <c r="H80" s="15">
        <f>'_Data'!I462</f>
        <v/>
      </c>
      <c r="I80" s="18">
        <f>'_Data'!J462</f>
        <v/>
      </c>
      <c r="J80" s="17">
        <f>IF(AND(C80&gt;0,F80&gt;0),ABS(F80-C80)/C80,"")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'_Data'!K462</f>
        <v/>
      </c>
      <c r="N80" s="14">
        <f>'_Data'!L462</f>
        <v/>
      </c>
    </row>
    <row r="81">
      <c r="A81" s="14" t="inlineStr">
        <is>
          <t>2026 W46</t>
        </is>
      </c>
      <c r="B81" s="14" t="n">
        <v>46</v>
      </c>
      <c r="C81" s="14">
        <f>'_Data'!D463</f>
        <v/>
      </c>
      <c r="D81" s="14">
        <f>'_Data'!E463</f>
        <v/>
      </c>
      <c r="E81" s="14">
        <f>'_Data'!F463</f>
        <v/>
      </c>
      <c r="F81" s="15">
        <f>'_Data'!G463</f>
        <v/>
      </c>
      <c r="G81" s="15">
        <f>'_Data'!H463</f>
        <v/>
      </c>
      <c r="H81" s="15">
        <f>'_Data'!I463</f>
        <v/>
      </c>
      <c r="I81" s="18">
        <f>'_Data'!J463</f>
        <v/>
      </c>
      <c r="J81" s="17">
        <f>IF(AND(C81&gt;0,F81&gt;0),ABS(F81-C81)/C81,"")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'_Data'!K463</f>
        <v/>
      </c>
      <c r="N81" s="14">
        <f>'_Data'!L463</f>
        <v/>
      </c>
    </row>
    <row r="82">
      <c r="A82" s="14" t="inlineStr">
        <is>
          <t>2026 W47</t>
        </is>
      </c>
      <c r="B82" s="14" t="n">
        <v>47</v>
      </c>
      <c r="C82" s="14">
        <f>'_Data'!D464</f>
        <v/>
      </c>
      <c r="D82" s="14">
        <f>'_Data'!E464</f>
        <v/>
      </c>
      <c r="E82" s="14">
        <f>'_Data'!F464</f>
        <v/>
      </c>
      <c r="F82" s="15">
        <f>'_Data'!G464</f>
        <v/>
      </c>
      <c r="G82" s="15">
        <f>'_Data'!H464</f>
        <v/>
      </c>
      <c r="H82" s="15">
        <f>'_Data'!I464</f>
        <v/>
      </c>
      <c r="I82" s="18">
        <f>'_Data'!J464</f>
        <v/>
      </c>
      <c r="J82" s="17">
        <f>IF(AND(C82&gt;0,F82&gt;0),ABS(F82-C82)/C82,"")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'_Data'!K464</f>
        <v/>
      </c>
      <c r="N82" s="14">
        <f>'_Data'!L464</f>
        <v/>
      </c>
    </row>
    <row r="83">
      <c r="A83" s="14" t="inlineStr">
        <is>
          <t>2026 W48</t>
        </is>
      </c>
      <c r="B83" s="14" t="n">
        <v>48</v>
      </c>
      <c r="C83" s="14">
        <f>'_Data'!D465</f>
        <v/>
      </c>
      <c r="D83" s="14">
        <f>'_Data'!E465</f>
        <v/>
      </c>
      <c r="E83" s="14">
        <f>'_Data'!F465</f>
        <v/>
      </c>
      <c r="F83" s="15">
        <f>'_Data'!G465</f>
        <v/>
      </c>
      <c r="G83" s="15">
        <f>'_Data'!H465</f>
        <v/>
      </c>
      <c r="H83" s="15">
        <f>'_Data'!I465</f>
        <v/>
      </c>
      <c r="I83" s="18">
        <f>'_Data'!J465</f>
        <v/>
      </c>
      <c r="J83" s="17">
        <f>IF(AND(C83&gt;0,F83&gt;0),ABS(F83-C83)/C83,"")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'_Data'!K465</f>
        <v/>
      </c>
      <c r="N83" s="14">
        <f>'_Data'!L465</f>
        <v/>
      </c>
    </row>
    <row r="84">
      <c r="A84" s="14" t="inlineStr">
        <is>
          <t>2026 W49</t>
        </is>
      </c>
      <c r="B84" s="14" t="n">
        <v>49</v>
      </c>
      <c r="C84" s="14">
        <f>'_Data'!D466</f>
        <v/>
      </c>
      <c r="D84" s="14">
        <f>'_Data'!E466</f>
        <v/>
      </c>
      <c r="E84" s="14">
        <f>'_Data'!F466</f>
        <v/>
      </c>
      <c r="F84" s="15">
        <f>'_Data'!G466</f>
        <v/>
      </c>
      <c r="G84" s="15">
        <f>'_Data'!H466</f>
        <v/>
      </c>
      <c r="H84" s="15">
        <f>'_Data'!I466</f>
        <v/>
      </c>
      <c r="I84" s="18">
        <f>'_Data'!J466</f>
        <v/>
      </c>
      <c r="J84" s="17">
        <f>IF(AND(C84&gt;0,F84&gt;0),ABS(F84-C84)/C84,"")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'_Data'!K466</f>
        <v/>
      </c>
      <c r="N84" s="14">
        <f>'_Data'!L466</f>
        <v/>
      </c>
    </row>
    <row r="85">
      <c r="A85" s="14" t="inlineStr">
        <is>
          <t>2026 W50</t>
        </is>
      </c>
      <c r="B85" s="14" t="n">
        <v>50</v>
      </c>
      <c r="C85" s="14">
        <f>'_Data'!D467</f>
        <v/>
      </c>
      <c r="D85" s="14">
        <f>'_Data'!E467</f>
        <v/>
      </c>
      <c r="E85" s="14">
        <f>'_Data'!F467</f>
        <v/>
      </c>
      <c r="F85" s="15">
        <f>'_Data'!G467</f>
        <v/>
      </c>
      <c r="G85" s="15">
        <f>'_Data'!H467</f>
        <v/>
      </c>
      <c r="H85" s="15">
        <f>'_Data'!I467</f>
        <v/>
      </c>
      <c r="I85" s="18">
        <f>'_Data'!J467</f>
        <v/>
      </c>
      <c r="J85" s="17">
        <f>IF(AND(C85&gt;0,F85&gt;0),ABS(F85-C85)/C85,"")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'_Data'!K467</f>
        <v/>
      </c>
      <c r="N85" s="14">
        <f>'_Data'!L467</f>
        <v/>
      </c>
    </row>
    <row r="86">
      <c r="A86" s="14" t="inlineStr">
        <is>
          <t>2026 W51</t>
        </is>
      </c>
      <c r="B86" s="14" t="n">
        <v>51</v>
      </c>
      <c r="C86" s="14">
        <f>'_Data'!D468</f>
        <v/>
      </c>
      <c r="D86" s="14">
        <f>'_Data'!E468</f>
        <v/>
      </c>
      <c r="E86" s="14">
        <f>'_Data'!F468</f>
        <v/>
      </c>
      <c r="F86" s="15">
        <f>'_Data'!G468</f>
        <v/>
      </c>
      <c r="G86" s="15">
        <f>'_Data'!H468</f>
        <v/>
      </c>
      <c r="H86" s="15">
        <f>'_Data'!I468</f>
        <v/>
      </c>
      <c r="I86" s="18">
        <f>'_Data'!J468</f>
        <v/>
      </c>
      <c r="J86" s="17">
        <f>IF(AND(C86&gt;0,F86&gt;0),ABS(F86-C86)/C86,"")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'_Data'!K468</f>
        <v/>
      </c>
      <c r="N86" s="14">
        <f>'_Data'!L468</f>
        <v/>
      </c>
    </row>
    <row r="87">
      <c r="A87" s="14" t="inlineStr">
        <is>
          <t>2026 W52</t>
        </is>
      </c>
      <c r="B87" s="14" t="n">
        <v>52</v>
      </c>
      <c r="C87" s="14">
        <f>'_Data'!D469</f>
        <v/>
      </c>
      <c r="D87" s="14">
        <f>'_Data'!E469</f>
        <v/>
      </c>
      <c r="E87" s="14">
        <f>'_Data'!F469</f>
        <v/>
      </c>
      <c r="F87" s="15">
        <f>'_Data'!G469</f>
        <v/>
      </c>
      <c r="G87" s="15">
        <f>'_Data'!H469</f>
        <v/>
      </c>
      <c r="H87" s="15">
        <f>'_Data'!I469</f>
        <v/>
      </c>
      <c r="I87" s="18">
        <f>'_Data'!J469</f>
        <v/>
      </c>
      <c r="J87" s="17">
        <f>IF(AND(C87&gt;0,F87&gt;0),ABS(F87-C87)/C87,"")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'_Data'!K469</f>
        <v/>
      </c>
      <c r="N87" s="14">
        <f>'_Data'!L469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D35400"/>
      </dataBar>
    </cfRule>
  </conditionalFormatting>
  <conditionalFormatting sqref="J36:J87">
    <cfRule type="colorScale" priority="2">
      <colorScale>
        <cfvo type="num" val="0"/>
        <cfvo type="num" val="0.1"/>
        <cfvo type="num" val="0.3"/>
        <color rgb="FF27AE60"/>
        <color rgb="FFFFFFFF"/>
        <color rgb="FFE74C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6A085"/>
    <outlinePr summaryBelow="1" summaryRight="1"/>
    <pageSetUpPr/>
  </sheetPr>
  <dimension ref="A1:N87"/>
  <sheetViews>
    <sheetView showGridLines="0" topLeftCell="A14" workbookViewId="0">
      <selection activeCell="L20" sqref="L20"/>
    </sheetView>
  </sheetViews>
  <sheetFormatPr baseColWidth="8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10" customWidth="1" style="30" min="12" max="14"/>
    <col width="9.140625" customWidth="1" style="30" min="15" max="16384"/>
  </cols>
  <sheetData>
    <row r="1" ht="32.1" customHeight="1" s="71">
      <c r="A1" s="28" t="inlineStr">
        <is>
          <t>AU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TEXT(SUM('_Data'!D470:D521),"#,##0")</f>
        <v/>
      </c>
      <c r="B4" s="74" t="n"/>
      <c r="C4" s="33">
        <f>TEXT(SUM('_Data'!E470:E521),"$#,##0")</f>
        <v/>
      </c>
      <c r="D4" s="74" t="n"/>
      <c r="E4" s="33">
        <f>TEXT(IF(SUM('_Data'!D470:D521)&gt;0,SUM('_Data'!E470:E521)/SUM('_Data'!D470:D521),0),"$#,##0.00")</f>
        <v/>
      </c>
      <c r="F4" s="74" t="n"/>
      <c r="G4" s="33">
        <f>IF(AND('_Data'!C701&gt;0,'_Data'!F701&gt;0),TEXT(('_Data'!C701-'_Data'!F701)/'_Data'!F701,"+0.0%;-0.0%"),"")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5" t="inlineStr">
        <is>
          <t>Period</t>
        </is>
      </c>
      <c r="B9" s="55" t="inlineStr">
        <is>
          <t>Actual Regs</t>
        </is>
      </c>
      <c r="C9" s="55" t="inlineStr">
        <is>
          <t>Pred Regs</t>
        </is>
      </c>
      <c r="D9" s="55" t="inlineStr">
        <is>
          <t>CI Low</t>
        </is>
      </c>
      <c r="E9" s="55" t="inlineStr">
        <is>
          <t>CI High</t>
        </is>
      </c>
      <c r="F9" s="55" t="inlineStr">
        <is>
          <t>OP2 Target</t>
        </is>
      </c>
      <c r="G9" s="55" t="inlineStr">
        <is>
          <t>vs OP2 %</t>
        </is>
      </c>
      <c r="H9" s="55" t="inlineStr">
        <is>
          <t>Error %</t>
        </is>
      </c>
      <c r="I9" s="55" t="inlineStr">
        <is>
          <t>Confidence</t>
        </is>
      </c>
      <c r="J9" s="55" t="inlineStr">
        <is>
          <t>Score</t>
        </is>
      </c>
      <c r="K9" s="55" t="inlineStr">
        <is>
          <t>Notes</t>
        </is>
      </c>
    </row>
    <row r="10">
      <c r="A10" s="36" t="inlineStr">
        <is>
          <t>2026 Full Year</t>
        </is>
      </c>
      <c r="B10" s="37">
        <f>'_Data'!B701</f>
        <v/>
      </c>
      <c r="C10" s="37">
        <f>'_Data'!C701</f>
        <v/>
      </c>
      <c r="D10" s="37">
        <f>'_Data'!D701</f>
        <v/>
      </c>
      <c r="E10" s="37">
        <f>'_Data'!E701</f>
        <v/>
      </c>
      <c r="F10" s="37">
        <f>'_Data'!F701</f>
        <v/>
      </c>
      <c r="G10" s="38">
        <f>IF(AND(B10&gt;0,F10&gt;0),(B10-F10)/F10,"")</f>
        <v/>
      </c>
      <c r="H10" s="39">
        <f>IF(AND(B10&gt;0,C10&gt;0),ABS(C10-B10)/B10,"")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5" t="inlineStr">
        <is>
          <t>Period</t>
        </is>
      </c>
      <c r="B13" s="55" t="inlineStr">
        <is>
          <t>Actual Regs</t>
        </is>
      </c>
      <c r="C13" s="55" t="inlineStr">
        <is>
          <t>Pred Regs</t>
        </is>
      </c>
      <c r="D13" s="55" t="inlineStr">
        <is>
          <t>CI Low</t>
        </is>
      </c>
      <c r="E13" s="55" t="inlineStr">
        <is>
          <t>CI High</t>
        </is>
      </c>
      <c r="F13" s="55" t="inlineStr">
        <is>
          <t>OP2 Target</t>
        </is>
      </c>
      <c r="G13" s="55" t="inlineStr">
        <is>
          <t>vs OP2 %</t>
        </is>
      </c>
      <c r="H13" s="55" t="inlineStr">
        <is>
          <t>Error %</t>
        </is>
      </c>
      <c r="I13" s="55" t="inlineStr">
        <is>
          <t>Confidence</t>
        </is>
      </c>
      <c r="J13" s="55" t="inlineStr">
        <is>
          <t>Score</t>
        </is>
      </c>
      <c r="K13" s="55" t="inlineStr">
        <is>
          <t>Notes</t>
        </is>
      </c>
    </row>
    <row r="14">
      <c r="A14" s="41" t="inlineStr">
        <is>
          <t>Q1</t>
        </is>
      </c>
      <c r="B14" s="42">
        <f>'_Data'!D684</f>
        <v/>
      </c>
      <c r="C14" s="42">
        <f>'_Data'!E684</f>
        <v/>
      </c>
      <c r="D14" s="42">
        <f>'_Data'!F684</f>
        <v/>
      </c>
      <c r="E14" s="42">
        <f>'_Data'!G684</f>
        <v/>
      </c>
      <c r="F14" s="42">
        <f>'_Data'!H684</f>
        <v/>
      </c>
      <c r="G14" s="43">
        <f>IF(AND(B14&gt;0,F14&gt;0),(B14-F14)/F14,"")</f>
        <v/>
      </c>
      <c r="H14" s="44">
        <f>IF(AND(B14&gt;0,C14&gt;0),ABS(C14-B14)/B14,"")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'_Data'!D685</f>
        <v/>
      </c>
      <c r="C15" s="37">
        <f>'_Data'!E685</f>
        <v/>
      </c>
      <c r="D15" s="37">
        <f>'_Data'!F685</f>
        <v/>
      </c>
      <c r="E15" s="37">
        <f>'_Data'!G685</f>
        <v/>
      </c>
      <c r="F15" s="37">
        <f>'_Data'!H685</f>
        <v/>
      </c>
      <c r="G15" s="38">
        <f>IF(AND(B15&gt;0,F15&gt;0),(B15-F15)/F15,"")</f>
        <v/>
      </c>
      <c r="H15" s="39">
        <f>IF(AND(B15&gt;0,C15&gt;0),ABS(C15-B15)/B15,"")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'_Data'!D686</f>
        <v/>
      </c>
      <c r="C16" s="37">
        <f>'_Data'!E686</f>
        <v/>
      </c>
      <c r="D16" s="37">
        <f>'_Data'!F686</f>
        <v/>
      </c>
      <c r="E16" s="37">
        <f>'_Data'!G686</f>
        <v/>
      </c>
      <c r="F16" s="37">
        <f>'_Data'!H686</f>
        <v/>
      </c>
      <c r="G16" s="38">
        <f>IF(AND(B16&gt;0,F16&gt;0),(B16-F16)/F16,"")</f>
        <v/>
      </c>
      <c r="H16" s="39">
        <f>IF(AND(B16&gt;0,C16&gt;0),ABS(C16-B16)/B16,"")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'_Data'!D687</f>
        <v/>
      </c>
      <c r="C17" s="37">
        <f>'_Data'!E687</f>
        <v/>
      </c>
      <c r="D17" s="37">
        <f>'_Data'!F687</f>
        <v/>
      </c>
      <c r="E17" s="37">
        <f>'_Data'!G687</f>
        <v/>
      </c>
      <c r="F17" s="37">
        <f>'_Data'!H687</f>
        <v/>
      </c>
      <c r="G17" s="38">
        <f>IF(AND(B17&gt;0,F17&gt;0),(B17-F17)/F17,"")</f>
        <v/>
      </c>
      <c r="H17" s="39">
        <f>IF(AND(B17&gt;0,C17&gt;0),ABS(C17-B17)/B17,"")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5" t="inlineStr">
        <is>
          <t>Period</t>
        </is>
      </c>
      <c r="B20" s="55" t="inlineStr">
        <is>
          <t>Actual Regs</t>
        </is>
      </c>
      <c r="C20" s="55" t="inlineStr">
        <is>
          <t>Pred Regs</t>
        </is>
      </c>
      <c r="D20" s="55" t="inlineStr">
        <is>
          <t>CI Low</t>
        </is>
      </c>
      <c r="E20" s="55" t="inlineStr">
        <is>
          <t>CI High</t>
        </is>
      </c>
      <c r="F20" s="55" t="inlineStr">
        <is>
          <t>OP2 Target</t>
        </is>
      </c>
      <c r="G20" s="55" t="inlineStr">
        <is>
          <t>vs OP2 %</t>
        </is>
      </c>
      <c r="H20" s="55" t="inlineStr">
        <is>
          <t>Error %</t>
        </is>
      </c>
      <c r="I20" s="55" t="inlineStr">
        <is>
          <t>Confidence</t>
        </is>
      </c>
      <c r="J20" s="55" t="inlineStr">
        <is>
          <t>Score</t>
        </is>
      </c>
      <c r="K20" s="55" t="inlineStr">
        <is>
          <t>Notes</t>
        </is>
      </c>
    </row>
    <row r="21">
      <c r="A21" s="41" t="inlineStr">
        <is>
          <t>Jan</t>
        </is>
      </c>
      <c r="B21" s="42">
        <f>'_Data'!D632</f>
        <v/>
      </c>
      <c r="C21" s="42">
        <f>'_Data'!E632</f>
        <v/>
      </c>
      <c r="D21" s="42">
        <f>'_Data'!F632</f>
        <v/>
      </c>
      <c r="E21" s="42">
        <f>'_Data'!G632</f>
        <v/>
      </c>
      <c r="F21" s="42">
        <f>'_Data'!H632</f>
        <v/>
      </c>
      <c r="G21" s="43">
        <f>IF(AND(B21&gt;0,F21&gt;0),(B21-F21)/F21,"")</f>
        <v/>
      </c>
      <c r="H21" s="44">
        <f>IF(AND(B21&gt;0,C21&gt;0),ABS(C21-B21)/B21,"")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'_Data'!D633</f>
        <v/>
      </c>
      <c r="C22" s="47">
        <f>'_Data'!E633</f>
        <v/>
      </c>
      <c r="D22" s="47">
        <f>'_Data'!F633</f>
        <v/>
      </c>
      <c r="E22" s="47">
        <f>'_Data'!G633</f>
        <v/>
      </c>
      <c r="F22" s="47">
        <f>'_Data'!H633</f>
        <v/>
      </c>
      <c r="G22" s="48">
        <f>IF(AND(B22&gt;0,F22&gt;0),(B22-F22)/F22,"")</f>
        <v/>
      </c>
      <c r="H22" s="49">
        <f>IF(AND(B22&gt;0,C22&gt;0),ABS(C22-B22)/B22,"")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'_Data'!D634</f>
        <v/>
      </c>
      <c r="C23" s="42">
        <f>'_Data'!E634</f>
        <v/>
      </c>
      <c r="D23" s="42">
        <f>'_Data'!F634</f>
        <v/>
      </c>
      <c r="E23" s="42">
        <f>'_Data'!G634</f>
        <v/>
      </c>
      <c r="F23" s="42">
        <f>'_Data'!H634</f>
        <v/>
      </c>
      <c r="G23" s="43">
        <f>IF(AND(B23&gt;0,F23&gt;0),(B23-F23)/F23,"")</f>
        <v/>
      </c>
      <c r="H23" s="44">
        <f>IF(AND(B23&gt;0,C23&gt;0),ABS(C23-B23)/B23,"")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'_Data'!D635</f>
        <v/>
      </c>
      <c r="C24" s="37">
        <f>'_Data'!E635</f>
        <v/>
      </c>
      <c r="D24" s="37">
        <f>'_Data'!F635</f>
        <v/>
      </c>
      <c r="E24" s="37">
        <f>'_Data'!G635</f>
        <v/>
      </c>
      <c r="F24" s="37">
        <f>'_Data'!H635</f>
        <v/>
      </c>
      <c r="G24" s="38">
        <f>IF(AND(B24&gt;0,F24&gt;0),(B24-F24)/F24,"")</f>
        <v/>
      </c>
      <c r="H24" s="39">
        <f>IF(AND(B24&gt;0,C24&gt;0),ABS(C24-B24)/B24,"")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'_Data'!D636</f>
        <v/>
      </c>
      <c r="C25" s="37">
        <f>'_Data'!E636</f>
        <v/>
      </c>
      <c r="D25" s="37">
        <f>'_Data'!F636</f>
        <v/>
      </c>
      <c r="E25" s="37">
        <f>'_Data'!G636</f>
        <v/>
      </c>
      <c r="F25" s="37">
        <f>'_Data'!H636</f>
        <v/>
      </c>
      <c r="G25" s="38">
        <f>IF(AND(B25&gt;0,F25&gt;0),(B25-F25)/F25,"")</f>
        <v/>
      </c>
      <c r="H25" s="39">
        <f>IF(AND(B25&gt;0,C25&gt;0),ABS(C25-B25)/B25,"")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'_Data'!D637</f>
        <v/>
      </c>
      <c r="C26" s="37">
        <f>'_Data'!E637</f>
        <v/>
      </c>
      <c r="D26" s="37">
        <f>'_Data'!F637</f>
        <v/>
      </c>
      <c r="E26" s="37">
        <f>'_Data'!G637</f>
        <v/>
      </c>
      <c r="F26" s="37">
        <f>'_Data'!H637</f>
        <v/>
      </c>
      <c r="G26" s="38">
        <f>IF(AND(B26&gt;0,F26&gt;0),(B26-F26)/F26,"")</f>
        <v/>
      </c>
      <c r="H26" s="39">
        <f>IF(AND(B26&gt;0,C26&gt;0),ABS(C26-B26)/B26,"")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'_Data'!D638</f>
        <v/>
      </c>
      <c r="C27" s="37">
        <f>'_Data'!E638</f>
        <v/>
      </c>
      <c r="D27" s="37">
        <f>'_Data'!F638</f>
        <v/>
      </c>
      <c r="E27" s="37">
        <f>'_Data'!G638</f>
        <v/>
      </c>
      <c r="F27" s="37">
        <f>'_Data'!H638</f>
        <v/>
      </c>
      <c r="G27" s="38">
        <f>IF(AND(B27&gt;0,F27&gt;0),(B27-F27)/F27,"")</f>
        <v/>
      </c>
      <c r="H27" s="39">
        <f>IF(AND(B27&gt;0,C27&gt;0),ABS(C27-B27)/B27,"")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'_Data'!D639</f>
        <v/>
      </c>
      <c r="C28" s="37">
        <f>'_Data'!E639</f>
        <v/>
      </c>
      <c r="D28" s="37">
        <f>'_Data'!F639</f>
        <v/>
      </c>
      <c r="E28" s="37">
        <f>'_Data'!G639</f>
        <v/>
      </c>
      <c r="F28" s="37">
        <f>'_Data'!H639</f>
        <v/>
      </c>
      <c r="G28" s="38">
        <f>IF(AND(B28&gt;0,F28&gt;0),(B28-F28)/F28,"")</f>
        <v/>
      </c>
      <c r="H28" s="39">
        <f>IF(AND(B28&gt;0,C28&gt;0),ABS(C28-B28)/B28,"")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'_Data'!D640</f>
        <v/>
      </c>
      <c r="C29" s="37">
        <f>'_Data'!E640</f>
        <v/>
      </c>
      <c r="D29" s="37">
        <f>'_Data'!F640</f>
        <v/>
      </c>
      <c r="E29" s="37">
        <f>'_Data'!G640</f>
        <v/>
      </c>
      <c r="F29" s="37">
        <f>'_Data'!H640</f>
        <v/>
      </c>
      <c r="G29" s="38">
        <f>IF(AND(B29&gt;0,F29&gt;0),(B29-F29)/F29,"")</f>
        <v/>
      </c>
      <c r="H29" s="39">
        <f>IF(AND(B29&gt;0,C29&gt;0),ABS(C29-B29)/B29,"")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'_Data'!D641</f>
        <v/>
      </c>
      <c r="C30" s="37">
        <f>'_Data'!E641</f>
        <v/>
      </c>
      <c r="D30" s="37">
        <f>'_Data'!F641</f>
        <v/>
      </c>
      <c r="E30" s="37">
        <f>'_Data'!G641</f>
        <v/>
      </c>
      <c r="F30" s="37">
        <f>'_Data'!H641</f>
        <v/>
      </c>
      <c r="G30" s="38">
        <f>IF(AND(B30&gt;0,F30&gt;0),(B30-F30)/F30,"")</f>
        <v/>
      </c>
      <c r="H30" s="39">
        <f>IF(AND(B30&gt;0,C30&gt;0),ABS(C30-B30)/B30,"")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'_Data'!D642</f>
        <v/>
      </c>
      <c r="C31" s="37">
        <f>'_Data'!E642</f>
        <v/>
      </c>
      <c r="D31" s="37">
        <f>'_Data'!F642</f>
        <v/>
      </c>
      <c r="E31" s="37">
        <f>'_Data'!G642</f>
        <v/>
      </c>
      <c r="F31" s="37">
        <f>'_Data'!H642</f>
        <v/>
      </c>
      <c r="G31" s="38">
        <f>IF(AND(B31&gt;0,F31&gt;0),(B31-F31)/F31,"")</f>
        <v/>
      </c>
      <c r="H31" s="39">
        <f>IF(AND(B31&gt;0,C31&gt;0),ABS(C31-B31)/B31,"")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'_Data'!D643</f>
        <v/>
      </c>
      <c r="C32" s="37">
        <f>'_Data'!E643</f>
        <v/>
      </c>
      <c r="D32" s="37">
        <f>'_Data'!F643</f>
        <v/>
      </c>
      <c r="E32" s="37">
        <f>'_Data'!G643</f>
        <v/>
      </c>
      <c r="F32" s="37">
        <f>'_Data'!H643</f>
        <v/>
      </c>
      <c r="G32" s="38">
        <f>IF(AND(B32&gt;0,F32&gt;0),(B32-F32)/F32,"")</f>
        <v/>
      </c>
      <c r="H32" s="39">
        <f>IF(AND(B32&gt;0,C32&gt;0),ABS(C32-B32)/B32,"")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5" t="inlineStr">
        <is>
          <t>Week</t>
        </is>
      </c>
      <c r="B35" s="55" t="inlineStr">
        <is>
          <t>Wk#</t>
        </is>
      </c>
      <c r="C35" s="55" t="inlineStr">
        <is>
          <t>Actual Regs</t>
        </is>
      </c>
      <c r="D35" s="55" t="inlineStr">
        <is>
          <t>Actual Cost</t>
        </is>
      </c>
      <c r="E35" s="55" t="inlineStr">
        <is>
          <t>Actual CPA</t>
        </is>
      </c>
      <c r="F35" s="55" t="inlineStr">
        <is>
          <t>Pred Regs</t>
        </is>
      </c>
      <c r="G35" s="55" t="inlineStr">
        <is>
          <t>CI Low</t>
        </is>
      </c>
      <c r="H35" s="55" t="inlineStr">
        <is>
          <t>CI High</t>
        </is>
      </c>
      <c r="I35" s="55" t="inlineStr">
        <is>
          <t>Confidence</t>
        </is>
      </c>
      <c r="J35" s="55" t="inlineStr">
        <is>
          <t>Error %</t>
        </is>
      </c>
      <c r="K35" s="55" t="inlineStr">
        <is>
          <t>Within CI</t>
        </is>
      </c>
      <c r="L35" s="55" t="inlineStr">
        <is>
          <t>WoW Δ%</t>
        </is>
      </c>
      <c r="M35" s="55" t="inlineStr">
        <is>
          <t>Brand Regs</t>
        </is>
      </c>
      <c r="N35" s="5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'_Data'!D470</f>
        <v/>
      </c>
      <c r="D36" s="51">
        <f>'_Data'!E470</f>
        <v/>
      </c>
      <c r="E36" s="52">
        <f>'_Data'!F470</f>
        <v/>
      </c>
      <c r="F36" s="42">
        <f>'_Data'!G470</f>
        <v/>
      </c>
      <c r="G36" s="42">
        <f>'_Data'!H470</f>
        <v/>
      </c>
      <c r="H36" s="42">
        <f>'_Data'!I470</f>
        <v/>
      </c>
      <c r="I36" s="45">
        <f>'_Data'!J470</f>
        <v/>
      </c>
      <c r="J36" s="44">
        <f>IF(AND(C36&gt;0,F36&gt;0),ABS(F36-C36)/C36,"")</f>
        <v/>
      </c>
      <c r="K36" s="41">
        <f>IF(AND(C36&gt;0,G36&gt;0),IF(AND(C36&gt;=G36,C36&lt;=H36),"✓","✗"),"")</f>
        <v/>
      </c>
      <c r="L36" s="41" t="n"/>
      <c r="M36" s="42">
        <f>'_Data'!K470</f>
        <v/>
      </c>
      <c r="N36" s="42">
        <f>'_Data'!L470</f>
        <v/>
      </c>
    </row>
    <row r="37">
      <c r="A37" s="46" t="inlineStr">
        <is>
          <t>2026 W2</t>
        </is>
      </c>
      <c r="B37" s="46" t="n">
        <v>2</v>
      </c>
      <c r="C37" s="47">
        <f>'_Data'!D471</f>
        <v/>
      </c>
      <c r="D37" s="53">
        <f>'_Data'!E471</f>
        <v/>
      </c>
      <c r="E37" s="54">
        <f>'_Data'!F471</f>
        <v/>
      </c>
      <c r="F37" s="47">
        <f>'_Data'!G471</f>
        <v/>
      </c>
      <c r="G37" s="47">
        <f>'_Data'!H471</f>
        <v/>
      </c>
      <c r="H37" s="47">
        <f>'_Data'!I471</f>
        <v/>
      </c>
      <c r="I37" s="50">
        <f>'_Data'!J471</f>
        <v/>
      </c>
      <c r="J37" s="49">
        <f>IF(AND(C37&gt;0,F37&gt;0),ABS(F37-C37)/C37,"")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'_Data'!K471</f>
        <v/>
      </c>
      <c r="N37" s="47">
        <f>'_Data'!L471</f>
        <v/>
      </c>
    </row>
    <row r="38">
      <c r="A38" s="41" t="inlineStr">
        <is>
          <t>2026 W3</t>
        </is>
      </c>
      <c r="B38" s="41" t="n">
        <v>3</v>
      </c>
      <c r="C38" s="42">
        <f>'_Data'!D472</f>
        <v/>
      </c>
      <c r="D38" s="51">
        <f>'_Data'!E472</f>
        <v/>
      </c>
      <c r="E38" s="52">
        <f>'_Data'!F472</f>
        <v/>
      </c>
      <c r="F38" s="42">
        <f>'_Data'!G472</f>
        <v/>
      </c>
      <c r="G38" s="42">
        <f>'_Data'!H472</f>
        <v/>
      </c>
      <c r="H38" s="42">
        <f>'_Data'!I472</f>
        <v/>
      </c>
      <c r="I38" s="45">
        <f>'_Data'!J472</f>
        <v/>
      </c>
      <c r="J38" s="44">
        <f>IF(AND(C38&gt;0,F38&gt;0),ABS(F38-C38)/C38,"")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'_Data'!K472</f>
        <v/>
      </c>
      <c r="N38" s="42">
        <f>'_Data'!L472</f>
        <v/>
      </c>
    </row>
    <row r="39">
      <c r="A39" s="46" t="inlineStr">
        <is>
          <t>2026 W4</t>
        </is>
      </c>
      <c r="B39" s="46" t="n">
        <v>4</v>
      </c>
      <c r="C39" s="47">
        <f>'_Data'!D473</f>
        <v/>
      </c>
      <c r="D39" s="53">
        <f>'_Data'!E473</f>
        <v/>
      </c>
      <c r="E39" s="54">
        <f>'_Data'!F473</f>
        <v/>
      </c>
      <c r="F39" s="47">
        <f>'_Data'!G473</f>
        <v/>
      </c>
      <c r="G39" s="47">
        <f>'_Data'!H473</f>
        <v/>
      </c>
      <c r="H39" s="47">
        <f>'_Data'!I473</f>
        <v/>
      </c>
      <c r="I39" s="50">
        <f>'_Data'!J473</f>
        <v/>
      </c>
      <c r="J39" s="49">
        <f>IF(AND(C39&gt;0,F39&gt;0),ABS(F39-C39)/C39,"")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'_Data'!K473</f>
        <v/>
      </c>
      <c r="N39" s="47">
        <f>'_Data'!L473</f>
        <v/>
      </c>
    </row>
    <row r="40">
      <c r="A40" s="41" t="inlineStr">
        <is>
          <t>2026 W5</t>
        </is>
      </c>
      <c r="B40" s="41" t="n">
        <v>5</v>
      </c>
      <c r="C40" s="42">
        <f>'_Data'!D474</f>
        <v/>
      </c>
      <c r="D40" s="51">
        <f>'_Data'!E474</f>
        <v/>
      </c>
      <c r="E40" s="52">
        <f>'_Data'!F474</f>
        <v/>
      </c>
      <c r="F40" s="42">
        <f>'_Data'!G474</f>
        <v/>
      </c>
      <c r="G40" s="42">
        <f>'_Data'!H474</f>
        <v/>
      </c>
      <c r="H40" s="42">
        <f>'_Data'!I474</f>
        <v/>
      </c>
      <c r="I40" s="45">
        <f>'_Data'!J474</f>
        <v/>
      </c>
      <c r="J40" s="44">
        <f>IF(AND(C40&gt;0,F40&gt;0),ABS(F40-C40)/C40,"")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'_Data'!K474</f>
        <v/>
      </c>
      <c r="N40" s="42">
        <f>'_Data'!L474</f>
        <v/>
      </c>
    </row>
    <row r="41">
      <c r="A41" s="46" t="inlineStr">
        <is>
          <t>2026 W6</t>
        </is>
      </c>
      <c r="B41" s="46" t="n">
        <v>6</v>
      </c>
      <c r="C41" s="47">
        <f>'_Data'!D475</f>
        <v/>
      </c>
      <c r="D41" s="53">
        <f>'_Data'!E475</f>
        <v/>
      </c>
      <c r="E41" s="54">
        <f>'_Data'!F475</f>
        <v/>
      </c>
      <c r="F41" s="47">
        <f>'_Data'!G475</f>
        <v/>
      </c>
      <c r="G41" s="47">
        <f>'_Data'!H475</f>
        <v/>
      </c>
      <c r="H41" s="47">
        <f>'_Data'!I475</f>
        <v/>
      </c>
      <c r="I41" s="50">
        <f>'_Data'!J475</f>
        <v/>
      </c>
      <c r="J41" s="49">
        <f>IF(AND(C41&gt;0,F41&gt;0),ABS(F41-C41)/C41,"")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'_Data'!K475</f>
        <v/>
      </c>
      <c r="N41" s="47">
        <f>'_Data'!L475</f>
        <v/>
      </c>
    </row>
    <row r="42">
      <c r="A42" s="41" t="inlineStr">
        <is>
          <t>2026 W7</t>
        </is>
      </c>
      <c r="B42" s="41" t="n">
        <v>7</v>
      </c>
      <c r="C42" s="42">
        <f>'_Data'!D476</f>
        <v/>
      </c>
      <c r="D42" s="51">
        <f>'_Data'!E476</f>
        <v/>
      </c>
      <c r="E42" s="52">
        <f>'_Data'!F476</f>
        <v/>
      </c>
      <c r="F42" s="42">
        <f>'_Data'!G476</f>
        <v/>
      </c>
      <c r="G42" s="42">
        <f>'_Data'!H476</f>
        <v/>
      </c>
      <c r="H42" s="42">
        <f>'_Data'!I476</f>
        <v/>
      </c>
      <c r="I42" s="45">
        <f>'_Data'!J476</f>
        <v/>
      </c>
      <c r="J42" s="44">
        <f>IF(AND(C42&gt;0,F42&gt;0),ABS(F42-C42)/C42,"")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'_Data'!K476</f>
        <v/>
      </c>
      <c r="N42" s="42">
        <f>'_Data'!L476</f>
        <v/>
      </c>
    </row>
    <row r="43">
      <c r="A43" s="46" t="inlineStr">
        <is>
          <t>2026 W8</t>
        </is>
      </c>
      <c r="B43" s="46" t="n">
        <v>8</v>
      </c>
      <c r="C43" s="47">
        <f>'_Data'!D477</f>
        <v/>
      </c>
      <c r="D43" s="53">
        <f>'_Data'!E477</f>
        <v/>
      </c>
      <c r="E43" s="54">
        <f>'_Data'!F477</f>
        <v/>
      </c>
      <c r="F43" s="47">
        <f>'_Data'!G477</f>
        <v/>
      </c>
      <c r="G43" s="47">
        <f>'_Data'!H477</f>
        <v/>
      </c>
      <c r="H43" s="47">
        <f>'_Data'!I477</f>
        <v/>
      </c>
      <c r="I43" s="50">
        <f>'_Data'!J477</f>
        <v/>
      </c>
      <c r="J43" s="49">
        <f>IF(AND(C43&gt;0,F43&gt;0),ABS(F43-C43)/C43,"")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'_Data'!K477</f>
        <v/>
      </c>
      <c r="N43" s="47">
        <f>'_Data'!L477</f>
        <v/>
      </c>
    </row>
    <row r="44">
      <c r="A44" s="41" t="inlineStr">
        <is>
          <t>2026 W9</t>
        </is>
      </c>
      <c r="B44" s="41" t="n">
        <v>9</v>
      </c>
      <c r="C44" s="42">
        <f>'_Data'!D478</f>
        <v/>
      </c>
      <c r="D44" s="51">
        <f>'_Data'!E478</f>
        <v/>
      </c>
      <c r="E44" s="52">
        <f>'_Data'!F478</f>
        <v/>
      </c>
      <c r="F44" s="42">
        <f>'_Data'!G478</f>
        <v/>
      </c>
      <c r="G44" s="42">
        <f>'_Data'!H478</f>
        <v/>
      </c>
      <c r="H44" s="42">
        <f>'_Data'!I478</f>
        <v/>
      </c>
      <c r="I44" s="45">
        <f>'_Data'!J478</f>
        <v/>
      </c>
      <c r="J44" s="44">
        <f>IF(AND(C44&gt;0,F44&gt;0),ABS(F44-C44)/C44,"")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'_Data'!K478</f>
        <v/>
      </c>
      <c r="N44" s="42">
        <f>'_Data'!L478</f>
        <v/>
      </c>
    </row>
    <row r="45">
      <c r="A45" s="46" t="inlineStr">
        <is>
          <t>2026 W10</t>
        </is>
      </c>
      <c r="B45" s="46" t="n">
        <v>10</v>
      </c>
      <c r="C45" s="47">
        <f>'_Data'!D479</f>
        <v/>
      </c>
      <c r="D45" s="53">
        <f>'_Data'!E479</f>
        <v/>
      </c>
      <c r="E45" s="54">
        <f>'_Data'!F479</f>
        <v/>
      </c>
      <c r="F45" s="47">
        <f>'_Data'!G479</f>
        <v/>
      </c>
      <c r="G45" s="47">
        <f>'_Data'!H479</f>
        <v/>
      </c>
      <c r="H45" s="47">
        <f>'_Data'!I479</f>
        <v/>
      </c>
      <c r="I45" s="50">
        <f>'_Data'!J479</f>
        <v/>
      </c>
      <c r="J45" s="49">
        <f>IF(AND(C45&gt;0,F45&gt;0),ABS(F45-C45)/C45,"")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'_Data'!K479</f>
        <v/>
      </c>
      <c r="N45" s="47">
        <f>'_Data'!L479</f>
        <v/>
      </c>
    </row>
    <row r="46">
      <c r="A46" s="41" t="inlineStr">
        <is>
          <t>2026 W11</t>
        </is>
      </c>
      <c r="B46" s="41" t="n">
        <v>11</v>
      </c>
      <c r="C46" s="42">
        <f>'_Data'!D480</f>
        <v/>
      </c>
      <c r="D46" s="51">
        <f>'_Data'!E480</f>
        <v/>
      </c>
      <c r="E46" s="52">
        <f>'_Data'!F480</f>
        <v/>
      </c>
      <c r="F46" s="42">
        <f>'_Data'!G480</f>
        <v/>
      </c>
      <c r="G46" s="42">
        <f>'_Data'!H480</f>
        <v/>
      </c>
      <c r="H46" s="42">
        <f>'_Data'!I480</f>
        <v/>
      </c>
      <c r="I46" s="45">
        <f>'_Data'!J480</f>
        <v/>
      </c>
      <c r="J46" s="44">
        <f>IF(AND(C46&gt;0,F46&gt;0),ABS(F46-C46)/C46,"")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'_Data'!K480</f>
        <v/>
      </c>
      <c r="N46" s="42">
        <f>'_Data'!L480</f>
        <v/>
      </c>
    </row>
    <row r="47">
      <c r="A47" s="46" t="inlineStr">
        <is>
          <t>2026 W12</t>
        </is>
      </c>
      <c r="B47" s="46" t="n">
        <v>12</v>
      </c>
      <c r="C47" s="47">
        <f>'_Data'!D481</f>
        <v/>
      </c>
      <c r="D47" s="53">
        <f>'_Data'!E481</f>
        <v/>
      </c>
      <c r="E47" s="54">
        <f>'_Data'!F481</f>
        <v/>
      </c>
      <c r="F47" s="47">
        <f>'_Data'!G481</f>
        <v/>
      </c>
      <c r="G47" s="47">
        <f>'_Data'!H481</f>
        <v/>
      </c>
      <c r="H47" s="47">
        <f>'_Data'!I481</f>
        <v/>
      </c>
      <c r="I47" s="50">
        <f>'_Data'!J481</f>
        <v/>
      </c>
      <c r="J47" s="49">
        <f>IF(AND(C47&gt;0,F47&gt;0),ABS(F47-C47)/C47,"")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'_Data'!K481</f>
        <v/>
      </c>
      <c r="N47" s="47">
        <f>'_Data'!L481</f>
        <v/>
      </c>
    </row>
    <row r="48">
      <c r="A48" s="41" t="inlineStr">
        <is>
          <t>2026 W13</t>
        </is>
      </c>
      <c r="B48" s="41" t="n">
        <v>13</v>
      </c>
      <c r="C48" s="42">
        <f>'_Data'!D482</f>
        <v/>
      </c>
      <c r="D48" s="51">
        <f>'_Data'!E482</f>
        <v/>
      </c>
      <c r="E48" s="52">
        <f>'_Data'!F482</f>
        <v/>
      </c>
      <c r="F48" s="42">
        <f>'_Data'!G482</f>
        <v/>
      </c>
      <c r="G48" s="42">
        <f>'_Data'!H482</f>
        <v/>
      </c>
      <c r="H48" s="42">
        <f>'_Data'!I482</f>
        <v/>
      </c>
      <c r="I48" s="45">
        <f>'_Data'!J482</f>
        <v/>
      </c>
      <c r="J48" s="44">
        <f>IF(AND(C48&gt;0,F48&gt;0),ABS(F48-C48)/C48,"")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'_Data'!K482</f>
        <v/>
      </c>
      <c r="N48" s="42">
        <f>'_Data'!L482</f>
        <v/>
      </c>
    </row>
    <row r="49">
      <c r="A49" s="46" t="inlineStr">
        <is>
          <t>2026 W14</t>
        </is>
      </c>
      <c r="B49" s="46" t="n">
        <v>14</v>
      </c>
      <c r="C49" s="47">
        <f>'_Data'!D483</f>
        <v/>
      </c>
      <c r="D49" s="53">
        <f>'_Data'!E483</f>
        <v/>
      </c>
      <c r="E49" s="54">
        <f>'_Data'!F483</f>
        <v/>
      </c>
      <c r="F49" s="47">
        <f>'_Data'!G483</f>
        <v/>
      </c>
      <c r="G49" s="47">
        <f>'_Data'!H483</f>
        <v/>
      </c>
      <c r="H49" s="47">
        <f>'_Data'!I483</f>
        <v/>
      </c>
      <c r="I49" s="50">
        <f>'_Data'!J483</f>
        <v/>
      </c>
      <c r="J49" s="49">
        <f>IF(AND(C49&gt;0,F49&gt;0),ABS(F49-C49)/C49,"")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'_Data'!K483</f>
        <v/>
      </c>
      <c r="N49" s="47">
        <f>'_Data'!L483</f>
        <v/>
      </c>
    </row>
    <row r="50">
      <c r="A50" s="41" t="inlineStr">
        <is>
          <t>2026 W15</t>
        </is>
      </c>
      <c r="B50" s="41" t="n">
        <v>15</v>
      </c>
      <c r="C50" s="42">
        <f>'_Data'!D484</f>
        <v/>
      </c>
      <c r="D50" s="51">
        <f>'_Data'!E484</f>
        <v/>
      </c>
      <c r="E50" s="52">
        <f>'_Data'!F484</f>
        <v/>
      </c>
      <c r="F50" s="42">
        <f>'_Data'!G484</f>
        <v/>
      </c>
      <c r="G50" s="42">
        <f>'_Data'!H484</f>
        <v/>
      </c>
      <c r="H50" s="42">
        <f>'_Data'!I484</f>
        <v/>
      </c>
      <c r="I50" s="45">
        <f>'_Data'!J484</f>
        <v/>
      </c>
      <c r="J50" s="44">
        <f>IF(AND(C50&gt;0,F50&gt;0),ABS(F50-C50)/C50,"")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'_Data'!K484</f>
        <v/>
      </c>
      <c r="N50" s="42">
        <f>'_Data'!L484</f>
        <v/>
      </c>
    </row>
    <row r="51">
      <c r="A51" s="36" t="inlineStr">
        <is>
          <t>2026 W16</t>
        </is>
      </c>
      <c r="B51" s="36" t="n">
        <v>16</v>
      </c>
      <c r="C51" s="36">
        <f>'_Data'!D485</f>
        <v/>
      </c>
      <c r="D51" s="36">
        <f>'_Data'!E485</f>
        <v/>
      </c>
      <c r="E51" s="36">
        <f>'_Data'!F485</f>
        <v/>
      </c>
      <c r="F51" s="37">
        <f>'_Data'!G485</f>
        <v/>
      </c>
      <c r="G51" s="37">
        <f>'_Data'!H485</f>
        <v/>
      </c>
      <c r="H51" s="37">
        <f>'_Data'!I485</f>
        <v/>
      </c>
      <c r="I51" s="40">
        <f>'_Data'!J485</f>
        <v/>
      </c>
      <c r="J51" s="39">
        <f>IF(AND(C51&gt;0,F51&gt;0),ABS(F51-C51)/C51,"")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'_Data'!K485</f>
        <v/>
      </c>
      <c r="N51" s="36">
        <f>'_Data'!L485</f>
        <v/>
      </c>
    </row>
    <row r="52">
      <c r="A52" s="36" t="inlineStr">
        <is>
          <t>2026 W17</t>
        </is>
      </c>
      <c r="B52" s="36" t="n">
        <v>17</v>
      </c>
      <c r="C52" s="36">
        <f>'_Data'!D486</f>
        <v/>
      </c>
      <c r="D52" s="36">
        <f>'_Data'!E486</f>
        <v/>
      </c>
      <c r="E52" s="36">
        <f>'_Data'!F486</f>
        <v/>
      </c>
      <c r="F52" s="37">
        <f>'_Data'!G486</f>
        <v/>
      </c>
      <c r="G52" s="37">
        <f>'_Data'!H486</f>
        <v/>
      </c>
      <c r="H52" s="37">
        <f>'_Data'!I486</f>
        <v/>
      </c>
      <c r="I52" s="40">
        <f>'_Data'!J486</f>
        <v/>
      </c>
      <c r="J52" s="39">
        <f>IF(AND(C52&gt;0,F52&gt;0),ABS(F52-C52)/C52,"")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'_Data'!K486</f>
        <v/>
      </c>
      <c r="N52" s="36">
        <f>'_Data'!L486</f>
        <v/>
      </c>
    </row>
    <row r="53">
      <c r="A53" s="36" t="inlineStr">
        <is>
          <t>2026 W18</t>
        </is>
      </c>
      <c r="B53" s="36" t="n">
        <v>18</v>
      </c>
      <c r="C53" s="36">
        <f>'_Data'!D487</f>
        <v/>
      </c>
      <c r="D53" s="36">
        <f>'_Data'!E487</f>
        <v/>
      </c>
      <c r="E53" s="36">
        <f>'_Data'!F487</f>
        <v/>
      </c>
      <c r="F53" s="37">
        <f>'_Data'!G487</f>
        <v/>
      </c>
      <c r="G53" s="37">
        <f>'_Data'!H487</f>
        <v/>
      </c>
      <c r="H53" s="37">
        <f>'_Data'!I487</f>
        <v/>
      </c>
      <c r="I53" s="40">
        <f>'_Data'!J487</f>
        <v/>
      </c>
      <c r="J53" s="39">
        <f>IF(AND(C53&gt;0,F53&gt;0),ABS(F53-C53)/C53,"")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'_Data'!K487</f>
        <v/>
      </c>
      <c r="N53" s="36">
        <f>'_Data'!L487</f>
        <v/>
      </c>
    </row>
    <row r="54">
      <c r="A54" s="36" t="inlineStr">
        <is>
          <t>2026 W19</t>
        </is>
      </c>
      <c r="B54" s="36" t="n">
        <v>19</v>
      </c>
      <c r="C54" s="36">
        <f>'_Data'!D488</f>
        <v/>
      </c>
      <c r="D54" s="36">
        <f>'_Data'!E488</f>
        <v/>
      </c>
      <c r="E54" s="36">
        <f>'_Data'!F488</f>
        <v/>
      </c>
      <c r="F54" s="37">
        <f>'_Data'!G488</f>
        <v/>
      </c>
      <c r="G54" s="37">
        <f>'_Data'!H488</f>
        <v/>
      </c>
      <c r="H54" s="37">
        <f>'_Data'!I488</f>
        <v/>
      </c>
      <c r="I54" s="40">
        <f>'_Data'!J488</f>
        <v/>
      </c>
      <c r="J54" s="39">
        <f>IF(AND(C54&gt;0,F54&gt;0),ABS(F54-C54)/C54,"")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'_Data'!K488</f>
        <v/>
      </c>
      <c r="N54" s="36">
        <f>'_Data'!L488</f>
        <v/>
      </c>
    </row>
    <row r="55">
      <c r="A55" s="36" t="inlineStr">
        <is>
          <t>2026 W20</t>
        </is>
      </c>
      <c r="B55" s="36" t="n">
        <v>20</v>
      </c>
      <c r="C55" s="36">
        <f>'_Data'!D489</f>
        <v/>
      </c>
      <c r="D55" s="36">
        <f>'_Data'!E489</f>
        <v/>
      </c>
      <c r="E55" s="36">
        <f>'_Data'!F489</f>
        <v/>
      </c>
      <c r="F55" s="37">
        <f>'_Data'!G489</f>
        <v/>
      </c>
      <c r="G55" s="37">
        <f>'_Data'!H489</f>
        <v/>
      </c>
      <c r="H55" s="37">
        <f>'_Data'!I489</f>
        <v/>
      </c>
      <c r="I55" s="40">
        <f>'_Data'!J489</f>
        <v/>
      </c>
      <c r="J55" s="39">
        <f>IF(AND(C55&gt;0,F55&gt;0),ABS(F55-C55)/C55,"")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'_Data'!K489</f>
        <v/>
      </c>
      <c r="N55" s="36">
        <f>'_Data'!L489</f>
        <v/>
      </c>
    </row>
    <row r="56">
      <c r="A56" s="36" t="inlineStr">
        <is>
          <t>2026 W21</t>
        </is>
      </c>
      <c r="B56" s="36" t="n">
        <v>21</v>
      </c>
      <c r="C56" s="36">
        <f>'_Data'!D490</f>
        <v/>
      </c>
      <c r="D56" s="36">
        <f>'_Data'!E490</f>
        <v/>
      </c>
      <c r="E56" s="36">
        <f>'_Data'!F490</f>
        <v/>
      </c>
      <c r="F56" s="37">
        <f>'_Data'!G490</f>
        <v/>
      </c>
      <c r="G56" s="37">
        <f>'_Data'!H490</f>
        <v/>
      </c>
      <c r="H56" s="37">
        <f>'_Data'!I490</f>
        <v/>
      </c>
      <c r="I56" s="40">
        <f>'_Data'!J490</f>
        <v/>
      </c>
      <c r="J56" s="39">
        <f>IF(AND(C56&gt;0,F56&gt;0),ABS(F56-C56)/C56,"")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'_Data'!K490</f>
        <v/>
      </c>
      <c r="N56" s="36">
        <f>'_Data'!L490</f>
        <v/>
      </c>
    </row>
    <row r="57">
      <c r="A57" s="36" t="inlineStr">
        <is>
          <t>2026 W22</t>
        </is>
      </c>
      <c r="B57" s="36" t="n">
        <v>22</v>
      </c>
      <c r="C57" s="36">
        <f>'_Data'!D491</f>
        <v/>
      </c>
      <c r="D57" s="36">
        <f>'_Data'!E491</f>
        <v/>
      </c>
      <c r="E57" s="36">
        <f>'_Data'!F491</f>
        <v/>
      </c>
      <c r="F57" s="37">
        <f>'_Data'!G491</f>
        <v/>
      </c>
      <c r="G57" s="37">
        <f>'_Data'!H491</f>
        <v/>
      </c>
      <c r="H57" s="37">
        <f>'_Data'!I491</f>
        <v/>
      </c>
      <c r="I57" s="40">
        <f>'_Data'!J491</f>
        <v/>
      </c>
      <c r="J57" s="39">
        <f>IF(AND(C57&gt;0,F57&gt;0),ABS(F57-C57)/C57,"")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'_Data'!K491</f>
        <v/>
      </c>
      <c r="N57" s="36">
        <f>'_Data'!L491</f>
        <v/>
      </c>
    </row>
    <row r="58">
      <c r="A58" s="36" t="inlineStr">
        <is>
          <t>2026 W23</t>
        </is>
      </c>
      <c r="B58" s="36" t="n">
        <v>23</v>
      </c>
      <c r="C58" s="36">
        <f>'_Data'!D492</f>
        <v/>
      </c>
      <c r="D58" s="36">
        <f>'_Data'!E492</f>
        <v/>
      </c>
      <c r="E58" s="36">
        <f>'_Data'!F492</f>
        <v/>
      </c>
      <c r="F58" s="37">
        <f>'_Data'!G492</f>
        <v/>
      </c>
      <c r="G58" s="37">
        <f>'_Data'!H492</f>
        <v/>
      </c>
      <c r="H58" s="37">
        <f>'_Data'!I492</f>
        <v/>
      </c>
      <c r="I58" s="40">
        <f>'_Data'!J492</f>
        <v/>
      </c>
      <c r="J58" s="39">
        <f>IF(AND(C58&gt;0,F58&gt;0),ABS(F58-C58)/C58,"")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'_Data'!K492</f>
        <v/>
      </c>
      <c r="N58" s="36">
        <f>'_Data'!L492</f>
        <v/>
      </c>
    </row>
    <row r="59">
      <c r="A59" s="36" t="inlineStr">
        <is>
          <t>2026 W24</t>
        </is>
      </c>
      <c r="B59" s="36" t="n">
        <v>24</v>
      </c>
      <c r="C59" s="36">
        <f>'_Data'!D493</f>
        <v/>
      </c>
      <c r="D59" s="36">
        <f>'_Data'!E493</f>
        <v/>
      </c>
      <c r="E59" s="36">
        <f>'_Data'!F493</f>
        <v/>
      </c>
      <c r="F59" s="37">
        <f>'_Data'!G493</f>
        <v/>
      </c>
      <c r="G59" s="37">
        <f>'_Data'!H493</f>
        <v/>
      </c>
      <c r="H59" s="37">
        <f>'_Data'!I493</f>
        <v/>
      </c>
      <c r="I59" s="40">
        <f>'_Data'!J493</f>
        <v/>
      </c>
      <c r="J59" s="39">
        <f>IF(AND(C59&gt;0,F59&gt;0),ABS(F59-C59)/C59,"")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'_Data'!K493</f>
        <v/>
      </c>
      <c r="N59" s="36">
        <f>'_Data'!L493</f>
        <v/>
      </c>
    </row>
    <row r="60">
      <c r="A60" s="36" t="inlineStr">
        <is>
          <t>2026 W25</t>
        </is>
      </c>
      <c r="B60" s="36" t="n">
        <v>25</v>
      </c>
      <c r="C60" s="36">
        <f>'_Data'!D494</f>
        <v/>
      </c>
      <c r="D60" s="36">
        <f>'_Data'!E494</f>
        <v/>
      </c>
      <c r="E60" s="36">
        <f>'_Data'!F494</f>
        <v/>
      </c>
      <c r="F60" s="37">
        <f>'_Data'!G494</f>
        <v/>
      </c>
      <c r="G60" s="37">
        <f>'_Data'!H494</f>
        <v/>
      </c>
      <c r="H60" s="37">
        <f>'_Data'!I494</f>
        <v/>
      </c>
      <c r="I60" s="40">
        <f>'_Data'!J494</f>
        <v/>
      </c>
      <c r="J60" s="39">
        <f>IF(AND(C60&gt;0,F60&gt;0),ABS(F60-C60)/C60,"")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'_Data'!K494</f>
        <v/>
      </c>
      <c r="N60" s="36">
        <f>'_Data'!L494</f>
        <v/>
      </c>
    </row>
    <row r="61">
      <c r="A61" s="36" t="inlineStr">
        <is>
          <t>2026 W26</t>
        </is>
      </c>
      <c r="B61" s="36" t="n">
        <v>26</v>
      </c>
      <c r="C61" s="36">
        <f>'_Data'!D495</f>
        <v/>
      </c>
      <c r="D61" s="36">
        <f>'_Data'!E495</f>
        <v/>
      </c>
      <c r="E61" s="36">
        <f>'_Data'!F495</f>
        <v/>
      </c>
      <c r="F61" s="37">
        <f>'_Data'!G495</f>
        <v/>
      </c>
      <c r="G61" s="37">
        <f>'_Data'!H495</f>
        <v/>
      </c>
      <c r="H61" s="37">
        <f>'_Data'!I495</f>
        <v/>
      </c>
      <c r="I61" s="40">
        <f>'_Data'!J495</f>
        <v/>
      </c>
      <c r="J61" s="39">
        <f>IF(AND(C61&gt;0,F61&gt;0),ABS(F61-C61)/C61,"")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'_Data'!K495</f>
        <v/>
      </c>
      <c r="N61" s="36">
        <f>'_Data'!L495</f>
        <v/>
      </c>
    </row>
    <row r="62">
      <c r="A62" s="36" t="inlineStr">
        <is>
          <t>2026 W27</t>
        </is>
      </c>
      <c r="B62" s="36" t="n">
        <v>27</v>
      </c>
      <c r="C62" s="36">
        <f>'_Data'!D496</f>
        <v/>
      </c>
      <c r="D62" s="36">
        <f>'_Data'!E496</f>
        <v/>
      </c>
      <c r="E62" s="36">
        <f>'_Data'!F496</f>
        <v/>
      </c>
      <c r="F62" s="37">
        <f>'_Data'!G496</f>
        <v/>
      </c>
      <c r="G62" s="37">
        <f>'_Data'!H496</f>
        <v/>
      </c>
      <c r="H62" s="37">
        <f>'_Data'!I496</f>
        <v/>
      </c>
      <c r="I62" s="40">
        <f>'_Data'!J496</f>
        <v/>
      </c>
      <c r="J62" s="39">
        <f>IF(AND(C62&gt;0,F62&gt;0),ABS(F62-C62)/C62,"")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'_Data'!K496</f>
        <v/>
      </c>
      <c r="N62" s="36">
        <f>'_Data'!L496</f>
        <v/>
      </c>
    </row>
    <row r="63">
      <c r="A63" s="36" t="inlineStr">
        <is>
          <t>2026 W28</t>
        </is>
      </c>
      <c r="B63" s="36" t="n">
        <v>28</v>
      </c>
      <c r="C63" s="36">
        <f>'_Data'!D497</f>
        <v/>
      </c>
      <c r="D63" s="36">
        <f>'_Data'!E497</f>
        <v/>
      </c>
      <c r="E63" s="36">
        <f>'_Data'!F497</f>
        <v/>
      </c>
      <c r="F63" s="37">
        <f>'_Data'!G497</f>
        <v/>
      </c>
      <c r="G63" s="37">
        <f>'_Data'!H497</f>
        <v/>
      </c>
      <c r="H63" s="37">
        <f>'_Data'!I497</f>
        <v/>
      </c>
      <c r="I63" s="40">
        <f>'_Data'!J497</f>
        <v/>
      </c>
      <c r="J63" s="39">
        <f>IF(AND(C63&gt;0,F63&gt;0),ABS(F63-C63)/C63,"")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'_Data'!K497</f>
        <v/>
      </c>
      <c r="N63" s="36">
        <f>'_Data'!L497</f>
        <v/>
      </c>
    </row>
    <row r="64">
      <c r="A64" s="36" t="inlineStr">
        <is>
          <t>2026 W29</t>
        </is>
      </c>
      <c r="B64" s="36" t="n">
        <v>29</v>
      </c>
      <c r="C64" s="36">
        <f>'_Data'!D498</f>
        <v/>
      </c>
      <c r="D64" s="36">
        <f>'_Data'!E498</f>
        <v/>
      </c>
      <c r="E64" s="36">
        <f>'_Data'!F498</f>
        <v/>
      </c>
      <c r="F64" s="37">
        <f>'_Data'!G498</f>
        <v/>
      </c>
      <c r="G64" s="37">
        <f>'_Data'!H498</f>
        <v/>
      </c>
      <c r="H64" s="37">
        <f>'_Data'!I498</f>
        <v/>
      </c>
      <c r="I64" s="40">
        <f>'_Data'!J498</f>
        <v/>
      </c>
      <c r="J64" s="39">
        <f>IF(AND(C64&gt;0,F64&gt;0),ABS(F64-C64)/C64,"")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'_Data'!K498</f>
        <v/>
      </c>
      <c r="N64" s="36">
        <f>'_Data'!L498</f>
        <v/>
      </c>
    </row>
    <row r="65">
      <c r="A65" s="36" t="inlineStr">
        <is>
          <t>2026 W30</t>
        </is>
      </c>
      <c r="B65" s="36" t="n">
        <v>30</v>
      </c>
      <c r="C65" s="36">
        <f>'_Data'!D499</f>
        <v/>
      </c>
      <c r="D65" s="36">
        <f>'_Data'!E499</f>
        <v/>
      </c>
      <c r="E65" s="36">
        <f>'_Data'!F499</f>
        <v/>
      </c>
      <c r="F65" s="37">
        <f>'_Data'!G499</f>
        <v/>
      </c>
      <c r="G65" s="37">
        <f>'_Data'!H499</f>
        <v/>
      </c>
      <c r="H65" s="37">
        <f>'_Data'!I499</f>
        <v/>
      </c>
      <c r="I65" s="40">
        <f>'_Data'!J499</f>
        <v/>
      </c>
      <c r="J65" s="39">
        <f>IF(AND(C65&gt;0,F65&gt;0),ABS(F65-C65)/C65,"")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'_Data'!K499</f>
        <v/>
      </c>
      <c r="N65" s="36">
        <f>'_Data'!L499</f>
        <v/>
      </c>
    </row>
    <row r="66">
      <c r="A66" s="36" t="inlineStr">
        <is>
          <t>2026 W31</t>
        </is>
      </c>
      <c r="B66" s="36" t="n">
        <v>31</v>
      </c>
      <c r="C66" s="36">
        <f>'_Data'!D500</f>
        <v/>
      </c>
      <c r="D66" s="36">
        <f>'_Data'!E500</f>
        <v/>
      </c>
      <c r="E66" s="36">
        <f>'_Data'!F500</f>
        <v/>
      </c>
      <c r="F66" s="37">
        <f>'_Data'!G500</f>
        <v/>
      </c>
      <c r="G66" s="37">
        <f>'_Data'!H500</f>
        <v/>
      </c>
      <c r="H66" s="37">
        <f>'_Data'!I500</f>
        <v/>
      </c>
      <c r="I66" s="40">
        <f>'_Data'!J500</f>
        <v/>
      </c>
      <c r="J66" s="39">
        <f>IF(AND(C66&gt;0,F66&gt;0),ABS(F66-C66)/C66,"")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'_Data'!K500</f>
        <v/>
      </c>
      <c r="N66" s="36">
        <f>'_Data'!L500</f>
        <v/>
      </c>
    </row>
    <row r="67">
      <c r="A67" s="36" t="inlineStr">
        <is>
          <t>2026 W32</t>
        </is>
      </c>
      <c r="B67" s="36" t="n">
        <v>32</v>
      </c>
      <c r="C67" s="36">
        <f>'_Data'!D501</f>
        <v/>
      </c>
      <c r="D67" s="36">
        <f>'_Data'!E501</f>
        <v/>
      </c>
      <c r="E67" s="36">
        <f>'_Data'!F501</f>
        <v/>
      </c>
      <c r="F67" s="37">
        <f>'_Data'!G501</f>
        <v/>
      </c>
      <c r="G67" s="37">
        <f>'_Data'!H501</f>
        <v/>
      </c>
      <c r="H67" s="37">
        <f>'_Data'!I501</f>
        <v/>
      </c>
      <c r="I67" s="40">
        <f>'_Data'!J501</f>
        <v/>
      </c>
      <c r="J67" s="39">
        <f>IF(AND(C67&gt;0,F67&gt;0),ABS(F67-C67)/C67,"")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'_Data'!K501</f>
        <v/>
      </c>
      <c r="N67" s="36">
        <f>'_Data'!L501</f>
        <v/>
      </c>
    </row>
    <row r="68">
      <c r="A68" s="36" t="inlineStr">
        <is>
          <t>2026 W33</t>
        </is>
      </c>
      <c r="B68" s="36" t="n">
        <v>33</v>
      </c>
      <c r="C68" s="36">
        <f>'_Data'!D502</f>
        <v/>
      </c>
      <c r="D68" s="36">
        <f>'_Data'!E502</f>
        <v/>
      </c>
      <c r="E68" s="36">
        <f>'_Data'!F502</f>
        <v/>
      </c>
      <c r="F68" s="37">
        <f>'_Data'!G502</f>
        <v/>
      </c>
      <c r="G68" s="37">
        <f>'_Data'!H502</f>
        <v/>
      </c>
      <c r="H68" s="37">
        <f>'_Data'!I502</f>
        <v/>
      </c>
      <c r="I68" s="40">
        <f>'_Data'!J502</f>
        <v/>
      </c>
      <c r="J68" s="39">
        <f>IF(AND(C68&gt;0,F68&gt;0),ABS(F68-C68)/C68,"")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'_Data'!K502</f>
        <v/>
      </c>
      <c r="N68" s="36">
        <f>'_Data'!L502</f>
        <v/>
      </c>
    </row>
    <row r="69">
      <c r="A69" s="36" t="inlineStr">
        <is>
          <t>2026 W34</t>
        </is>
      </c>
      <c r="B69" s="36" t="n">
        <v>34</v>
      </c>
      <c r="C69" s="36">
        <f>'_Data'!D503</f>
        <v/>
      </c>
      <c r="D69" s="36">
        <f>'_Data'!E503</f>
        <v/>
      </c>
      <c r="E69" s="36">
        <f>'_Data'!F503</f>
        <v/>
      </c>
      <c r="F69" s="37">
        <f>'_Data'!G503</f>
        <v/>
      </c>
      <c r="G69" s="37">
        <f>'_Data'!H503</f>
        <v/>
      </c>
      <c r="H69" s="37">
        <f>'_Data'!I503</f>
        <v/>
      </c>
      <c r="I69" s="40">
        <f>'_Data'!J503</f>
        <v/>
      </c>
      <c r="J69" s="39">
        <f>IF(AND(C69&gt;0,F69&gt;0),ABS(F69-C69)/C69,"")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'_Data'!K503</f>
        <v/>
      </c>
      <c r="N69" s="36">
        <f>'_Data'!L503</f>
        <v/>
      </c>
    </row>
    <row r="70">
      <c r="A70" s="36" t="inlineStr">
        <is>
          <t>2026 W35</t>
        </is>
      </c>
      <c r="B70" s="36" t="n">
        <v>35</v>
      </c>
      <c r="C70" s="36">
        <f>'_Data'!D504</f>
        <v/>
      </c>
      <c r="D70" s="36">
        <f>'_Data'!E504</f>
        <v/>
      </c>
      <c r="E70" s="36">
        <f>'_Data'!F504</f>
        <v/>
      </c>
      <c r="F70" s="37">
        <f>'_Data'!G504</f>
        <v/>
      </c>
      <c r="G70" s="37">
        <f>'_Data'!H504</f>
        <v/>
      </c>
      <c r="H70" s="37">
        <f>'_Data'!I504</f>
        <v/>
      </c>
      <c r="I70" s="40">
        <f>'_Data'!J504</f>
        <v/>
      </c>
      <c r="J70" s="39">
        <f>IF(AND(C70&gt;0,F70&gt;0),ABS(F70-C70)/C70,"")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'_Data'!K504</f>
        <v/>
      </c>
      <c r="N70" s="36">
        <f>'_Data'!L504</f>
        <v/>
      </c>
    </row>
    <row r="71">
      <c r="A71" s="36" t="inlineStr">
        <is>
          <t>2026 W36</t>
        </is>
      </c>
      <c r="B71" s="36" t="n">
        <v>36</v>
      </c>
      <c r="C71" s="36">
        <f>'_Data'!D505</f>
        <v/>
      </c>
      <c r="D71" s="36">
        <f>'_Data'!E505</f>
        <v/>
      </c>
      <c r="E71" s="36">
        <f>'_Data'!F505</f>
        <v/>
      </c>
      <c r="F71" s="37">
        <f>'_Data'!G505</f>
        <v/>
      </c>
      <c r="G71" s="37">
        <f>'_Data'!H505</f>
        <v/>
      </c>
      <c r="H71" s="37">
        <f>'_Data'!I505</f>
        <v/>
      </c>
      <c r="I71" s="40">
        <f>'_Data'!J505</f>
        <v/>
      </c>
      <c r="J71" s="39">
        <f>IF(AND(C71&gt;0,F71&gt;0),ABS(F71-C71)/C71,"")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'_Data'!K505</f>
        <v/>
      </c>
      <c r="N71" s="36">
        <f>'_Data'!L505</f>
        <v/>
      </c>
    </row>
    <row r="72">
      <c r="A72" s="36" t="inlineStr">
        <is>
          <t>2026 W37</t>
        </is>
      </c>
      <c r="B72" s="36" t="n">
        <v>37</v>
      </c>
      <c r="C72" s="36">
        <f>'_Data'!D506</f>
        <v/>
      </c>
      <c r="D72" s="36">
        <f>'_Data'!E506</f>
        <v/>
      </c>
      <c r="E72" s="36">
        <f>'_Data'!F506</f>
        <v/>
      </c>
      <c r="F72" s="37">
        <f>'_Data'!G506</f>
        <v/>
      </c>
      <c r="G72" s="37">
        <f>'_Data'!H506</f>
        <v/>
      </c>
      <c r="H72" s="37">
        <f>'_Data'!I506</f>
        <v/>
      </c>
      <c r="I72" s="40">
        <f>'_Data'!J506</f>
        <v/>
      </c>
      <c r="J72" s="39">
        <f>IF(AND(C72&gt;0,F72&gt;0),ABS(F72-C72)/C72,"")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'_Data'!K506</f>
        <v/>
      </c>
      <c r="N72" s="36">
        <f>'_Data'!L506</f>
        <v/>
      </c>
    </row>
    <row r="73">
      <c r="A73" s="36" t="inlineStr">
        <is>
          <t>2026 W38</t>
        </is>
      </c>
      <c r="B73" s="36" t="n">
        <v>38</v>
      </c>
      <c r="C73" s="36">
        <f>'_Data'!D507</f>
        <v/>
      </c>
      <c r="D73" s="36">
        <f>'_Data'!E507</f>
        <v/>
      </c>
      <c r="E73" s="36">
        <f>'_Data'!F507</f>
        <v/>
      </c>
      <c r="F73" s="37">
        <f>'_Data'!G507</f>
        <v/>
      </c>
      <c r="G73" s="37">
        <f>'_Data'!H507</f>
        <v/>
      </c>
      <c r="H73" s="37">
        <f>'_Data'!I507</f>
        <v/>
      </c>
      <c r="I73" s="40">
        <f>'_Data'!J507</f>
        <v/>
      </c>
      <c r="J73" s="39">
        <f>IF(AND(C73&gt;0,F73&gt;0),ABS(F73-C73)/C73,"")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'_Data'!K507</f>
        <v/>
      </c>
      <c r="N73" s="36">
        <f>'_Data'!L507</f>
        <v/>
      </c>
    </row>
    <row r="74">
      <c r="A74" s="36" t="inlineStr">
        <is>
          <t>2026 W39</t>
        </is>
      </c>
      <c r="B74" s="36" t="n">
        <v>39</v>
      </c>
      <c r="C74" s="36">
        <f>'_Data'!D508</f>
        <v/>
      </c>
      <c r="D74" s="36">
        <f>'_Data'!E508</f>
        <v/>
      </c>
      <c r="E74" s="36">
        <f>'_Data'!F508</f>
        <v/>
      </c>
      <c r="F74" s="37">
        <f>'_Data'!G508</f>
        <v/>
      </c>
      <c r="G74" s="37">
        <f>'_Data'!H508</f>
        <v/>
      </c>
      <c r="H74" s="37">
        <f>'_Data'!I508</f>
        <v/>
      </c>
      <c r="I74" s="40">
        <f>'_Data'!J508</f>
        <v/>
      </c>
      <c r="J74" s="39">
        <f>IF(AND(C74&gt;0,F74&gt;0),ABS(F74-C74)/C74,"")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'_Data'!K508</f>
        <v/>
      </c>
      <c r="N74" s="36">
        <f>'_Data'!L508</f>
        <v/>
      </c>
    </row>
    <row r="75">
      <c r="A75" s="36" t="inlineStr">
        <is>
          <t>2026 W40</t>
        </is>
      </c>
      <c r="B75" s="36" t="n">
        <v>40</v>
      </c>
      <c r="C75" s="36">
        <f>'_Data'!D509</f>
        <v/>
      </c>
      <c r="D75" s="36">
        <f>'_Data'!E509</f>
        <v/>
      </c>
      <c r="E75" s="36">
        <f>'_Data'!F509</f>
        <v/>
      </c>
      <c r="F75" s="37">
        <f>'_Data'!G509</f>
        <v/>
      </c>
      <c r="G75" s="37">
        <f>'_Data'!H509</f>
        <v/>
      </c>
      <c r="H75" s="37">
        <f>'_Data'!I509</f>
        <v/>
      </c>
      <c r="I75" s="40">
        <f>'_Data'!J509</f>
        <v/>
      </c>
      <c r="J75" s="39">
        <f>IF(AND(C75&gt;0,F75&gt;0),ABS(F75-C75)/C75,"")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'_Data'!K509</f>
        <v/>
      </c>
      <c r="N75" s="36">
        <f>'_Data'!L509</f>
        <v/>
      </c>
    </row>
    <row r="76">
      <c r="A76" s="36" t="inlineStr">
        <is>
          <t>2026 W41</t>
        </is>
      </c>
      <c r="B76" s="36" t="n">
        <v>41</v>
      </c>
      <c r="C76" s="36">
        <f>'_Data'!D510</f>
        <v/>
      </c>
      <c r="D76" s="36">
        <f>'_Data'!E510</f>
        <v/>
      </c>
      <c r="E76" s="36">
        <f>'_Data'!F510</f>
        <v/>
      </c>
      <c r="F76" s="37">
        <f>'_Data'!G510</f>
        <v/>
      </c>
      <c r="G76" s="37">
        <f>'_Data'!H510</f>
        <v/>
      </c>
      <c r="H76" s="37">
        <f>'_Data'!I510</f>
        <v/>
      </c>
      <c r="I76" s="40">
        <f>'_Data'!J510</f>
        <v/>
      </c>
      <c r="J76" s="39">
        <f>IF(AND(C76&gt;0,F76&gt;0),ABS(F76-C76)/C76,"")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'_Data'!K510</f>
        <v/>
      </c>
      <c r="N76" s="36">
        <f>'_Data'!L510</f>
        <v/>
      </c>
    </row>
    <row r="77">
      <c r="A77" s="36" t="inlineStr">
        <is>
          <t>2026 W42</t>
        </is>
      </c>
      <c r="B77" s="36" t="n">
        <v>42</v>
      </c>
      <c r="C77" s="36">
        <f>'_Data'!D511</f>
        <v/>
      </c>
      <c r="D77" s="36">
        <f>'_Data'!E511</f>
        <v/>
      </c>
      <c r="E77" s="36">
        <f>'_Data'!F511</f>
        <v/>
      </c>
      <c r="F77" s="37">
        <f>'_Data'!G511</f>
        <v/>
      </c>
      <c r="G77" s="37">
        <f>'_Data'!H511</f>
        <v/>
      </c>
      <c r="H77" s="37">
        <f>'_Data'!I511</f>
        <v/>
      </c>
      <c r="I77" s="40">
        <f>'_Data'!J511</f>
        <v/>
      </c>
      <c r="J77" s="39">
        <f>IF(AND(C77&gt;0,F77&gt;0),ABS(F77-C77)/C77,"")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'_Data'!K511</f>
        <v/>
      </c>
      <c r="N77" s="36">
        <f>'_Data'!L511</f>
        <v/>
      </c>
    </row>
    <row r="78">
      <c r="A78" s="36" t="inlineStr">
        <is>
          <t>2026 W43</t>
        </is>
      </c>
      <c r="B78" s="36" t="n">
        <v>43</v>
      </c>
      <c r="C78" s="36">
        <f>'_Data'!D512</f>
        <v/>
      </c>
      <c r="D78" s="36">
        <f>'_Data'!E512</f>
        <v/>
      </c>
      <c r="E78" s="36">
        <f>'_Data'!F512</f>
        <v/>
      </c>
      <c r="F78" s="37">
        <f>'_Data'!G512</f>
        <v/>
      </c>
      <c r="G78" s="37">
        <f>'_Data'!H512</f>
        <v/>
      </c>
      <c r="H78" s="37">
        <f>'_Data'!I512</f>
        <v/>
      </c>
      <c r="I78" s="40">
        <f>'_Data'!J512</f>
        <v/>
      </c>
      <c r="J78" s="39">
        <f>IF(AND(C78&gt;0,F78&gt;0),ABS(F78-C78)/C78,"")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'_Data'!K512</f>
        <v/>
      </c>
      <c r="N78" s="36">
        <f>'_Data'!L512</f>
        <v/>
      </c>
    </row>
    <row r="79">
      <c r="A79" s="36" t="inlineStr">
        <is>
          <t>2026 W44</t>
        </is>
      </c>
      <c r="B79" s="36" t="n">
        <v>44</v>
      </c>
      <c r="C79" s="36">
        <f>'_Data'!D513</f>
        <v/>
      </c>
      <c r="D79" s="36">
        <f>'_Data'!E513</f>
        <v/>
      </c>
      <c r="E79" s="36">
        <f>'_Data'!F513</f>
        <v/>
      </c>
      <c r="F79" s="37">
        <f>'_Data'!G513</f>
        <v/>
      </c>
      <c r="G79" s="37">
        <f>'_Data'!H513</f>
        <v/>
      </c>
      <c r="H79" s="37">
        <f>'_Data'!I513</f>
        <v/>
      </c>
      <c r="I79" s="40">
        <f>'_Data'!J513</f>
        <v/>
      </c>
      <c r="J79" s="39">
        <f>IF(AND(C79&gt;0,F79&gt;0),ABS(F79-C79)/C79,"")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'_Data'!K513</f>
        <v/>
      </c>
      <c r="N79" s="36">
        <f>'_Data'!L513</f>
        <v/>
      </c>
    </row>
    <row r="80">
      <c r="A80" s="36" t="inlineStr">
        <is>
          <t>2026 W45</t>
        </is>
      </c>
      <c r="B80" s="36" t="n">
        <v>45</v>
      </c>
      <c r="C80" s="36">
        <f>'_Data'!D514</f>
        <v/>
      </c>
      <c r="D80" s="36">
        <f>'_Data'!E514</f>
        <v/>
      </c>
      <c r="E80" s="36">
        <f>'_Data'!F514</f>
        <v/>
      </c>
      <c r="F80" s="37">
        <f>'_Data'!G514</f>
        <v/>
      </c>
      <c r="G80" s="37">
        <f>'_Data'!H514</f>
        <v/>
      </c>
      <c r="H80" s="37">
        <f>'_Data'!I514</f>
        <v/>
      </c>
      <c r="I80" s="40">
        <f>'_Data'!J514</f>
        <v/>
      </c>
      <c r="J80" s="39">
        <f>IF(AND(C80&gt;0,F80&gt;0),ABS(F80-C80)/C80,"")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'_Data'!K514</f>
        <v/>
      </c>
      <c r="N80" s="36">
        <f>'_Data'!L514</f>
        <v/>
      </c>
    </row>
    <row r="81">
      <c r="A81" s="36" t="inlineStr">
        <is>
          <t>2026 W46</t>
        </is>
      </c>
      <c r="B81" s="36" t="n">
        <v>46</v>
      </c>
      <c r="C81" s="36">
        <f>'_Data'!D515</f>
        <v/>
      </c>
      <c r="D81" s="36">
        <f>'_Data'!E515</f>
        <v/>
      </c>
      <c r="E81" s="36">
        <f>'_Data'!F515</f>
        <v/>
      </c>
      <c r="F81" s="37">
        <f>'_Data'!G515</f>
        <v/>
      </c>
      <c r="G81" s="37">
        <f>'_Data'!H515</f>
        <v/>
      </c>
      <c r="H81" s="37">
        <f>'_Data'!I515</f>
        <v/>
      </c>
      <c r="I81" s="40">
        <f>'_Data'!J515</f>
        <v/>
      </c>
      <c r="J81" s="39">
        <f>IF(AND(C81&gt;0,F81&gt;0),ABS(F81-C81)/C81,"")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'_Data'!K515</f>
        <v/>
      </c>
      <c r="N81" s="36">
        <f>'_Data'!L515</f>
        <v/>
      </c>
    </row>
    <row r="82">
      <c r="A82" s="36" t="inlineStr">
        <is>
          <t>2026 W47</t>
        </is>
      </c>
      <c r="B82" s="36" t="n">
        <v>47</v>
      </c>
      <c r="C82" s="36">
        <f>'_Data'!D516</f>
        <v/>
      </c>
      <c r="D82" s="36">
        <f>'_Data'!E516</f>
        <v/>
      </c>
      <c r="E82" s="36">
        <f>'_Data'!F516</f>
        <v/>
      </c>
      <c r="F82" s="37">
        <f>'_Data'!G516</f>
        <v/>
      </c>
      <c r="G82" s="37">
        <f>'_Data'!H516</f>
        <v/>
      </c>
      <c r="H82" s="37">
        <f>'_Data'!I516</f>
        <v/>
      </c>
      <c r="I82" s="40">
        <f>'_Data'!J516</f>
        <v/>
      </c>
      <c r="J82" s="39">
        <f>IF(AND(C82&gt;0,F82&gt;0),ABS(F82-C82)/C82,"")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'_Data'!K516</f>
        <v/>
      </c>
      <c r="N82" s="36">
        <f>'_Data'!L516</f>
        <v/>
      </c>
    </row>
    <row r="83">
      <c r="A83" s="36" t="inlineStr">
        <is>
          <t>2026 W48</t>
        </is>
      </c>
      <c r="B83" s="36" t="n">
        <v>48</v>
      </c>
      <c r="C83" s="36">
        <f>'_Data'!D517</f>
        <v/>
      </c>
      <c r="D83" s="36">
        <f>'_Data'!E517</f>
        <v/>
      </c>
      <c r="E83" s="36">
        <f>'_Data'!F517</f>
        <v/>
      </c>
      <c r="F83" s="37">
        <f>'_Data'!G517</f>
        <v/>
      </c>
      <c r="G83" s="37">
        <f>'_Data'!H517</f>
        <v/>
      </c>
      <c r="H83" s="37">
        <f>'_Data'!I517</f>
        <v/>
      </c>
      <c r="I83" s="40">
        <f>'_Data'!J517</f>
        <v/>
      </c>
      <c r="J83" s="39">
        <f>IF(AND(C83&gt;0,F83&gt;0),ABS(F83-C83)/C83,"")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'_Data'!K517</f>
        <v/>
      </c>
      <c r="N83" s="36">
        <f>'_Data'!L517</f>
        <v/>
      </c>
    </row>
    <row r="84">
      <c r="A84" s="36" t="inlineStr">
        <is>
          <t>2026 W49</t>
        </is>
      </c>
      <c r="B84" s="36" t="n">
        <v>49</v>
      </c>
      <c r="C84" s="36">
        <f>'_Data'!D518</f>
        <v/>
      </c>
      <c r="D84" s="36">
        <f>'_Data'!E518</f>
        <v/>
      </c>
      <c r="E84" s="36">
        <f>'_Data'!F518</f>
        <v/>
      </c>
      <c r="F84" s="37">
        <f>'_Data'!G518</f>
        <v/>
      </c>
      <c r="G84" s="37">
        <f>'_Data'!H518</f>
        <v/>
      </c>
      <c r="H84" s="37">
        <f>'_Data'!I518</f>
        <v/>
      </c>
      <c r="I84" s="40">
        <f>'_Data'!J518</f>
        <v/>
      </c>
      <c r="J84" s="39">
        <f>IF(AND(C84&gt;0,F84&gt;0),ABS(F84-C84)/C84,"")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'_Data'!K518</f>
        <v/>
      </c>
      <c r="N84" s="36">
        <f>'_Data'!L518</f>
        <v/>
      </c>
    </row>
    <row r="85">
      <c r="A85" s="36" t="inlineStr">
        <is>
          <t>2026 W50</t>
        </is>
      </c>
      <c r="B85" s="36" t="n">
        <v>50</v>
      </c>
      <c r="C85" s="36">
        <f>'_Data'!D519</f>
        <v/>
      </c>
      <c r="D85" s="36">
        <f>'_Data'!E519</f>
        <v/>
      </c>
      <c r="E85" s="36">
        <f>'_Data'!F519</f>
        <v/>
      </c>
      <c r="F85" s="37">
        <f>'_Data'!G519</f>
        <v/>
      </c>
      <c r="G85" s="37">
        <f>'_Data'!H519</f>
        <v/>
      </c>
      <c r="H85" s="37">
        <f>'_Data'!I519</f>
        <v/>
      </c>
      <c r="I85" s="40">
        <f>'_Data'!J519</f>
        <v/>
      </c>
      <c r="J85" s="39">
        <f>IF(AND(C85&gt;0,F85&gt;0),ABS(F85-C85)/C85,"")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'_Data'!K519</f>
        <v/>
      </c>
      <c r="N85" s="36">
        <f>'_Data'!L519</f>
        <v/>
      </c>
    </row>
    <row r="86">
      <c r="A86" s="36" t="inlineStr">
        <is>
          <t>2026 W51</t>
        </is>
      </c>
      <c r="B86" s="36" t="n">
        <v>51</v>
      </c>
      <c r="C86" s="36">
        <f>'_Data'!D520</f>
        <v/>
      </c>
      <c r="D86" s="36">
        <f>'_Data'!E520</f>
        <v/>
      </c>
      <c r="E86" s="36">
        <f>'_Data'!F520</f>
        <v/>
      </c>
      <c r="F86" s="37">
        <f>'_Data'!G520</f>
        <v/>
      </c>
      <c r="G86" s="37">
        <f>'_Data'!H520</f>
        <v/>
      </c>
      <c r="H86" s="37">
        <f>'_Data'!I520</f>
        <v/>
      </c>
      <c r="I86" s="40">
        <f>'_Data'!J520</f>
        <v/>
      </c>
      <c r="J86" s="39">
        <f>IF(AND(C86&gt;0,F86&gt;0),ABS(F86-C86)/C86,"")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'_Data'!K520</f>
        <v/>
      </c>
      <c r="N86" s="36">
        <f>'_Data'!L520</f>
        <v/>
      </c>
    </row>
    <row r="87">
      <c r="A87" s="36" t="inlineStr">
        <is>
          <t>2026 W52</t>
        </is>
      </c>
      <c r="B87" s="36" t="n">
        <v>52</v>
      </c>
      <c r="C87" s="36">
        <f>'_Data'!D521</f>
        <v/>
      </c>
      <c r="D87" s="36">
        <f>'_Data'!E521</f>
        <v/>
      </c>
      <c r="E87" s="36">
        <f>'_Data'!F521</f>
        <v/>
      </c>
      <c r="F87" s="37">
        <f>'_Data'!G521</f>
        <v/>
      </c>
      <c r="G87" s="37">
        <f>'_Data'!H521</f>
        <v/>
      </c>
      <c r="H87" s="37">
        <f>'_Data'!I521</f>
        <v/>
      </c>
      <c r="I87" s="40">
        <f>'_Data'!J521</f>
        <v/>
      </c>
      <c r="J87" s="39">
        <f>IF(AND(C87&gt;0,F87&gt;0),ABS(F87-C87)/C87,"")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'_Data'!K521</f>
        <v/>
      </c>
      <c r="N87" s="36">
        <f>'_Data'!L521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16A085"/>
      </dataBar>
    </cfRule>
  </conditionalFormatting>
  <conditionalFormatting sqref="J36:J87">
    <cfRule type="colorScale" priority="2">
      <colorScale>
        <cfvo type="num" val="0"/>
        <cfvo type="num" val="0.1"/>
        <cfvo type="num" val="0.3"/>
        <color rgb="FF27AE60"/>
        <color rgb="FFFFFFFF"/>
        <color rgb="FFE74C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Week</t>
        </is>
      </c>
      <c r="C1" t="inlineStr">
        <is>
          <t>Wk#</t>
        </is>
      </c>
      <c r="D1" t="inlineStr">
        <is>
          <t>Actual_Regs</t>
        </is>
      </c>
      <c r="E1" t="inlineStr">
        <is>
          <t>Actual_Cost</t>
        </is>
      </c>
      <c r="F1" t="inlineStr">
        <is>
          <t>Actual_CPA</t>
        </is>
      </c>
      <c r="G1" t="inlineStr">
        <is>
          <t>Pred_Regs</t>
        </is>
      </c>
      <c r="H1" t="inlineStr">
        <is>
          <t>CI_Lo</t>
        </is>
      </c>
      <c r="I1" t="inlineStr">
        <is>
          <t>CI_Hi</t>
        </is>
      </c>
      <c r="J1" t="inlineStr">
        <is>
          <t>Conf</t>
        </is>
      </c>
      <c r="K1" t="inlineStr">
        <is>
          <t>Brand_Regs</t>
        </is>
      </c>
      <c r="L1" t="inlineStr">
        <is>
          <t>NB_Regs</t>
        </is>
      </c>
      <c r="M1" t="inlineStr">
        <is>
          <t>OP2_Regs</t>
        </is>
      </c>
    </row>
    <row r="2">
      <c r="A2" t="inlineStr">
        <is>
          <t>US</t>
        </is>
      </c>
      <c r="B2" t="inlineStr">
        <is>
          <t>W1</t>
        </is>
      </c>
      <c r="C2" t="n">
        <v>1</v>
      </c>
      <c r="D2" t="n">
        <v>8107</v>
      </c>
      <c r="E2" t="n">
        <v>559432</v>
      </c>
      <c r="F2" t="n">
        <v>69.01000000000001</v>
      </c>
      <c r="G2" t="n">
        <v>6612</v>
      </c>
      <c r="H2" t="n">
        <v>4847</v>
      </c>
      <c r="I2" t="n">
        <v>7984</v>
      </c>
      <c r="J2" t="n">
        <v>0.7</v>
      </c>
      <c r="K2" t="n">
        <v>2373</v>
      </c>
      <c r="L2" t="n">
        <v>5734</v>
      </c>
      <c r="M2" t="n">
        <v>7609</v>
      </c>
    </row>
    <row r="3">
      <c r="A3" t="inlineStr">
        <is>
          <t>US</t>
        </is>
      </c>
      <c r="B3" t="inlineStr">
        <is>
          <t>W2</t>
        </is>
      </c>
      <c r="C3" t="n">
        <v>2</v>
      </c>
      <c r="D3" t="n">
        <v>9060</v>
      </c>
      <c r="E3" t="n">
        <v>639407</v>
      </c>
      <c r="F3" t="n">
        <v>70.56999999999999</v>
      </c>
      <c r="G3" t="n">
        <v>6934</v>
      </c>
      <c r="H3" t="n">
        <v>5318</v>
      </c>
      <c r="I3" t="n">
        <v>8787</v>
      </c>
      <c r="J3" t="n">
        <v>0.7</v>
      </c>
      <c r="K3" t="n">
        <v>2957</v>
      </c>
      <c r="L3" t="n">
        <v>6103</v>
      </c>
      <c r="M3" t="n">
        <v>7609</v>
      </c>
    </row>
    <row r="4">
      <c r="A4" t="inlineStr">
        <is>
          <t>US</t>
        </is>
      </c>
      <c r="B4" t="inlineStr">
        <is>
          <t>W3</t>
        </is>
      </c>
      <c r="C4" t="n">
        <v>3</v>
      </c>
      <c r="D4" t="n">
        <v>9133</v>
      </c>
      <c r="E4" t="n">
        <v>615693</v>
      </c>
      <c r="F4" t="n">
        <v>67.41</v>
      </c>
      <c r="G4" t="n">
        <v>6494</v>
      </c>
      <c r="H4" t="n">
        <v>5256</v>
      </c>
      <c r="I4" t="n">
        <v>8746</v>
      </c>
      <c r="J4" t="n">
        <v>0.7</v>
      </c>
      <c r="K4" t="n">
        <v>2995</v>
      </c>
      <c r="L4" t="n">
        <v>6138</v>
      </c>
      <c r="M4" t="n">
        <v>7609</v>
      </c>
    </row>
    <row r="5">
      <c r="A5" t="inlineStr">
        <is>
          <t>US</t>
        </is>
      </c>
      <c r="B5" t="inlineStr">
        <is>
          <t>W4</t>
        </is>
      </c>
      <c r="C5" t="n">
        <v>4</v>
      </c>
      <c r="D5" t="n">
        <v>8517</v>
      </c>
      <c r="E5" t="n">
        <v>598992</v>
      </c>
      <c r="F5" t="n">
        <v>70.33</v>
      </c>
      <c r="G5" t="n">
        <v>6370</v>
      </c>
      <c r="H5" t="n">
        <v>5233</v>
      </c>
      <c r="I5" t="n">
        <v>8745</v>
      </c>
      <c r="J5" t="n">
        <v>0.7</v>
      </c>
      <c r="K5" t="n">
        <v>2734</v>
      </c>
      <c r="L5" t="n">
        <v>5783</v>
      </c>
      <c r="M5" t="n">
        <v>7609</v>
      </c>
    </row>
    <row r="6">
      <c r="A6" t="inlineStr">
        <is>
          <t>US</t>
        </is>
      </c>
      <c r="B6" t="inlineStr">
        <is>
          <t>W5</t>
        </is>
      </c>
      <c r="C6" t="n">
        <v>5</v>
      </c>
      <c r="D6" t="n">
        <v>8827</v>
      </c>
      <c r="E6" t="n">
        <v>606584</v>
      </c>
      <c r="F6" t="n">
        <v>68.72</v>
      </c>
      <c r="G6" t="n">
        <v>6967</v>
      </c>
      <c r="H6" t="n">
        <v>5301</v>
      </c>
      <c r="I6" t="n">
        <v>8811</v>
      </c>
      <c r="J6" t="n">
        <v>0.7</v>
      </c>
      <c r="K6" t="n">
        <v>2895</v>
      </c>
      <c r="L6" t="n">
        <v>5932</v>
      </c>
      <c r="M6" t="n">
        <v>7081</v>
      </c>
    </row>
    <row r="7">
      <c r="A7" t="inlineStr">
        <is>
          <t>US</t>
        </is>
      </c>
      <c r="B7" t="inlineStr">
        <is>
          <t>W6</t>
        </is>
      </c>
      <c r="C7" t="n">
        <v>6</v>
      </c>
      <c r="D7" t="n">
        <v>8852</v>
      </c>
      <c r="E7" t="n">
        <v>701435</v>
      </c>
      <c r="F7" t="n">
        <v>79.23999999999999</v>
      </c>
      <c r="G7" t="n">
        <v>7403</v>
      </c>
      <c r="H7" t="n">
        <v>5493</v>
      </c>
      <c r="I7" t="n">
        <v>9138</v>
      </c>
      <c r="J7" t="n">
        <v>0.7</v>
      </c>
      <c r="K7" t="n">
        <v>2867</v>
      </c>
      <c r="L7" t="n">
        <v>5985</v>
      </c>
      <c r="M7" t="n">
        <v>7081</v>
      </c>
    </row>
    <row r="8">
      <c r="A8" t="inlineStr">
        <is>
          <t>US</t>
        </is>
      </c>
      <c r="B8" t="inlineStr">
        <is>
          <t>W7</t>
        </is>
      </c>
      <c r="C8" t="n">
        <v>7</v>
      </c>
      <c r="D8" t="n">
        <v>7727</v>
      </c>
      <c r="E8" t="n">
        <v>718117</v>
      </c>
      <c r="F8" t="n">
        <v>92.94</v>
      </c>
      <c r="G8" t="n">
        <v>6795</v>
      </c>
      <c r="H8" t="n">
        <v>5071</v>
      </c>
      <c r="I8" t="n">
        <v>8454</v>
      </c>
      <c r="J8" t="n">
        <v>0.7</v>
      </c>
      <c r="K8" t="n">
        <v>2490</v>
      </c>
      <c r="L8" t="n">
        <v>5237</v>
      </c>
      <c r="M8" t="n">
        <v>7081</v>
      </c>
    </row>
    <row r="9">
      <c r="A9" t="inlineStr">
        <is>
          <t>US</t>
        </is>
      </c>
      <c r="B9" t="inlineStr">
        <is>
          <t>W8</t>
        </is>
      </c>
      <c r="C9" t="n">
        <v>8</v>
      </c>
      <c r="D9" t="n">
        <v>7948</v>
      </c>
      <c r="E9" t="n">
        <v>666881</v>
      </c>
      <c r="F9" t="n">
        <v>83.91</v>
      </c>
      <c r="G9" t="n">
        <v>7449</v>
      </c>
      <c r="H9" t="n">
        <v>5460</v>
      </c>
      <c r="I9" t="n">
        <v>9122</v>
      </c>
      <c r="J9" t="n">
        <v>0.7</v>
      </c>
      <c r="K9" t="n">
        <v>2582</v>
      </c>
      <c r="L9" t="n">
        <v>5366</v>
      </c>
      <c r="M9" t="n">
        <v>7081</v>
      </c>
    </row>
    <row r="10">
      <c r="A10" t="inlineStr">
        <is>
          <t>US</t>
        </is>
      </c>
      <c r="B10" t="inlineStr">
        <is>
          <t>W9</t>
        </is>
      </c>
      <c r="C10" t="n">
        <v>9</v>
      </c>
      <c r="D10" t="n">
        <v>8007</v>
      </c>
      <c r="E10" t="n">
        <v>655795</v>
      </c>
      <c r="F10" t="n">
        <v>81.90000000000001</v>
      </c>
      <c r="G10" t="n">
        <v>7306</v>
      </c>
      <c r="H10" t="n">
        <v>5284</v>
      </c>
      <c r="I10" t="n">
        <v>8832</v>
      </c>
      <c r="J10" t="n">
        <v>0.7</v>
      </c>
      <c r="K10" t="n">
        <v>2476</v>
      </c>
      <c r="L10" t="n">
        <v>5531</v>
      </c>
      <c r="M10" t="n">
        <v>6103</v>
      </c>
    </row>
    <row r="11">
      <c r="A11" t="inlineStr">
        <is>
          <t>US</t>
        </is>
      </c>
      <c r="B11" t="inlineStr">
        <is>
          <t>W10</t>
        </is>
      </c>
      <c r="C11" t="n">
        <v>10</v>
      </c>
      <c r="D11" t="n">
        <v>7535</v>
      </c>
      <c r="E11" t="n">
        <v>599583</v>
      </c>
      <c r="F11" t="n">
        <v>79.56999999999999</v>
      </c>
      <c r="G11" t="n">
        <v>7142</v>
      </c>
      <c r="H11" t="n">
        <v>5236</v>
      </c>
      <c r="I11" t="n">
        <v>8748</v>
      </c>
      <c r="J11" t="n">
        <v>0.7</v>
      </c>
      <c r="K11" t="n">
        <v>2420</v>
      </c>
      <c r="L11" t="n">
        <v>5115</v>
      </c>
      <c r="M11" t="n">
        <v>6103</v>
      </c>
    </row>
    <row r="12">
      <c r="A12" t="inlineStr">
        <is>
          <t>US</t>
        </is>
      </c>
      <c r="B12" t="inlineStr">
        <is>
          <t>W11</t>
        </is>
      </c>
      <c r="C12" t="n">
        <v>11</v>
      </c>
      <c r="D12" t="n">
        <v>8281</v>
      </c>
      <c r="E12" t="n">
        <v>645300</v>
      </c>
      <c r="F12" t="n">
        <v>77.93000000000001</v>
      </c>
      <c r="G12" t="n">
        <v>7107</v>
      </c>
      <c r="H12" t="n">
        <v>5305</v>
      </c>
      <c r="I12" t="n">
        <v>8843</v>
      </c>
      <c r="J12" t="n">
        <v>0.7</v>
      </c>
      <c r="K12" t="n">
        <v>2497</v>
      </c>
      <c r="L12" t="n">
        <v>5784</v>
      </c>
      <c r="M12" t="n">
        <v>6103</v>
      </c>
    </row>
    <row r="13">
      <c r="A13" t="inlineStr">
        <is>
          <t>US</t>
        </is>
      </c>
      <c r="B13" t="inlineStr">
        <is>
          <t>W12</t>
        </is>
      </c>
      <c r="C13" t="n">
        <v>12</v>
      </c>
      <c r="D13" t="n">
        <v>8129</v>
      </c>
      <c r="E13" t="n">
        <v>598574</v>
      </c>
      <c r="F13" t="n">
        <v>73.63</v>
      </c>
      <c r="G13" t="n">
        <v>7207</v>
      </c>
      <c r="H13" t="n">
        <v>5431</v>
      </c>
      <c r="I13" t="n">
        <v>9058</v>
      </c>
      <c r="J13" t="n">
        <v>0.7</v>
      </c>
      <c r="K13" t="n">
        <v>2504</v>
      </c>
      <c r="L13" t="n">
        <v>5625</v>
      </c>
      <c r="M13" t="n">
        <v>6103</v>
      </c>
    </row>
    <row r="14">
      <c r="A14" t="inlineStr">
        <is>
          <t>US</t>
        </is>
      </c>
      <c r="B14" t="inlineStr">
        <is>
          <t>W13</t>
        </is>
      </c>
      <c r="C14" t="n">
        <v>13</v>
      </c>
      <c r="D14" t="n">
        <v>8619</v>
      </c>
      <c r="E14" t="n">
        <v>582890</v>
      </c>
      <c r="F14" t="n">
        <v>67.63</v>
      </c>
      <c r="G14" t="n">
        <v>5948</v>
      </c>
      <c r="H14" t="n">
        <v>4508</v>
      </c>
      <c r="I14" t="n">
        <v>7516</v>
      </c>
      <c r="J14" t="n">
        <v>0.7</v>
      </c>
      <c r="K14" t="n">
        <v>2639</v>
      </c>
      <c r="L14" t="n">
        <v>5980</v>
      </c>
      <c r="M14" t="n">
        <v>6103</v>
      </c>
    </row>
    <row r="15">
      <c r="A15" t="inlineStr">
        <is>
          <t>US</t>
        </is>
      </c>
      <c r="B15" t="inlineStr">
        <is>
          <t>W14</t>
        </is>
      </c>
      <c r="C15" t="n">
        <v>14</v>
      </c>
      <c r="D15" t="n">
        <v>7559</v>
      </c>
      <c r="E15" t="n">
        <v>667731</v>
      </c>
      <c r="F15" t="n">
        <v>88.34</v>
      </c>
      <c r="G15" t="n">
        <v>5557</v>
      </c>
      <c r="H15" t="n">
        <v>4291</v>
      </c>
      <c r="I15" t="n">
        <v>7165</v>
      </c>
      <c r="J15" t="n">
        <v>0.7</v>
      </c>
      <c r="K15" t="n">
        <v>2091</v>
      </c>
      <c r="L15" t="n">
        <v>5468</v>
      </c>
      <c r="M15" t="n">
        <v>7769</v>
      </c>
    </row>
    <row r="16">
      <c r="A16" t="inlineStr">
        <is>
          <t>US</t>
        </is>
      </c>
      <c r="B16" t="inlineStr">
        <is>
          <t>W15</t>
        </is>
      </c>
      <c r="C16" t="n">
        <v>15</v>
      </c>
      <c r="D16" t="n">
        <v>9236</v>
      </c>
      <c r="E16" t="n">
        <v>678282</v>
      </c>
      <c r="F16" t="n">
        <v>73.44</v>
      </c>
      <c r="G16" t="n">
        <v>5300</v>
      </c>
      <c r="H16" t="n">
        <v>2635</v>
      </c>
      <c r="I16" t="n">
        <v>7679</v>
      </c>
      <c r="J16" t="n">
        <v>0.7</v>
      </c>
      <c r="K16" t="n">
        <v>2696</v>
      </c>
      <c r="L16" t="n">
        <v>6540</v>
      </c>
      <c r="M16" t="n">
        <v>7769</v>
      </c>
    </row>
    <row r="17">
      <c r="A17" t="inlineStr">
        <is>
          <t>US</t>
        </is>
      </c>
      <c r="B17" t="inlineStr">
        <is>
          <t>W16</t>
        </is>
      </c>
      <c r="C17" t="n">
        <v>16</v>
      </c>
      <c r="G17" t="n">
        <v>8040</v>
      </c>
      <c r="H17" t="n">
        <v>7395</v>
      </c>
      <c r="I17" t="n">
        <v>8685</v>
      </c>
      <c r="J17" t="n">
        <v>0.7</v>
      </c>
      <c r="M17" t="n">
        <v>7769</v>
      </c>
    </row>
    <row r="18">
      <c r="A18" t="inlineStr">
        <is>
          <t>US</t>
        </is>
      </c>
      <c r="B18" t="inlineStr">
        <is>
          <t>W17</t>
        </is>
      </c>
      <c r="C18" t="n">
        <v>17</v>
      </c>
      <c r="G18" t="n">
        <v>6250</v>
      </c>
      <c r="H18" t="n">
        <v>5034</v>
      </c>
      <c r="I18" t="n">
        <v>7722</v>
      </c>
      <c r="J18" t="n">
        <v>0.7</v>
      </c>
      <c r="M18" t="n">
        <v>7769</v>
      </c>
    </row>
    <row r="19">
      <c r="A19" t="inlineStr">
        <is>
          <t>US</t>
        </is>
      </c>
      <c r="B19" t="inlineStr">
        <is>
          <t>W18</t>
        </is>
      </c>
      <c r="C19" t="n">
        <v>18</v>
      </c>
      <c r="G19" t="n">
        <v>6162</v>
      </c>
      <c r="H19" t="n">
        <v>4962</v>
      </c>
      <c r="I19" t="n">
        <v>7613</v>
      </c>
      <c r="J19" t="n">
        <v>0.7</v>
      </c>
      <c r="M19" t="n">
        <v>6207</v>
      </c>
    </row>
    <row r="20">
      <c r="A20" t="inlineStr">
        <is>
          <t>US</t>
        </is>
      </c>
      <c r="B20" t="inlineStr">
        <is>
          <t>W19</t>
        </is>
      </c>
      <c r="C20" t="n">
        <v>19</v>
      </c>
      <c r="G20" t="n">
        <v>6357</v>
      </c>
      <c r="H20" t="n">
        <v>5119</v>
      </c>
      <c r="I20" t="n">
        <v>7853</v>
      </c>
      <c r="J20" t="n">
        <v>0.7</v>
      </c>
      <c r="M20" t="n">
        <v>6207</v>
      </c>
    </row>
    <row r="21">
      <c r="A21" t="inlineStr">
        <is>
          <t>US</t>
        </is>
      </c>
      <c r="B21" t="inlineStr">
        <is>
          <t>W20</t>
        </is>
      </c>
      <c r="C21" t="n">
        <v>20</v>
      </c>
      <c r="G21" t="n">
        <v>5955</v>
      </c>
      <c r="H21" t="n">
        <v>4796</v>
      </c>
      <c r="I21" t="n">
        <v>7357</v>
      </c>
      <c r="J21" t="n">
        <v>0.7</v>
      </c>
      <c r="M21" t="n">
        <v>6207</v>
      </c>
    </row>
    <row r="22">
      <c r="A22" t="inlineStr">
        <is>
          <t>US</t>
        </is>
      </c>
      <c r="B22" t="inlineStr">
        <is>
          <t>W21</t>
        </is>
      </c>
      <c r="C22" t="n">
        <v>21</v>
      </c>
      <c r="G22" t="n">
        <v>6513</v>
      </c>
      <c r="H22" t="n">
        <v>5245</v>
      </c>
      <c r="I22" t="n">
        <v>8046</v>
      </c>
      <c r="J22" t="n">
        <v>0.7</v>
      </c>
      <c r="M22" t="n">
        <v>6207</v>
      </c>
    </row>
    <row r="23">
      <c r="A23" t="inlineStr">
        <is>
          <t>US</t>
        </is>
      </c>
      <c r="B23" t="inlineStr">
        <is>
          <t>W22</t>
        </is>
      </c>
      <c r="C23" t="n">
        <v>22</v>
      </c>
      <c r="G23" t="n">
        <v>6403</v>
      </c>
      <c r="H23" t="n">
        <v>5156</v>
      </c>
      <c r="I23" t="n">
        <v>7909</v>
      </c>
      <c r="J23" t="n">
        <v>0.7</v>
      </c>
      <c r="M23" t="n">
        <v>6207</v>
      </c>
    </row>
    <row r="24">
      <c r="A24" t="inlineStr">
        <is>
          <t>US</t>
        </is>
      </c>
      <c r="B24" t="inlineStr">
        <is>
          <t>W23</t>
        </is>
      </c>
      <c r="C24" t="n">
        <v>23</v>
      </c>
      <c r="G24" t="n">
        <v>6338</v>
      </c>
      <c r="H24" t="n">
        <v>5104</v>
      </c>
      <c r="I24" t="n">
        <v>7830</v>
      </c>
      <c r="J24" t="n">
        <v>0.7</v>
      </c>
      <c r="M24" t="n">
        <v>7473</v>
      </c>
    </row>
    <row r="25">
      <c r="A25" t="inlineStr">
        <is>
          <t>US</t>
        </is>
      </c>
      <c r="B25" t="inlineStr">
        <is>
          <t>W24</t>
        </is>
      </c>
      <c r="C25" t="n">
        <v>24</v>
      </c>
      <c r="G25" t="n">
        <v>7269</v>
      </c>
      <c r="H25" t="n">
        <v>5854</v>
      </c>
      <c r="I25" t="n">
        <v>8980</v>
      </c>
      <c r="J25" t="n">
        <v>0.7</v>
      </c>
      <c r="M25" t="n">
        <v>7473</v>
      </c>
    </row>
    <row r="26">
      <c r="A26" t="inlineStr">
        <is>
          <t>US</t>
        </is>
      </c>
      <c r="B26" t="inlineStr">
        <is>
          <t>W25</t>
        </is>
      </c>
      <c r="C26" t="n">
        <v>25</v>
      </c>
      <c r="G26" t="n">
        <v>6690</v>
      </c>
      <c r="H26" t="n">
        <v>5388</v>
      </c>
      <c r="I26" t="n">
        <v>8265</v>
      </c>
      <c r="J26" t="n">
        <v>0.7</v>
      </c>
      <c r="M26" t="n">
        <v>7473</v>
      </c>
    </row>
    <row r="27">
      <c r="A27" t="inlineStr">
        <is>
          <t>US</t>
        </is>
      </c>
      <c r="B27" t="inlineStr">
        <is>
          <t>W26</t>
        </is>
      </c>
      <c r="C27" t="n">
        <v>26</v>
      </c>
      <c r="G27" t="n">
        <v>7999</v>
      </c>
      <c r="H27" t="n">
        <v>6442</v>
      </c>
      <c r="I27" t="n">
        <v>9882</v>
      </c>
      <c r="J27" t="n">
        <v>0.7</v>
      </c>
      <c r="M27" t="n">
        <v>7473</v>
      </c>
    </row>
    <row r="28">
      <c r="A28" t="inlineStr">
        <is>
          <t>US</t>
        </is>
      </c>
      <c r="B28" t="inlineStr">
        <is>
          <t>W27</t>
        </is>
      </c>
      <c r="C28" t="n">
        <v>27</v>
      </c>
      <c r="G28" t="n">
        <v>7918</v>
      </c>
      <c r="H28" t="n">
        <v>6376</v>
      </c>
      <c r="I28" t="n">
        <v>9781</v>
      </c>
      <c r="J28" t="n">
        <v>0.7</v>
      </c>
      <c r="M28" t="n">
        <v>6432</v>
      </c>
    </row>
    <row r="29">
      <c r="A29" t="inlineStr">
        <is>
          <t>US</t>
        </is>
      </c>
      <c r="B29" t="inlineStr">
        <is>
          <t>W28</t>
        </is>
      </c>
      <c r="C29" t="n">
        <v>28</v>
      </c>
      <c r="G29" t="n">
        <v>7930</v>
      </c>
      <c r="H29" t="n">
        <v>6385</v>
      </c>
      <c r="I29" t="n">
        <v>9795</v>
      </c>
      <c r="J29" t="n">
        <v>0.7</v>
      </c>
      <c r="M29" t="n">
        <v>6432</v>
      </c>
    </row>
    <row r="30">
      <c r="A30" t="inlineStr">
        <is>
          <t>US</t>
        </is>
      </c>
      <c r="B30" t="inlineStr">
        <is>
          <t>W29</t>
        </is>
      </c>
      <c r="C30" t="n">
        <v>29</v>
      </c>
      <c r="G30" t="n">
        <v>8213</v>
      </c>
      <c r="H30" t="n">
        <v>6614</v>
      </c>
      <c r="I30" t="n">
        <v>10146</v>
      </c>
      <c r="J30" t="n">
        <v>0.7</v>
      </c>
      <c r="M30" t="n">
        <v>6432</v>
      </c>
    </row>
    <row r="31">
      <c r="A31" t="inlineStr">
        <is>
          <t>US</t>
        </is>
      </c>
      <c r="B31" t="inlineStr">
        <is>
          <t>W30</t>
        </is>
      </c>
      <c r="C31" t="n">
        <v>30</v>
      </c>
      <c r="G31" t="n">
        <v>7880</v>
      </c>
      <c r="H31" t="n">
        <v>6345</v>
      </c>
      <c r="I31" t="n">
        <v>9734</v>
      </c>
      <c r="J31" t="n">
        <v>0.7</v>
      </c>
      <c r="M31" t="n">
        <v>6432</v>
      </c>
    </row>
    <row r="32">
      <c r="A32" t="inlineStr">
        <is>
          <t>US</t>
        </is>
      </c>
      <c r="B32" t="inlineStr">
        <is>
          <t>W31</t>
        </is>
      </c>
      <c r="C32" t="n">
        <v>31</v>
      </c>
      <c r="G32" t="n">
        <v>7787</v>
      </c>
      <c r="H32" t="n">
        <v>6271</v>
      </c>
      <c r="I32" t="n">
        <v>9620</v>
      </c>
      <c r="J32" t="n">
        <v>0.7</v>
      </c>
      <c r="M32" t="n">
        <v>6432</v>
      </c>
    </row>
    <row r="33">
      <c r="A33" t="inlineStr">
        <is>
          <t>US</t>
        </is>
      </c>
      <c r="B33" t="inlineStr">
        <is>
          <t>W32</t>
        </is>
      </c>
      <c r="C33" t="n">
        <v>32</v>
      </c>
      <c r="G33" t="n">
        <v>8024</v>
      </c>
      <c r="H33" t="n">
        <v>6462</v>
      </c>
      <c r="I33" t="n">
        <v>9913</v>
      </c>
      <c r="J33" t="n">
        <v>0.7</v>
      </c>
      <c r="M33" t="n">
        <v>7708</v>
      </c>
    </row>
    <row r="34">
      <c r="A34" t="inlineStr">
        <is>
          <t>US</t>
        </is>
      </c>
      <c r="B34" t="inlineStr">
        <is>
          <t>W33</t>
        </is>
      </c>
      <c r="C34" t="n">
        <v>33</v>
      </c>
      <c r="G34" t="n">
        <v>8008</v>
      </c>
      <c r="H34" t="n">
        <v>6449</v>
      </c>
      <c r="I34" t="n">
        <v>9893</v>
      </c>
      <c r="J34" t="n">
        <v>0.7</v>
      </c>
      <c r="M34" t="n">
        <v>7708</v>
      </c>
    </row>
    <row r="35">
      <c r="A35" t="inlineStr">
        <is>
          <t>US</t>
        </is>
      </c>
      <c r="B35" t="inlineStr">
        <is>
          <t>W34</t>
        </is>
      </c>
      <c r="C35" t="n">
        <v>34</v>
      </c>
      <c r="G35" t="n">
        <v>7835</v>
      </c>
      <c r="H35" t="n">
        <v>6310</v>
      </c>
      <c r="I35" t="n">
        <v>9679</v>
      </c>
      <c r="J35" t="n">
        <v>0.7</v>
      </c>
      <c r="M35" t="n">
        <v>7708</v>
      </c>
    </row>
    <row r="36">
      <c r="A36" t="inlineStr">
        <is>
          <t>US</t>
        </is>
      </c>
      <c r="B36" t="inlineStr">
        <is>
          <t>W35</t>
        </is>
      </c>
      <c r="C36" t="n">
        <v>35</v>
      </c>
      <c r="G36" t="n">
        <v>8182</v>
      </c>
      <c r="H36" t="n">
        <v>6588</v>
      </c>
      <c r="I36" t="n">
        <v>10107</v>
      </c>
      <c r="J36" t="n">
        <v>0.7</v>
      </c>
      <c r="M36" t="n">
        <v>7708</v>
      </c>
    </row>
    <row r="37">
      <c r="A37" t="inlineStr">
        <is>
          <t>US</t>
        </is>
      </c>
      <c r="B37" t="inlineStr">
        <is>
          <t>W36</t>
        </is>
      </c>
      <c r="C37" t="n">
        <v>36</v>
      </c>
      <c r="G37" t="n">
        <v>7855</v>
      </c>
      <c r="H37" t="n">
        <v>6327</v>
      </c>
      <c r="I37" t="n">
        <v>9705</v>
      </c>
      <c r="J37" t="n">
        <v>0.7</v>
      </c>
      <c r="M37" t="n">
        <v>7615</v>
      </c>
    </row>
    <row r="38">
      <c r="A38" t="inlineStr">
        <is>
          <t>US</t>
        </is>
      </c>
      <c r="B38" t="inlineStr">
        <is>
          <t>W37</t>
        </is>
      </c>
      <c r="C38" t="n">
        <v>37</v>
      </c>
      <c r="G38" t="n">
        <v>7677</v>
      </c>
      <c r="H38" t="n">
        <v>6182</v>
      </c>
      <c r="I38" t="n">
        <v>9484</v>
      </c>
      <c r="J38" t="n">
        <v>0.7</v>
      </c>
      <c r="M38" t="n">
        <v>7615</v>
      </c>
    </row>
    <row r="39">
      <c r="A39" t="inlineStr">
        <is>
          <t>US</t>
        </is>
      </c>
      <c r="B39" t="inlineStr">
        <is>
          <t>W38</t>
        </is>
      </c>
      <c r="C39" t="n">
        <v>38</v>
      </c>
      <c r="G39" t="n">
        <v>8037</v>
      </c>
      <c r="H39" t="n">
        <v>6472</v>
      </c>
      <c r="I39" t="n">
        <v>9929</v>
      </c>
      <c r="J39" t="n">
        <v>0.7</v>
      </c>
      <c r="M39" t="n">
        <v>7615</v>
      </c>
    </row>
    <row r="40">
      <c r="A40" t="inlineStr">
        <is>
          <t>US</t>
        </is>
      </c>
      <c r="B40" t="inlineStr">
        <is>
          <t>W39</t>
        </is>
      </c>
      <c r="C40" t="n">
        <v>39</v>
      </c>
      <c r="G40" t="n">
        <v>7691</v>
      </c>
      <c r="H40" t="n">
        <v>6193</v>
      </c>
      <c r="I40" t="n">
        <v>9501</v>
      </c>
      <c r="J40" t="n">
        <v>0.7</v>
      </c>
      <c r="M40" t="n">
        <v>7615</v>
      </c>
    </row>
    <row r="41">
      <c r="A41" t="inlineStr">
        <is>
          <t>US</t>
        </is>
      </c>
      <c r="B41" t="inlineStr">
        <is>
          <t>W40</t>
        </is>
      </c>
      <c r="C41" t="n">
        <v>40</v>
      </c>
      <c r="G41" t="n">
        <v>7654</v>
      </c>
      <c r="H41" t="n">
        <v>6164</v>
      </c>
      <c r="I41" t="n">
        <v>9456</v>
      </c>
      <c r="J41" t="n">
        <v>0.7</v>
      </c>
      <c r="M41" t="n">
        <v>6523</v>
      </c>
    </row>
    <row r="42">
      <c r="A42" t="inlineStr">
        <is>
          <t>US</t>
        </is>
      </c>
      <c r="B42" t="inlineStr">
        <is>
          <t>W41</t>
        </is>
      </c>
      <c r="C42" t="n">
        <v>41</v>
      </c>
      <c r="G42" t="n">
        <v>7485</v>
      </c>
      <c r="H42" t="n">
        <v>6028</v>
      </c>
      <c r="I42" t="n">
        <v>9248</v>
      </c>
      <c r="J42" t="n">
        <v>0.7</v>
      </c>
      <c r="M42" t="n">
        <v>6523</v>
      </c>
    </row>
    <row r="43">
      <c r="A43" t="inlineStr">
        <is>
          <t>US</t>
        </is>
      </c>
      <c r="B43" t="inlineStr">
        <is>
          <t>W42</t>
        </is>
      </c>
      <c r="C43" t="n">
        <v>42</v>
      </c>
      <c r="G43" t="n">
        <v>7345</v>
      </c>
      <c r="H43" t="n">
        <v>5916</v>
      </c>
      <c r="I43" t="n">
        <v>9075</v>
      </c>
      <c r="J43" t="n">
        <v>0.7</v>
      </c>
      <c r="M43" t="n">
        <v>6523</v>
      </c>
    </row>
    <row r="44">
      <c r="A44" t="inlineStr">
        <is>
          <t>US</t>
        </is>
      </c>
      <c r="B44" t="inlineStr">
        <is>
          <t>W43</t>
        </is>
      </c>
      <c r="C44" t="n">
        <v>43</v>
      </c>
      <c r="G44" t="n">
        <v>7451</v>
      </c>
      <c r="H44" t="n">
        <v>6001</v>
      </c>
      <c r="I44" t="n">
        <v>9206</v>
      </c>
      <c r="J44" t="n">
        <v>0.7</v>
      </c>
      <c r="M44" t="n">
        <v>6523</v>
      </c>
    </row>
    <row r="45">
      <c r="A45" t="inlineStr">
        <is>
          <t>US</t>
        </is>
      </c>
      <c r="B45" t="inlineStr">
        <is>
          <t>W44</t>
        </is>
      </c>
      <c r="C45" t="n">
        <v>44</v>
      </c>
      <c r="G45" t="n">
        <v>7209</v>
      </c>
      <c r="H45" t="n">
        <v>5806</v>
      </c>
      <c r="I45" t="n">
        <v>8906</v>
      </c>
      <c r="J45" t="n">
        <v>0.7</v>
      </c>
      <c r="M45" t="n">
        <v>6523</v>
      </c>
    </row>
    <row r="46">
      <c r="A46" t="inlineStr">
        <is>
          <t>US</t>
        </is>
      </c>
      <c r="B46" t="inlineStr">
        <is>
          <t>W45</t>
        </is>
      </c>
      <c r="C46" t="n">
        <v>45</v>
      </c>
      <c r="G46" t="n">
        <v>6774</v>
      </c>
      <c r="H46" t="n">
        <v>5455</v>
      </c>
      <c r="I46" t="n">
        <v>8369</v>
      </c>
      <c r="J46" t="n">
        <v>0.7</v>
      </c>
      <c r="M46" t="n">
        <v>6695</v>
      </c>
    </row>
    <row r="47">
      <c r="A47" t="inlineStr">
        <is>
          <t>US</t>
        </is>
      </c>
      <c r="B47" t="inlineStr">
        <is>
          <t>W46</t>
        </is>
      </c>
      <c r="C47" t="n">
        <v>46</v>
      </c>
      <c r="G47" t="n">
        <v>6545</v>
      </c>
      <c r="H47" t="n">
        <v>5271</v>
      </c>
      <c r="I47" t="n">
        <v>8086</v>
      </c>
      <c r="J47" t="n">
        <v>0.7</v>
      </c>
      <c r="M47" t="n">
        <v>6695</v>
      </c>
    </row>
    <row r="48">
      <c r="A48" t="inlineStr">
        <is>
          <t>US</t>
        </is>
      </c>
      <c r="B48" t="inlineStr">
        <is>
          <t>W47</t>
        </is>
      </c>
      <c r="C48" t="n">
        <v>47</v>
      </c>
      <c r="G48" t="n">
        <v>6517</v>
      </c>
      <c r="H48" t="n">
        <v>5248</v>
      </c>
      <c r="I48" t="n">
        <v>8051</v>
      </c>
      <c r="J48" t="n">
        <v>0.7</v>
      </c>
      <c r="M48" t="n">
        <v>6695</v>
      </c>
    </row>
    <row r="49">
      <c r="A49" t="inlineStr">
        <is>
          <t>US</t>
        </is>
      </c>
      <c r="B49" t="inlineStr">
        <is>
          <t>W48</t>
        </is>
      </c>
      <c r="C49" t="n">
        <v>48</v>
      </c>
      <c r="G49" t="n">
        <v>6384</v>
      </c>
      <c r="H49" t="n">
        <v>5141</v>
      </c>
      <c r="I49" t="n">
        <v>7886</v>
      </c>
      <c r="J49" t="n">
        <v>0.7</v>
      </c>
      <c r="M49" t="n">
        <v>6695</v>
      </c>
    </row>
    <row r="50">
      <c r="A50" t="inlineStr">
        <is>
          <t>US</t>
        </is>
      </c>
      <c r="B50" t="inlineStr">
        <is>
          <t>W49</t>
        </is>
      </c>
      <c r="C50" t="n">
        <v>49</v>
      </c>
      <c r="G50" t="n">
        <v>6349</v>
      </c>
      <c r="H50" t="n">
        <v>5112</v>
      </c>
      <c r="I50" t="n">
        <v>7843</v>
      </c>
      <c r="J50" t="n">
        <v>0.7</v>
      </c>
      <c r="M50" t="n">
        <v>6676</v>
      </c>
    </row>
    <row r="51">
      <c r="A51" t="inlineStr">
        <is>
          <t>US</t>
        </is>
      </c>
      <c r="B51" t="inlineStr">
        <is>
          <t>W50</t>
        </is>
      </c>
      <c r="C51" t="n">
        <v>50</v>
      </c>
      <c r="G51" t="n">
        <v>5900</v>
      </c>
      <c r="H51" t="n">
        <v>4752</v>
      </c>
      <c r="I51" t="n">
        <v>7289</v>
      </c>
      <c r="J51" t="n">
        <v>0.7</v>
      </c>
      <c r="M51" t="n">
        <v>6676</v>
      </c>
    </row>
    <row r="52">
      <c r="A52" t="inlineStr">
        <is>
          <t>US</t>
        </is>
      </c>
      <c r="B52" t="inlineStr">
        <is>
          <t>W51</t>
        </is>
      </c>
      <c r="C52" t="n">
        <v>51</v>
      </c>
      <c r="G52" t="n">
        <v>6909</v>
      </c>
      <c r="H52" t="n">
        <v>5564</v>
      </c>
      <c r="I52" t="n">
        <v>8535</v>
      </c>
      <c r="J52" t="n">
        <v>0.7</v>
      </c>
      <c r="M52" t="n">
        <v>6676</v>
      </c>
    </row>
    <row r="53">
      <c r="A53" t="inlineStr">
        <is>
          <t>US</t>
        </is>
      </c>
      <c r="B53" t="inlineStr">
        <is>
          <t>W52</t>
        </is>
      </c>
      <c r="C53" t="n">
        <v>52</v>
      </c>
      <c r="G53" t="n">
        <v>7503</v>
      </c>
      <c r="H53" t="n">
        <v>6043</v>
      </c>
      <c r="I53" t="n">
        <v>9270</v>
      </c>
      <c r="J53" t="n">
        <v>0.7</v>
      </c>
      <c r="M53" t="n">
        <v>6676</v>
      </c>
    </row>
    <row r="54">
      <c r="A54" t="inlineStr">
        <is>
          <t>UK</t>
        </is>
      </c>
      <c r="B54" t="inlineStr">
        <is>
          <t>W1</t>
        </is>
      </c>
      <c r="C54" t="n">
        <v>1</v>
      </c>
      <c r="D54" t="n">
        <v>1005</v>
      </c>
      <c r="E54" t="n">
        <v>60466</v>
      </c>
      <c r="F54" t="n">
        <v>60.17</v>
      </c>
      <c r="G54" t="n">
        <v>1028</v>
      </c>
      <c r="H54" t="n">
        <v>561</v>
      </c>
      <c r="I54" t="n">
        <v>1169</v>
      </c>
      <c r="J54" t="n">
        <v>0.7</v>
      </c>
      <c r="K54" t="n">
        <v>301</v>
      </c>
      <c r="L54" t="n">
        <v>704</v>
      </c>
      <c r="M54" t="n">
        <v>1215</v>
      </c>
    </row>
    <row r="55">
      <c r="A55" t="inlineStr">
        <is>
          <t>UK</t>
        </is>
      </c>
      <c r="B55" t="inlineStr">
        <is>
          <t>W2</t>
        </is>
      </c>
      <c r="C55" t="n">
        <v>2</v>
      </c>
      <c r="D55" t="n">
        <v>1540</v>
      </c>
      <c r="E55" t="n">
        <v>117937</v>
      </c>
      <c r="F55" t="n">
        <v>76.58</v>
      </c>
      <c r="G55" t="n">
        <v>1196</v>
      </c>
      <c r="H55" t="n">
        <v>698</v>
      </c>
      <c r="I55" t="n">
        <v>1450</v>
      </c>
      <c r="J55" t="n">
        <v>0.7</v>
      </c>
      <c r="K55" t="n">
        <v>608</v>
      </c>
      <c r="L55" t="n">
        <v>932</v>
      </c>
      <c r="M55" t="n">
        <v>1215</v>
      </c>
    </row>
    <row r="56">
      <c r="A56" t="inlineStr">
        <is>
          <t>UK</t>
        </is>
      </c>
      <c r="B56" t="inlineStr">
        <is>
          <t>W3</t>
        </is>
      </c>
      <c r="C56" t="n">
        <v>3</v>
      </c>
      <c r="D56" t="n">
        <v>1769</v>
      </c>
      <c r="E56" t="n">
        <v>141384</v>
      </c>
      <c r="F56" t="n">
        <v>79.92</v>
      </c>
      <c r="G56" t="n">
        <v>1056</v>
      </c>
      <c r="H56" t="n">
        <v>732</v>
      </c>
      <c r="I56" t="n">
        <v>1523</v>
      </c>
      <c r="J56" t="n">
        <v>0.7</v>
      </c>
      <c r="K56" t="n">
        <v>571</v>
      </c>
      <c r="L56" t="n">
        <v>1198</v>
      </c>
      <c r="M56" t="n">
        <v>1215</v>
      </c>
    </row>
    <row r="57">
      <c r="A57" t="inlineStr">
        <is>
          <t>UK</t>
        </is>
      </c>
      <c r="B57" t="inlineStr">
        <is>
          <t>W4</t>
        </is>
      </c>
      <c r="C57" t="n">
        <v>4</v>
      </c>
      <c r="D57" t="n">
        <v>1598</v>
      </c>
      <c r="E57" t="n">
        <v>123497</v>
      </c>
      <c r="F57" t="n">
        <v>77.28</v>
      </c>
      <c r="G57" t="n">
        <v>937</v>
      </c>
      <c r="H57" t="n">
        <v>761</v>
      </c>
      <c r="I57" t="n">
        <v>1598</v>
      </c>
      <c r="J57" t="n">
        <v>0.7</v>
      </c>
      <c r="K57" t="n">
        <v>582</v>
      </c>
      <c r="L57" t="n">
        <v>1016</v>
      </c>
      <c r="M57" t="n">
        <v>1215</v>
      </c>
    </row>
    <row r="58">
      <c r="A58" t="inlineStr">
        <is>
          <t>UK</t>
        </is>
      </c>
      <c r="B58" t="inlineStr">
        <is>
          <t>W5</t>
        </is>
      </c>
      <c r="C58" t="n">
        <v>5</v>
      </c>
      <c r="D58" t="n">
        <v>1325</v>
      </c>
      <c r="E58" t="n">
        <v>78918</v>
      </c>
      <c r="F58" t="n">
        <v>59.56</v>
      </c>
      <c r="G58" t="n">
        <v>1016</v>
      </c>
      <c r="H58" t="n">
        <v>742</v>
      </c>
      <c r="I58" t="n">
        <v>1542</v>
      </c>
      <c r="J58" t="n">
        <v>0.7</v>
      </c>
      <c r="K58" t="n">
        <v>605</v>
      </c>
      <c r="L58" t="n">
        <v>720</v>
      </c>
      <c r="M58" t="n">
        <v>1148</v>
      </c>
    </row>
    <row r="59">
      <c r="A59" t="inlineStr">
        <is>
          <t>UK</t>
        </is>
      </c>
      <c r="B59" t="inlineStr">
        <is>
          <t>W6</t>
        </is>
      </c>
      <c r="C59" t="n">
        <v>6</v>
      </c>
      <c r="D59" t="n">
        <v>1422</v>
      </c>
      <c r="E59" t="n">
        <v>90065</v>
      </c>
      <c r="F59" t="n">
        <v>63.34</v>
      </c>
      <c r="G59" t="n">
        <v>1253</v>
      </c>
      <c r="H59" t="n">
        <v>784</v>
      </c>
      <c r="I59" t="n">
        <v>1614</v>
      </c>
      <c r="J59" t="n">
        <v>0.7</v>
      </c>
      <c r="K59" t="n">
        <v>577</v>
      </c>
      <c r="L59" t="n">
        <v>845</v>
      </c>
      <c r="M59" t="n">
        <v>1148</v>
      </c>
    </row>
    <row r="60">
      <c r="A60" t="inlineStr">
        <is>
          <t>UK</t>
        </is>
      </c>
      <c r="B60" t="inlineStr">
        <is>
          <t>W7</t>
        </is>
      </c>
      <c r="C60" t="n">
        <v>7</v>
      </c>
      <c r="D60" t="n">
        <v>1369</v>
      </c>
      <c r="E60" t="n">
        <v>94473</v>
      </c>
      <c r="F60" t="n">
        <v>69.01000000000001</v>
      </c>
      <c r="G60" t="n">
        <v>1266</v>
      </c>
      <c r="H60" t="n">
        <v>772</v>
      </c>
      <c r="I60" t="n">
        <v>1589</v>
      </c>
      <c r="J60" t="n">
        <v>0.7</v>
      </c>
      <c r="K60" t="n">
        <v>523</v>
      </c>
      <c r="L60" t="n">
        <v>846</v>
      </c>
      <c r="M60" t="n">
        <v>1148</v>
      </c>
    </row>
    <row r="61">
      <c r="A61" t="inlineStr">
        <is>
          <t>UK</t>
        </is>
      </c>
      <c r="B61" t="inlineStr">
        <is>
          <t>W8</t>
        </is>
      </c>
      <c r="C61" t="n">
        <v>8</v>
      </c>
      <c r="D61" t="n">
        <v>1329</v>
      </c>
      <c r="E61" t="n">
        <v>95850</v>
      </c>
      <c r="F61" t="n">
        <v>72.12</v>
      </c>
      <c r="G61" t="n">
        <v>1200</v>
      </c>
      <c r="H61" t="n">
        <v>762</v>
      </c>
      <c r="I61" t="n">
        <v>1565</v>
      </c>
      <c r="J61" t="n">
        <v>0.7</v>
      </c>
      <c r="K61" t="n">
        <v>501</v>
      </c>
      <c r="L61" t="n">
        <v>828</v>
      </c>
      <c r="M61" t="n">
        <v>1148</v>
      </c>
    </row>
    <row r="62">
      <c r="A62" t="inlineStr">
        <is>
          <t>UK</t>
        </is>
      </c>
      <c r="B62" t="inlineStr">
        <is>
          <t>W9</t>
        </is>
      </c>
      <c r="C62" t="n">
        <v>9</v>
      </c>
      <c r="D62" t="n">
        <v>1457</v>
      </c>
      <c r="E62" t="n">
        <v>104596</v>
      </c>
      <c r="F62" t="n">
        <v>71.79000000000001</v>
      </c>
      <c r="G62" t="n">
        <v>1207</v>
      </c>
      <c r="H62" t="n">
        <v>792</v>
      </c>
      <c r="I62" t="n">
        <v>1618</v>
      </c>
      <c r="J62" t="n">
        <v>0.7</v>
      </c>
      <c r="K62" t="n">
        <v>559</v>
      </c>
      <c r="L62" t="n">
        <v>898</v>
      </c>
      <c r="M62" t="n">
        <v>1035</v>
      </c>
    </row>
    <row r="63">
      <c r="A63" t="inlineStr">
        <is>
          <t>UK</t>
        </is>
      </c>
      <c r="B63" t="inlineStr">
        <is>
          <t>W10</t>
        </is>
      </c>
      <c r="C63" t="n">
        <v>10</v>
      </c>
      <c r="D63" t="n">
        <v>1388</v>
      </c>
      <c r="E63" t="n">
        <v>95498</v>
      </c>
      <c r="F63" t="n">
        <v>68.8</v>
      </c>
      <c r="G63" t="n">
        <v>1223</v>
      </c>
      <c r="H63" t="n">
        <v>807</v>
      </c>
      <c r="I63" t="n">
        <v>1648</v>
      </c>
      <c r="J63" t="n">
        <v>0.7</v>
      </c>
      <c r="K63" t="n">
        <v>524</v>
      </c>
      <c r="L63" t="n">
        <v>864</v>
      </c>
      <c r="M63" t="n">
        <v>1035</v>
      </c>
    </row>
    <row r="64">
      <c r="A64" t="inlineStr">
        <is>
          <t>UK</t>
        </is>
      </c>
      <c r="B64" t="inlineStr">
        <is>
          <t>W11</t>
        </is>
      </c>
      <c r="C64" t="n">
        <v>11</v>
      </c>
      <c r="D64" t="n">
        <v>1351</v>
      </c>
      <c r="E64" t="n">
        <v>87797</v>
      </c>
      <c r="F64" t="n">
        <v>64.98999999999999</v>
      </c>
      <c r="G64" t="n">
        <v>1193</v>
      </c>
      <c r="H64" t="n">
        <v>794</v>
      </c>
      <c r="I64" t="n">
        <v>1617</v>
      </c>
      <c r="J64" t="n">
        <v>0.7</v>
      </c>
      <c r="K64" t="n">
        <v>533</v>
      </c>
      <c r="L64" t="n">
        <v>818</v>
      </c>
      <c r="M64" t="n">
        <v>1035</v>
      </c>
    </row>
    <row r="65">
      <c r="A65" t="inlineStr">
        <is>
          <t>UK</t>
        </is>
      </c>
      <c r="B65" t="inlineStr">
        <is>
          <t>W12</t>
        </is>
      </c>
      <c r="C65" t="n">
        <v>12</v>
      </c>
      <c r="D65" t="n">
        <v>1326</v>
      </c>
      <c r="E65" t="n">
        <v>89886</v>
      </c>
      <c r="F65" t="n">
        <v>67.79000000000001</v>
      </c>
      <c r="G65" t="n">
        <v>1191</v>
      </c>
      <c r="H65" t="n">
        <v>785</v>
      </c>
      <c r="I65" t="n">
        <v>1598</v>
      </c>
      <c r="J65" t="n">
        <v>0.7</v>
      </c>
      <c r="K65" t="n">
        <v>434</v>
      </c>
      <c r="L65" t="n">
        <v>892</v>
      </c>
      <c r="M65" t="n">
        <v>1035</v>
      </c>
    </row>
    <row r="66">
      <c r="A66" t="inlineStr">
        <is>
          <t>UK</t>
        </is>
      </c>
      <c r="B66" t="inlineStr">
        <is>
          <t>W13</t>
        </is>
      </c>
      <c r="C66" t="n">
        <v>13</v>
      </c>
      <c r="D66" t="n">
        <v>1480</v>
      </c>
      <c r="E66" t="n">
        <v>85595</v>
      </c>
      <c r="F66" t="n">
        <v>57.83</v>
      </c>
      <c r="G66" t="n">
        <v>1305</v>
      </c>
      <c r="H66" t="n">
        <v>842</v>
      </c>
      <c r="I66" t="n">
        <v>1709</v>
      </c>
      <c r="J66" t="n">
        <v>0.7</v>
      </c>
      <c r="K66" t="n">
        <v>542</v>
      </c>
      <c r="L66" t="n">
        <v>938</v>
      </c>
      <c r="M66" t="n">
        <v>1035</v>
      </c>
    </row>
    <row r="67">
      <c r="A67" t="inlineStr">
        <is>
          <t>UK</t>
        </is>
      </c>
      <c r="B67" t="inlineStr">
        <is>
          <t>W14</t>
        </is>
      </c>
      <c r="C67" t="n">
        <v>14</v>
      </c>
      <c r="D67" t="n">
        <v>1458</v>
      </c>
      <c r="E67" t="n">
        <v>85243</v>
      </c>
      <c r="F67" t="n">
        <v>58.47</v>
      </c>
      <c r="G67" t="n">
        <v>1225</v>
      </c>
      <c r="H67" t="n">
        <v>821</v>
      </c>
      <c r="I67" t="n">
        <v>1667</v>
      </c>
      <c r="J67" t="n">
        <v>0.7</v>
      </c>
      <c r="K67" t="n">
        <v>473</v>
      </c>
      <c r="L67" t="n">
        <v>985</v>
      </c>
      <c r="M67" t="n">
        <v>1123</v>
      </c>
    </row>
    <row r="68">
      <c r="A68" t="inlineStr">
        <is>
          <t>UK</t>
        </is>
      </c>
      <c r="B68" t="inlineStr">
        <is>
          <t>W15</t>
        </is>
      </c>
      <c r="C68" t="n">
        <v>15</v>
      </c>
      <c r="D68" t="n">
        <v>1453</v>
      </c>
      <c r="E68" t="n">
        <v>90876</v>
      </c>
      <c r="F68" t="n">
        <v>62.54</v>
      </c>
      <c r="G68" t="n">
        <v>1081</v>
      </c>
      <c r="H68" t="n">
        <v>648</v>
      </c>
      <c r="I68" t="n">
        <v>1549</v>
      </c>
      <c r="J68" t="n">
        <v>0.7</v>
      </c>
      <c r="K68" t="n">
        <v>473</v>
      </c>
      <c r="L68" t="n">
        <v>980</v>
      </c>
      <c r="M68" t="n">
        <v>1123</v>
      </c>
    </row>
    <row r="69">
      <c r="A69" t="inlineStr">
        <is>
          <t>UK</t>
        </is>
      </c>
      <c r="B69" t="inlineStr">
        <is>
          <t>W16</t>
        </is>
      </c>
      <c r="C69" t="n">
        <v>16</v>
      </c>
      <c r="G69" t="n">
        <v>1460</v>
      </c>
      <c r="H69" t="n">
        <v>1350</v>
      </c>
      <c r="I69" t="n">
        <v>1570</v>
      </c>
      <c r="J69" t="n">
        <v>0.7</v>
      </c>
      <c r="M69" t="n">
        <v>1123</v>
      </c>
    </row>
    <row r="70">
      <c r="A70" t="inlineStr">
        <is>
          <t>UK</t>
        </is>
      </c>
      <c r="B70" t="inlineStr">
        <is>
          <t>W17</t>
        </is>
      </c>
      <c r="C70" t="n">
        <v>17</v>
      </c>
      <c r="G70" t="n">
        <v>1061</v>
      </c>
      <c r="H70" t="n">
        <v>874</v>
      </c>
      <c r="I70" t="n">
        <v>1250</v>
      </c>
      <c r="J70" t="n">
        <v>0.7</v>
      </c>
      <c r="M70" t="n">
        <v>1123</v>
      </c>
    </row>
    <row r="71">
      <c r="A71" t="inlineStr">
        <is>
          <t>UK</t>
        </is>
      </c>
      <c r="B71" t="inlineStr">
        <is>
          <t>W18</t>
        </is>
      </c>
      <c r="C71" t="n">
        <v>18</v>
      </c>
      <c r="G71" t="n">
        <v>1102</v>
      </c>
      <c r="H71" t="n">
        <v>907</v>
      </c>
      <c r="I71" t="n">
        <v>1297</v>
      </c>
      <c r="J71" t="n">
        <v>0.7</v>
      </c>
      <c r="M71" t="n">
        <v>872</v>
      </c>
    </row>
    <row r="72">
      <c r="A72" t="inlineStr">
        <is>
          <t>UK</t>
        </is>
      </c>
      <c r="B72" t="inlineStr">
        <is>
          <t>W19</t>
        </is>
      </c>
      <c r="C72" t="n">
        <v>19</v>
      </c>
      <c r="G72" t="n">
        <v>965</v>
      </c>
      <c r="H72" t="n">
        <v>795</v>
      </c>
      <c r="I72" t="n">
        <v>1138</v>
      </c>
      <c r="J72" t="n">
        <v>0.7</v>
      </c>
      <c r="M72" t="n">
        <v>872</v>
      </c>
    </row>
    <row r="73">
      <c r="A73" t="inlineStr">
        <is>
          <t>UK</t>
        </is>
      </c>
      <c r="B73" t="inlineStr">
        <is>
          <t>W20</t>
        </is>
      </c>
      <c r="C73" t="n">
        <v>20</v>
      </c>
      <c r="G73" t="n">
        <v>766</v>
      </c>
      <c r="H73" t="n">
        <v>631</v>
      </c>
      <c r="I73" t="n">
        <v>902</v>
      </c>
      <c r="J73" t="n">
        <v>0.7</v>
      </c>
      <c r="M73" t="n">
        <v>872</v>
      </c>
    </row>
    <row r="74">
      <c r="A74" t="inlineStr">
        <is>
          <t>UK</t>
        </is>
      </c>
      <c r="B74" t="inlineStr">
        <is>
          <t>W21</t>
        </is>
      </c>
      <c r="C74" t="n">
        <v>21</v>
      </c>
      <c r="G74" t="n">
        <v>762</v>
      </c>
      <c r="H74" t="n">
        <v>628</v>
      </c>
      <c r="I74" t="n">
        <v>898</v>
      </c>
      <c r="J74" t="n">
        <v>0.7</v>
      </c>
      <c r="M74" t="n">
        <v>872</v>
      </c>
    </row>
    <row r="75">
      <c r="A75" t="inlineStr">
        <is>
          <t>UK</t>
        </is>
      </c>
      <c r="B75" t="inlineStr">
        <is>
          <t>W22</t>
        </is>
      </c>
      <c r="C75" t="n">
        <v>22</v>
      </c>
      <c r="G75" t="n">
        <v>821</v>
      </c>
      <c r="H75" t="n">
        <v>676</v>
      </c>
      <c r="I75" t="n">
        <v>968</v>
      </c>
      <c r="J75" t="n">
        <v>0.7</v>
      </c>
      <c r="M75" t="n">
        <v>872</v>
      </c>
    </row>
    <row r="76">
      <c r="A76" t="inlineStr">
        <is>
          <t>UK</t>
        </is>
      </c>
      <c r="B76" t="inlineStr">
        <is>
          <t>W23</t>
        </is>
      </c>
      <c r="C76" t="n">
        <v>23</v>
      </c>
      <c r="G76" t="n">
        <v>776</v>
      </c>
      <c r="H76" t="n">
        <v>640</v>
      </c>
      <c r="I76" t="n">
        <v>915</v>
      </c>
      <c r="J76" t="n">
        <v>0.7</v>
      </c>
      <c r="M76" t="n">
        <v>1057</v>
      </c>
    </row>
    <row r="77">
      <c r="A77" t="inlineStr">
        <is>
          <t>UK</t>
        </is>
      </c>
      <c r="B77" t="inlineStr">
        <is>
          <t>W24</t>
        </is>
      </c>
      <c r="C77" t="n">
        <v>24</v>
      </c>
      <c r="G77" t="n">
        <v>933</v>
      </c>
      <c r="H77" t="n">
        <v>768</v>
      </c>
      <c r="I77" t="n">
        <v>1099</v>
      </c>
      <c r="J77" t="n">
        <v>0.7</v>
      </c>
      <c r="M77" t="n">
        <v>1057</v>
      </c>
    </row>
    <row r="78">
      <c r="A78" t="inlineStr">
        <is>
          <t>UK</t>
        </is>
      </c>
      <c r="B78" t="inlineStr">
        <is>
          <t>W25</t>
        </is>
      </c>
      <c r="C78" t="n">
        <v>25</v>
      </c>
      <c r="G78" t="n">
        <v>1193</v>
      </c>
      <c r="H78" t="n">
        <v>982</v>
      </c>
      <c r="I78" t="n">
        <v>1405</v>
      </c>
      <c r="J78" t="n">
        <v>0.7</v>
      </c>
      <c r="M78" t="n">
        <v>1057</v>
      </c>
    </row>
    <row r="79">
      <c r="A79" t="inlineStr">
        <is>
          <t>UK</t>
        </is>
      </c>
      <c r="B79" t="inlineStr">
        <is>
          <t>W26</t>
        </is>
      </c>
      <c r="C79" t="n">
        <v>26</v>
      </c>
      <c r="G79" t="n">
        <v>1271</v>
      </c>
      <c r="H79" t="n">
        <v>1047</v>
      </c>
      <c r="I79" t="n">
        <v>1498</v>
      </c>
      <c r="J79" t="n">
        <v>0.7</v>
      </c>
      <c r="M79" t="n">
        <v>1057</v>
      </c>
    </row>
    <row r="80">
      <c r="A80" t="inlineStr">
        <is>
          <t>UK</t>
        </is>
      </c>
      <c r="B80" t="inlineStr">
        <is>
          <t>W27</t>
        </is>
      </c>
      <c r="C80" t="n">
        <v>27</v>
      </c>
      <c r="G80" t="n">
        <v>1288</v>
      </c>
      <c r="H80" t="n">
        <v>1061</v>
      </c>
      <c r="I80" t="n">
        <v>1517</v>
      </c>
      <c r="J80" t="n">
        <v>0.7</v>
      </c>
      <c r="M80" t="n">
        <v>949</v>
      </c>
    </row>
    <row r="81">
      <c r="A81" t="inlineStr">
        <is>
          <t>UK</t>
        </is>
      </c>
      <c r="B81" t="inlineStr">
        <is>
          <t>W28</t>
        </is>
      </c>
      <c r="C81" t="n">
        <v>28</v>
      </c>
      <c r="G81" t="n">
        <v>1307</v>
      </c>
      <c r="H81" t="n">
        <v>1077</v>
      </c>
      <c r="I81" t="n">
        <v>1540</v>
      </c>
      <c r="J81" t="n">
        <v>0.7</v>
      </c>
      <c r="M81" t="n">
        <v>949</v>
      </c>
    </row>
    <row r="82">
      <c r="A82" t="inlineStr">
        <is>
          <t>UK</t>
        </is>
      </c>
      <c r="B82" t="inlineStr">
        <is>
          <t>W29</t>
        </is>
      </c>
      <c r="C82" t="n">
        <v>29</v>
      </c>
      <c r="G82" t="n">
        <v>1257</v>
      </c>
      <c r="H82" t="n">
        <v>1035</v>
      </c>
      <c r="I82" t="n">
        <v>1481</v>
      </c>
      <c r="J82" t="n">
        <v>0.7</v>
      </c>
      <c r="M82" t="n">
        <v>949</v>
      </c>
    </row>
    <row r="83">
      <c r="A83" t="inlineStr">
        <is>
          <t>UK</t>
        </is>
      </c>
      <c r="B83" t="inlineStr">
        <is>
          <t>W30</t>
        </is>
      </c>
      <c r="C83" t="n">
        <v>30</v>
      </c>
      <c r="G83" t="n">
        <v>1280</v>
      </c>
      <c r="H83" t="n">
        <v>1054</v>
      </c>
      <c r="I83" t="n">
        <v>1508</v>
      </c>
      <c r="J83" t="n">
        <v>0.7</v>
      </c>
      <c r="M83" t="n">
        <v>949</v>
      </c>
    </row>
    <row r="84">
      <c r="A84" t="inlineStr">
        <is>
          <t>UK</t>
        </is>
      </c>
      <c r="B84" t="inlineStr">
        <is>
          <t>W31</t>
        </is>
      </c>
      <c r="C84" t="n">
        <v>31</v>
      </c>
      <c r="G84" t="n">
        <v>1212</v>
      </c>
      <c r="H84" t="n">
        <v>999</v>
      </c>
      <c r="I84" t="n">
        <v>1429</v>
      </c>
      <c r="J84" t="n">
        <v>0.7</v>
      </c>
      <c r="M84" t="n">
        <v>949</v>
      </c>
    </row>
    <row r="85">
      <c r="A85" t="inlineStr">
        <is>
          <t>UK</t>
        </is>
      </c>
      <c r="B85" t="inlineStr">
        <is>
          <t>W32</t>
        </is>
      </c>
      <c r="C85" t="n">
        <v>32</v>
      </c>
      <c r="G85" t="n">
        <v>1226</v>
      </c>
      <c r="H85" t="n">
        <v>1010</v>
      </c>
      <c r="I85" t="n">
        <v>1444</v>
      </c>
      <c r="J85" t="n">
        <v>0.7</v>
      </c>
      <c r="M85" t="n">
        <v>1034</v>
      </c>
    </row>
    <row r="86">
      <c r="A86" t="inlineStr">
        <is>
          <t>UK</t>
        </is>
      </c>
      <c r="B86" t="inlineStr">
        <is>
          <t>W33</t>
        </is>
      </c>
      <c r="C86" t="n">
        <v>33</v>
      </c>
      <c r="G86" t="n">
        <v>1159</v>
      </c>
      <c r="H86" t="n">
        <v>955</v>
      </c>
      <c r="I86" t="n">
        <v>1366</v>
      </c>
      <c r="J86" t="n">
        <v>0.7</v>
      </c>
      <c r="M86" t="n">
        <v>1034</v>
      </c>
    </row>
    <row r="87">
      <c r="A87" t="inlineStr">
        <is>
          <t>UK</t>
        </is>
      </c>
      <c r="B87" t="inlineStr">
        <is>
          <t>W34</t>
        </is>
      </c>
      <c r="C87" t="n">
        <v>34</v>
      </c>
      <c r="G87" t="n">
        <v>1208</v>
      </c>
      <c r="H87" t="n">
        <v>995</v>
      </c>
      <c r="I87" t="n">
        <v>1424</v>
      </c>
      <c r="J87" t="n">
        <v>0.7</v>
      </c>
      <c r="M87" t="n">
        <v>1034</v>
      </c>
    </row>
    <row r="88">
      <c r="A88" t="inlineStr">
        <is>
          <t>UK</t>
        </is>
      </c>
      <c r="B88" t="inlineStr">
        <is>
          <t>W35</t>
        </is>
      </c>
      <c r="C88" t="n">
        <v>35</v>
      </c>
      <c r="G88" t="n">
        <v>1277</v>
      </c>
      <c r="H88" t="n">
        <v>1052</v>
      </c>
      <c r="I88" t="n">
        <v>1506</v>
      </c>
      <c r="J88" t="n">
        <v>0.7</v>
      </c>
      <c r="M88" t="n">
        <v>1034</v>
      </c>
    </row>
    <row r="89">
      <c r="A89" t="inlineStr">
        <is>
          <t>UK</t>
        </is>
      </c>
      <c r="B89" t="inlineStr">
        <is>
          <t>W36</t>
        </is>
      </c>
      <c r="C89" t="n">
        <v>36</v>
      </c>
      <c r="G89" t="n">
        <v>1382</v>
      </c>
      <c r="H89" t="n">
        <v>1139</v>
      </c>
      <c r="I89" t="n">
        <v>1629</v>
      </c>
      <c r="J89" t="n">
        <v>0.7</v>
      </c>
      <c r="M89" t="n">
        <v>1396</v>
      </c>
    </row>
    <row r="90">
      <c r="A90" t="inlineStr">
        <is>
          <t>UK</t>
        </is>
      </c>
      <c r="B90" t="inlineStr">
        <is>
          <t>W37</t>
        </is>
      </c>
      <c r="C90" t="n">
        <v>37</v>
      </c>
      <c r="G90" t="n">
        <v>1416</v>
      </c>
      <c r="H90" t="n">
        <v>1166</v>
      </c>
      <c r="I90" t="n">
        <v>1668</v>
      </c>
      <c r="J90" t="n">
        <v>0.7</v>
      </c>
      <c r="M90" t="n">
        <v>1396</v>
      </c>
    </row>
    <row r="91">
      <c r="A91" t="inlineStr">
        <is>
          <t>UK</t>
        </is>
      </c>
      <c r="B91" t="inlineStr">
        <is>
          <t>W38</t>
        </is>
      </c>
      <c r="C91" t="n">
        <v>38</v>
      </c>
      <c r="G91" t="n">
        <v>1489</v>
      </c>
      <c r="H91" t="n">
        <v>1227</v>
      </c>
      <c r="I91" t="n">
        <v>1755</v>
      </c>
      <c r="J91" t="n">
        <v>0.7</v>
      </c>
      <c r="M91" t="n">
        <v>1396</v>
      </c>
    </row>
    <row r="92">
      <c r="A92" t="inlineStr">
        <is>
          <t>UK</t>
        </is>
      </c>
      <c r="B92" t="inlineStr">
        <is>
          <t>W39</t>
        </is>
      </c>
      <c r="C92" t="n">
        <v>39</v>
      </c>
      <c r="G92" t="n">
        <v>1578</v>
      </c>
      <c r="H92" t="n">
        <v>1300</v>
      </c>
      <c r="I92" t="n">
        <v>1860</v>
      </c>
      <c r="J92" t="n">
        <v>0.7</v>
      </c>
      <c r="M92" t="n">
        <v>1396</v>
      </c>
    </row>
    <row r="93">
      <c r="A93" t="inlineStr">
        <is>
          <t>UK</t>
        </is>
      </c>
      <c r="B93" t="inlineStr">
        <is>
          <t>W40</t>
        </is>
      </c>
      <c r="C93" t="n">
        <v>40</v>
      </c>
      <c r="G93" t="n">
        <v>1423</v>
      </c>
      <c r="H93" t="n">
        <v>1172</v>
      </c>
      <c r="I93" t="n">
        <v>1677</v>
      </c>
      <c r="J93" t="n">
        <v>0.7</v>
      </c>
      <c r="M93" t="n">
        <v>1255</v>
      </c>
    </row>
    <row r="94">
      <c r="A94" t="inlineStr">
        <is>
          <t>UK</t>
        </is>
      </c>
      <c r="B94" t="inlineStr">
        <is>
          <t>W41</t>
        </is>
      </c>
      <c r="C94" t="n">
        <v>41</v>
      </c>
      <c r="G94" t="n">
        <v>1435</v>
      </c>
      <c r="H94" t="n">
        <v>1182</v>
      </c>
      <c r="I94" t="n">
        <v>1690</v>
      </c>
      <c r="J94" t="n">
        <v>0.7</v>
      </c>
      <c r="M94" t="n">
        <v>1255</v>
      </c>
    </row>
    <row r="95">
      <c r="A95" t="inlineStr">
        <is>
          <t>UK</t>
        </is>
      </c>
      <c r="B95" t="inlineStr">
        <is>
          <t>W42</t>
        </is>
      </c>
      <c r="C95" t="n">
        <v>42</v>
      </c>
      <c r="G95" t="n">
        <v>1449</v>
      </c>
      <c r="H95" t="n">
        <v>1193</v>
      </c>
      <c r="I95" t="n">
        <v>1707</v>
      </c>
      <c r="J95" t="n">
        <v>0.7</v>
      </c>
      <c r="M95" t="n">
        <v>1255</v>
      </c>
    </row>
    <row r="96">
      <c r="A96" t="inlineStr">
        <is>
          <t>UK</t>
        </is>
      </c>
      <c r="B96" t="inlineStr">
        <is>
          <t>W43</t>
        </is>
      </c>
      <c r="C96" t="n">
        <v>43</v>
      </c>
      <c r="G96" t="n">
        <v>1515</v>
      </c>
      <c r="H96" t="n">
        <v>1248</v>
      </c>
      <c r="I96" t="n">
        <v>1785</v>
      </c>
      <c r="J96" t="n">
        <v>0.7</v>
      </c>
      <c r="M96" t="n">
        <v>1255</v>
      </c>
    </row>
    <row r="97">
      <c r="A97" t="inlineStr">
        <is>
          <t>UK</t>
        </is>
      </c>
      <c r="B97" t="inlineStr">
        <is>
          <t>W44</t>
        </is>
      </c>
      <c r="C97" t="n">
        <v>44</v>
      </c>
      <c r="G97" t="n">
        <v>1561</v>
      </c>
      <c r="H97" t="n">
        <v>1285</v>
      </c>
      <c r="I97" t="n">
        <v>1839</v>
      </c>
      <c r="J97" t="n">
        <v>0.7</v>
      </c>
      <c r="M97" t="n">
        <v>1255</v>
      </c>
    </row>
    <row r="98">
      <c r="A98" t="inlineStr">
        <is>
          <t>UK</t>
        </is>
      </c>
      <c r="B98" t="inlineStr">
        <is>
          <t>W45</t>
        </is>
      </c>
      <c r="C98" t="n">
        <v>45</v>
      </c>
      <c r="G98" t="n">
        <v>1667</v>
      </c>
      <c r="H98" t="n">
        <v>1373</v>
      </c>
      <c r="I98" t="n">
        <v>1964</v>
      </c>
      <c r="J98" t="n">
        <v>0.7</v>
      </c>
      <c r="M98" t="n">
        <v>1558</v>
      </c>
    </row>
    <row r="99">
      <c r="A99" t="inlineStr">
        <is>
          <t>UK</t>
        </is>
      </c>
      <c r="B99" t="inlineStr">
        <is>
          <t>W46</t>
        </is>
      </c>
      <c r="C99" t="n">
        <v>46</v>
      </c>
      <c r="G99" t="n">
        <v>1620</v>
      </c>
      <c r="H99" t="n">
        <v>1334</v>
      </c>
      <c r="I99" t="n">
        <v>1909</v>
      </c>
      <c r="J99" t="n">
        <v>0.7</v>
      </c>
      <c r="M99" t="n">
        <v>1558</v>
      </c>
    </row>
    <row r="100">
      <c r="A100" t="inlineStr">
        <is>
          <t>UK</t>
        </is>
      </c>
      <c r="B100" t="inlineStr">
        <is>
          <t>W47</t>
        </is>
      </c>
      <c r="C100" t="n">
        <v>47</v>
      </c>
      <c r="G100" t="n">
        <v>1414</v>
      </c>
      <c r="H100" t="n">
        <v>1164</v>
      </c>
      <c r="I100" t="n">
        <v>1666</v>
      </c>
      <c r="J100" t="n">
        <v>0.7</v>
      </c>
      <c r="M100" t="n">
        <v>1558</v>
      </c>
    </row>
    <row r="101">
      <c r="A101" t="inlineStr">
        <is>
          <t>UK</t>
        </is>
      </c>
      <c r="B101" t="inlineStr">
        <is>
          <t>W48</t>
        </is>
      </c>
      <c r="C101" t="n">
        <v>48</v>
      </c>
      <c r="G101" t="n">
        <v>1288</v>
      </c>
      <c r="H101" t="n">
        <v>1060</v>
      </c>
      <c r="I101" t="n">
        <v>1517</v>
      </c>
      <c r="J101" t="n">
        <v>0.7</v>
      </c>
      <c r="M101" t="n">
        <v>1558</v>
      </c>
    </row>
    <row r="102">
      <c r="A102" t="inlineStr">
        <is>
          <t>UK</t>
        </is>
      </c>
      <c r="B102" t="inlineStr">
        <is>
          <t>W49</t>
        </is>
      </c>
      <c r="C102" t="n">
        <v>49</v>
      </c>
      <c r="G102" t="n">
        <v>1117</v>
      </c>
      <c r="H102" t="n">
        <v>920</v>
      </c>
      <c r="I102" t="n">
        <v>1316</v>
      </c>
      <c r="J102" t="n">
        <v>0.7</v>
      </c>
      <c r="M102" t="n">
        <v>1004</v>
      </c>
    </row>
    <row r="103">
      <c r="A103" t="inlineStr">
        <is>
          <t>UK</t>
        </is>
      </c>
      <c r="B103" t="inlineStr">
        <is>
          <t>W50</t>
        </is>
      </c>
      <c r="C103" t="n">
        <v>50</v>
      </c>
      <c r="G103" t="n">
        <v>779</v>
      </c>
      <c r="H103" t="n">
        <v>642</v>
      </c>
      <c r="I103" t="n">
        <v>918</v>
      </c>
      <c r="J103" t="n">
        <v>0.7</v>
      </c>
      <c r="M103" t="n">
        <v>1004</v>
      </c>
    </row>
    <row r="104">
      <c r="A104" t="inlineStr">
        <is>
          <t>UK</t>
        </is>
      </c>
      <c r="B104" t="inlineStr">
        <is>
          <t>W51</t>
        </is>
      </c>
      <c r="C104" t="n">
        <v>51</v>
      </c>
      <c r="G104" t="n">
        <v>938</v>
      </c>
      <c r="H104" t="n">
        <v>773</v>
      </c>
      <c r="I104" t="n">
        <v>1106</v>
      </c>
      <c r="J104" t="n">
        <v>0.7</v>
      </c>
      <c r="M104" t="n">
        <v>1004</v>
      </c>
    </row>
    <row r="105">
      <c r="A105" t="inlineStr">
        <is>
          <t>UK</t>
        </is>
      </c>
      <c r="B105" t="inlineStr">
        <is>
          <t>W52</t>
        </is>
      </c>
      <c r="C105" t="n">
        <v>52</v>
      </c>
      <c r="G105" t="n">
        <v>1187</v>
      </c>
      <c r="H105" t="n">
        <v>977</v>
      </c>
      <c r="I105" t="n">
        <v>1398</v>
      </c>
      <c r="J105" t="n">
        <v>0.7</v>
      </c>
      <c r="M105" t="n">
        <v>1004</v>
      </c>
    </row>
    <row r="106">
      <c r="A106" t="inlineStr">
        <is>
          <t>DE</t>
        </is>
      </c>
      <c r="B106" t="inlineStr">
        <is>
          <t>W1</t>
        </is>
      </c>
      <c r="C106" t="n">
        <v>1</v>
      </c>
      <c r="D106" t="n">
        <v>1079</v>
      </c>
      <c r="E106" t="n">
        <v>113543</v>
      </c>
      <c r="F106" t="n">
        <v>105.23</v>
      </c>
      <c r="G106" t="n">
        <v>1145</v>
      </c>
      <c r="H106" t="n">
        <v>843</v>
      </c>
      <c r="I106" t="n">
        <v>1184</v>
      </c>
      <c r="J106" t="n">
        <v>0.7</v>
      </c>
      <c r="K106" t="n">
        <v>572</v>
      </c>
      <c r="L106" t="n">
        <v>507</v>
      </c>
      <c r="M106" t="n">
        <v>1664</v>
      </c>
    </row>
    <row r="107">
      <c r="A107" t="inlineStr">
        <is>
          <t>DE</t>
        </is>
      </c>
      <c r="B107" t="inlineStr">
        <is>
          <t>W2</t>
        </is>
      </c>
      <c r="C107" t="n">
        <v>2</v>
      </c>
      <c r="D107" t="n">
        <v>1686</v>
      </c>
      <c r="E107" t="n">
        <v>194725</v>
      </c>
      <c r="F107" t="n">
        <v>115.5</v>
      </c>
      <c r="G107" t="n">
        <v>1400</v>
      </c>
      <c r="H107" t="n">
        <v>1083</v>
      </c>
      <c r="I107" t="n">
        <v>1519</v>
      </c>
      <c r="J107" t="n">
        <v>0.7</v>
      </c>
      <c r="K107" t="n">
        <v>998</v>
      </c>
      <c r="L107" t="n">
        <v>688</v>
      </c>
      <c r="M107" t="n">
        <v>1664</v>
      </c>
    </row>
    <row r="108">
      <c r="A108" t="inlineStr">
        <is>
          <t>DE</t>
        </is>
      </c>
      <c r="B108" t="inlineStr">
        <is>
          <t>W3</t>
        </is>
      </c>
      <c r="C108" t="n">
        <v>3</v>
      </c>
      <c r="D108" t="n">
        <v>1717</v>
      </c>
      <c r="E108" t="n">
        <v>245075</v>
      </c>
      <c r="F108" t="n">
        <v>142.73</v>
      </c>
      <c r="G108" t="n">
        <v>1277</v>
      </c>
      <c r="H108" t="n">
        <v>1151</v>
      </c>
      <c r="I108" t="n">
        <v>1625</v>
      </c>
      <c r="J108" t="n">
        <v>0.7</v>
      </c>
      <c r="K108" t="n">
        <v>973</v>
      </c>
      <c r="L108" t="n">
        <v>744</v>
      </c>
      <c r="M108" t="n">
        <v>1664</v>
      </c>
    </row>
    <row r="109">
      <c r="A109" t="inlineStr">
        <is>
          <t>DE</t>
        </is>
      </c>
      <c r="B109" t="inlineStr">
        <is>
          <t>W4</t>
        </is>
      </c>
      <c r="C109" t="n">
        <v>4</v>
      </c>
      <c r="D109" t="n">
        <v>1744</v>
      </c>
      <c r="E109" t="n">
        <v>235631</v>
      </c>
      <c r="F109" t="n">
        <v>135.11</v>
      </c>
      <c r="G109" t="n">
        <v>1163</v>
      </c>
      <c r="H109" t="n">
        <v>1154</v>
      </c>
      <c r="I109" t="n">
        <v>1639</v>
      </c>
      <c r="J109" t="n">
        <v>0.7</v>
      </c>
      <c r="K109" t="n">
        <v>973</v>
      </c>
      <c r="L109" t="n">
        <v>771</v>
      </c>
      <c r="M109" t="n">
        <v>1664</v>
      </c>
    </row>
    <row r="110">
      <c r="A110" t="inlineStr">
        <is>
          <t>DE</t>
        </is>
      </c>
      <c r="B110" t="inlineStr">
        <is>
          <t>W5</t>
        </is>
      </c>
      <c r="C110" t="n">
        <v>5</v>
      </c>
      <c r="D110" t="n">
        <v>1430</v>
      </c>
      <c r="E110" t="n">
        <v>126820</v>
      </c>
      <c r="F110" t="n">
        <v>88.69</v>
      </c>
      <c r="G110" t="n">
        <v>1213</v>
      </c>
      <c r="H110" t="n">
        <v>1117</v>
      </c>
      <c r="I110" t="n">
        <v>1580</v>
      </c>
      <c r="J110" t="n">
        <v>0.7</v>
      </c>
      <c r="K110" t="n">
        <v>905</v>
      </c>
      <c r="L110" t="n">
        <v>525</v>
      </c>
      <c r="M110" t="n">
        <v>1527</v>
      </c>
    </row>
    <row r="111">
      <c r="A111" t="inlineStr">
        <is>
          <t>DE</t>
        </is>
      </c>
      <c r="B111" t="inlineStr">
        <is>
          <t>W6</t>
        </is>
      </c>
      <c r="C111" t="n">
        <v>6</v>
      </c>
      <c r="D111" t="n">
        <v>1478</v>
      </c>
      <c r="E111" t="n">
        <v>154689</v>
      </c>
      <c r="F111" t="n">
        <v>104.66</v>
      </c>
      <c r="G111" t="n">
        <v>1439</v>
      </c>
      <c r="H111" t="n">
        <v>1155</v>
      </c>
      <c r="I111" t="n">
        <v>1620</v>
      </c>
      <c r="J111" t="n">
        <v>0.7</v>
      </c>
      <c r="K111" t="n">
        <v>918</v>
      </c>
      <c r="L111" t="n">
        <v>560</v>
      </c>
      <c r="M111" t="n">
        <v>1527</v>
      </c>
    </row>
    <row r="112">
      <c r="A112" t="inlineStr">
        <is>
          <t>DE</t>
        </is>
      </c>
      <c r="B112" t="inlineStr">
        <is>
          <t>W7</t>
        </is>
      </c>
      <c r="C112" t="n">
        <v>7</v>
      </c>
      <c r="D112" t="n">
        <v>1504</v>
      </c>
      <c r="E112" t="n">
        <v>159905</v>
      </c>
      <c r="F112" t="n">
        <v>106.32</v>
      </c>
      <c r="G112" t="n">
        <v>1422</v>
      </c>
      <c r="H112" t="n">
        <v>1125</v>
      </c>
      <c r="I112" t="n">
        <v>1578</v>
      </c>
      <c r="J112" t="n">
        <v>0.7</v>
      </c>
      <c r="K112" t="n">
        <v>944</v>
      </c>
      <c r="L112" t="n">
        <v>560</v>
      </c>
      <c r="M112" t="n">
        <v>1527</v>
      </c>
    </row>
    <row r="113">
      <c r="A113" t="inlineStr">
        <is>
          <t>DE</t>
        </is>
      </c>
      <c r="B113" t="inlineStr">
        <is>
          <t>W8</t>
        </is>
      </c>
      <c r="C113" t="n">
        <v>8</v>
      </c>
      <c r="D113" t="n">
        <v>1412</v>
      </c>
      <c r="E113" t="n">
        <v>162082</v>
      </c>
      <c r="F113" t="n">
        <v>114.79</v>
      </c>
      <c r="G113" t="n">
        <v>1343</v>
      </c>
      <c r="H113" t="n">
        <v>1083</v>
      </c>
      <c r="I113" t="n">
        <v>1517</v>
      </c>
      <c r="J113" t="n">
        <v>0.7</v>
      </c>
      <c r="K113" t="n">
        <v>799</v>
      </c>
      <c r="L113" t="n">
        <v>613</v>
      </c>
      <c r="M113" t="n">
        <v>1527</v>
      </c>
    </row>
    <row r="114">
      <c r="A114" t="inlineStr">
        <is>
          <t>DE</t>
        </is>
      </c>
      <c r="B114" t="inlineStr">
        <is>
          <t>W9</t>
        </is>
      </c>
      <c r="C114" t="n">
        <v>9</v>
      </c>
      <c r="D114" t="n">
        <v>1364</v>
      </c>
      <c r="E114" t="n">
        <v>191460</v>
      </c>
      <c r="F114" t="n">
        <v>140.37</v>
      </c>
      <c r="G114" t="n">
        <v>1257</v>
      </c>
      <c r="H114" t="n">
        <v>1048</v>
      </c>
      <c r="I114" t="n">
        <v>1462</v>
      </c>
      <c r="J114" t="n">
        <v>0.7</v>
      </c>
      <c r="K114" t="n">
        <v>755</v>
      </c>
      <c r="L114" t="n">
        <v>609</v>
      </c>
      <c r="M114" t="n">
        <v>1226</v>
      </c>
    </row>
    <row r="115">
      <c r="A115" t="inlineStr">
        <is>
          <t>DE</t>
        </is>
      </c>
      <c r="B115" t="inlineStr">
        <is>
          <t>W10</t>
        </is>
      </c>
      <c r="C115" t="n">
        <v>10</v>
      </c>
      <c r="D115" t="n">
        <v>1393</v>
      </c>
      <c r="E115" t="n">
        <v>157915</v>
      </c>
      <c r="F115" t="n">
        <v>113.36</v>
      </c>
      <c r="G115" t="n">
        <v>1337</v>
      </c>
      <c r="H115" t="n">
        <v>1093</v>
      </c>
      <c r="I115" t="n">
        <v>1524</v>
      </c>
      <c r="J115" t="n">
        <v>0.7</v>
      </c>
      <c r="K115" t="n">
        <v>848</v>
      </c>
      <c r="L115" t="n">
        <v>545</v>
      </c>
      <c r="M115" t="n">
        <v>1226</v>
      </c>
    </row>
    <row r="116">
      <c r="A116" t="inlineStr">
        <is>
          <t>DE</t>
        </is>
      </c>
      <c r="B116" t="inlineStr">
        <is>
          <t>W11</t>
        </is>
      </c>
      <c r="C116" t="n">
        <v>11</v>
      </c>
      <c r="D116" t="n">
        <v>1493</v>
      </c>
      <c r="E116" t="n">
        <v>170477</v>
      </c>
      <c r="F116" t="n">
        <v>114.18</v>
      </c>
      <c r="G116" t="n">
        <v>1366</v>
      </c>
      <c r="H116" t="n">
        <v>1119</v>
      </c>
      <c r="I116" t="n">
        <v>1559</v>
      </c>
      <c r="J116" t="n">
        <v>0.7</v>
      </c>
      <c r="K116" t="n">
        <v>891</v>
      </c>
      <c r="L116" t="n">
        <v>602</v>
      </c>
      <c r="M116" t="n">
        <v>1226</v>
      </c>
    </row>
    <row r="117">
      <c r="A117" t="inlineStr">
        <is>
          <t>DE</t>
        </is>
      </c>
      <c r="B117" t="inlineStr">
        <is>
          <t>W12</t>
        </is>
      </c>
      <c r="C117" t="n">
        <v>12</v>
      </c>
      <c r="D117" t="n">
        <v>1192</v>
      </c>
      <c r="E117" t="n">
        <v>138333</v>
      </c>
      <c r="F117" t="n">
        <v>116.05</v>
      </c>
      <c r="G117" t="n">
        <v>1227</v>
      </c>
      <c r="H117" t="n">
        <v>1039</v>
      </c>
      <c r="I117" t="n">
        <v>1447</v>
      </c>
      <c r="J117" t="n">
        <v>0.7</v>
      </c>
      <c r="K117" t="n">
        <v>674</v>
      </c>
      <c r="L117" t="n">
        <v>518</v>
      </c>
      <c r="M117" t="n">
        <v>1226</v>
      </c>
    </row>
    <row r="118">
      <c r="A118" t="inlineStr">
        <is>
          <t>DE</t>
        </is>
      </c>
      <c r="B118" t="inlineStr">
        <is>
          <t>W13</t>
        </is>
      </c>
      <c r="C118" t="n">
        <v>13</v>
      </c>
      <c r="D118" t="n">
        <v>634</v>
      </c>
      <c r="E118" t="n">
        <v>109617</v>
      </c>
      <c r="F118" t="n">
        <v>172.9</v>
      </c>
      <c r="G118" t="n">
        <v>1099</v>
      </c>
      <c r="H118" t="n">
        <v>898</v>
      </c>
      <c r="I118" t="n">
        <v>1254</v>
      </c>
      <c r="J118" t="n">
        <v>0.7</v>
      </c>
      <c r="K118" t="n">
        <v>346</v>
      </c>
      <c r="L118" t="n">
        <v>288</v>
      </c>
      <c r="M118" t="n">
        <v>1226</v>
      </c>
    </row>
    <row r="119">
      <c r="A119" t="inlineStr">
        <is>
          <t>DE</t>
        </is>
      </c>
      <c r="B119" t="inlineStr">
        <is>
          <t>W14</t>
        </is>
      </c>
      <c r="C119" t="n">
        <v>14</v>
      </c>
      <c r="D119" t="n">
        <v>1315</v>
      </c>
      <c r="E119" t="n">
        <v>102418</v>
      </c>
      <c r="F119" t="n">
        <v>77.88</v>
      </c>
      <c r="G119" t="n">
        <v>1348</v>
      </c>
      <c r="H119" t="n">
        <v>984</v>
      </c>
      <c r="I119" t="n">
        <v>1405</v>
      </c>
      <c r="J119" t="n">
        <v>0.7</v>
      </c>
      <c r="K119" t="n">
        <v>779</v>
      </c>
      <c r="L119" t="n">
        <v>536</v>
      </c>
      <c r="M119" t="n">
        <v>1437</v>
      </c>
    </row>
    <row r="120">
      <c r="A120" t="inlineStr">
        <is>
          <t>DE</t>
        </is>
      </c>
      <c r="B120" t="inlineStr">
        <is>
          <t>W15</t>
        </is>
      </c>
      <c r="C120" t="n">
        <v>15</v>
      </c>
      <c r="D120" t="n">
        <v>1210</v>
      </c>
      <c r="E120" t="n">
        <v>112634</v>
      </c>
      <c r="F120" t="n">
        <v>93.09</v>
      </c>
      <c r="G120" t="n">
        <v>1223</v>
      </c>
      <c r="H120" t="n">
        <v>771</v>
      </c>
      <c r="I120" t="n">
        <v>1450</v>
      </c>
      <c r="J120" t="n">
        <v>0.7</v>
      </c>
      <c r="K120" t="n">
        <v>650</v>
      </c>
      <c r="L120" t="n">
        <v>560</v>
      </c>
      <c r="M120" t="n">
        <v>1437</v>
      </c>
    </row>
    <row r="121">
      <c r="A121" t="inlineStr">
        <is>
          <t>DE</t>
        </is>
      </c>
      <c r="B121" t="inlineStr">
        <is>
          <t>W16</t>
        </is>
      </c>
      <c r="C121" t="n">
        <v>16</v>
      </c>
      <c r="G121" t="n">
        <v>986</v>
      </c>
      <c r="H121" t="n">
        <v>699</v>
      </c>
      <c r="I121" t="n">
        <v>1274</v>
      </c>
      <c r="J121" t="n">
        <v>0.7</v>
      </c>
      <c r="M121" t="n">
        <v>1437</v>
      </c>
    </row>
    <row r="122">
      <c r="A122" t="inlineStr">
        <is>
          <t>DE</t>
        </is>
      </c>
      <c r="B122" t="inlineStr">
        <is>
          <t>W17</t>
        </is>
      </c>
      <c r="C122" t="n">
        <v>17</v>
      </c>
      <c r="G122" t="n">
        <v>1040</v>
      </c>
      <c r="H122" t="n">
        <v>832</v>
      </c>
      <c r="I122" t="n">
        <v>1292</v>
      </c>
      <c r="J122" t="n">
        <v>0.7</v>
      </c>
      <c r="M122" t="n">
        <v>1437</v>
      </c>
    </row>
    <row r="123">
      <c r="A123" t="inlineStr">
        <is>
          <t>DE</t>
        </is>
      </c>
      <c r="B123" t="inlineStr">
        <is>
          <t>W18</t>
        </is>
      </c>
      <c r="C123" t="n">
        <v>18</v>
      </c>
      <c r="G123" t="n">
        <v>955</v>
      </c>
      <c r="H123" t="n">
        <v>763</v>
      </c>
      <c r="I123" t="n">
        <v>1184</v>
      </c>
      <c r="J123" t="n">
        <v>0.7</v>
      </c>
      <c r="M123" t="n">
        <v>1147</v>
      </c>
    </row>
    <row r="124">
      <c r="A124" t="inlineStr">
        <is>
          <t>DE</t>
        </is>
      </c>
      <c r="B124" t="inlineStr">
        <is>
          <t>W19</t>
        </is>
      </c>
      <c r="C124" t="n">
        <v>19</v>
      </c>
      <c r="G124" t="n">
        <v>1041</v>
      </c>
      <c r="H124" t="n">
        <v>832</v>
      </c>
      <c r="I124" t="n">
        <v>1292</v>
      </c>
      <c r="J124" t="n">
        <v>0.7</v>
      </c>
      <c r="M124" t="n">
        <v>1147</v>
      </c>
    </row>
    <row r="125">
      <c r="A125" t="inlineStr">
        <is>
          <t>DE</t>
        </is>
      </c>
      <c r="B125" t="inlineStr">
        <is>
          <t>W20</t>
        </is>
      </c>
      <c r="C125" t="n">
        <v>20</v>
      </c>
      <c r="G125" t="n">
        <v>1003</v>
      </c>
      <c r="H125" t="n">
        <v>802</v>
      </c>
      <c r="I125" t="n">
        <v>1244</v>
      </c>
      <c r="J125" t="n">
        <v>0.7</v>
      </c>
      <c r="M125" t="n">
        <v>1147</v>
      </c>
    </row>
    <row r="126">
      <c r="A126" t="inlineStr">
        <is>
          <t>DE</t>
        </is>
      </c>
      <c r="B126" t="inlineStr">
        <is>
          <t>W21</t>
        </is>
      </c>
      <c r="C126" t="n">
        <v>21</v>
      </c>
      <c r="G126" t="n">
        <v>996</v>
      </c>
      <c r="H126" t="n">
        <v>796</v>
      </c>
      <c r="I126" t="n">
        <v>1236</v>
      </c>
      <c r="J126" t="n">
        <v>0.7</v>
      </c>
      <c r="M126" t="n">
        <v>1147</v>
      </c>
    </row>
    <row r="127">
      <c r="A127" t="inlineStr">
        <is>
          <t>DE</t>
        </is>
      </c>
      <c r="B127" t="inlineStr">
        <is>
          <t>W22</t>
        </is>
      </c>
      <c r="C127" t="n">
        <v>22</v>
      </c>
      <c r="G127" t="n">
        <v>992</v>
      </c>
      <c r="H127" t="n">
        <v>794</v>
      </c>
      <c r="I127" t="n">
        <v>1232</v>
      </c>
      <c r="J127" t="n">
        <v>0.7</v>
      </c>
      <c r="M127" t="n">
        <v>1147</v>
      </c>
    </row>
    <row r="128">
      <c r="A128" t="inlineStr">
        <is>
          <t>DE</t>
        </is>
      </c>
      <c r="B128" t="inlineStr">
        <is>
          <t>W23</t>
        </is>
      </c>
      <c r="C128" t="n">
        <v>23</v>
      </c>
      <c r="G128" t="n">
        <v>948</v>
      </c>
      <c r="H128" t="n">
        <v>757</v>
      </c>
      <c r="I128" t="n">
        <v>1176</v>
      </c>
      <c r="J128" t="n">
        <v>0.7</v>
      </c>
      <c r="M128" t="n">
        <v>1453</v>
      </c>
    </row>
    <row r="129">
      <c r="A129" t="inlineStr">
        <is>
          <t>DE</t>
        </is>
      </c>
      <c r="B129" t="inlineStr">
        <is>
          <t>W24</t>
        </is>
      </c>
      <c r="C129" t="n">
        <v>24</v>
      </c>
      <c r="G129" t="n">
        <v>1003</v>
      </c>
      <c r="H129" t="n">
        <v>801</v>
      </c>
      <c r="I129" t="n">
        <v>1244</v>
      </c>
      <c r="J129" t="n">
        <v>0.7</v>
      </c>
      <c r="M129" t="n">
        <v>1453</v>
      </c>
    </row>
    <row r="130">
      <c r="A130" t="inlineStr">
        <is>
          <t>DE</t>
        </is>
      </c>
      <c r="B130" t="inlineStr">
        <is>
          <t>W25</t>
        </is>
      </c>
      <c r="C130" t="n">
        <v>25</v>
      </c>
      <c r="G130" t="n">
        <v>1036</v>
      </c>
      <c r="H130" t="n">
        <v>828</v>
      </c>
      <c r="I130" t="n">
        <v>1286</v>
      </c>
      <c r="J130" t="n">
        <v>0.7</v>
      </c>
      <c r="M130" t="n">
        <v>1453</v>
      </c>
    </row>
    <row r="131">
      <c r="A131" t="inlineStr">
        <is>
          <t>DE</t>
        </is>
      </c>
      <c r="B131" t="inlineStr">
        <is>
          <t>W26</t>
        </is>
      </c>
      <c r="C131" t="n">
        <v>26</v>
      </c>
      <c r="G131" t="n">
        <v>1183</v>
      </c>
      <c r="H131" t="n">
        <v>946</v>
      </c>
      <c r="I131" t="n">
        <v>1469</v>
      </c>
      <c r="J131" t="n">
        <v>0.7</v>
      </c>
      <c r="M131" t="n">
        <v>1453</v>
      </c>
    </row>
    <row r="132">
      <c r="A132" t="inlineStr">
        <is>
          <t>DE</t>
        </is>
      </c>
      <c r="B132" t="inlineStr">
        <is>
          <t>W27</t>
        </is>
      </c>
      <c r="C132" t="n">
        <v>27</v>
      </c>
      <c r="G132" t="n">
        <v>1100</v>
      </c>
      <c r="H132" t="n">
        <v>880</v>
      </c>
      <c r="I132" t="n">
        <v>1365</v>
      </c>
      <c r="J132" t="n">
        <v>0.7</v>
      </c>
      <c r="M132" t="n">
        <v>1365</v>
      </c>
    </row>
    <row r="133">
      <c r="A133" t="inlineStr">
        <is>
          <t>DE</t>
        </is>
      </c>
      <c r="B133" t="inlineStr">
        <is>
          <t>W28</t>
        </is>
      </c>
      <c r="C133" t="n">
        <v>28</v>
      </c>
      <c r="G133" t="n">
        <v>1190</v>
      </c>
      <c r="H133" t="n">
        <v>951</v>
      </c>
      <c r="I133" t="n">
        <v>1477</v>
      </c>
      <c r="J133" t="n">
        <v>0.7</v>
      </c>
      <c r="M133" t="n">
        <v>1365</v>
      </c>
    </row>
    <row r="134">
      <c r="A134" t="inlineStr">
        <is>
          <t>DE</t>
        </is>
      </c>
      <c r="B134" t="inlineStr">
        <is>
          <t>W29</t>
        </is>
      </c>
      <c r="C134" t="n">
        <v>29</v>
      </c>
      <c r="G134" t="n">
        <v>998</v>
      </c>
      <c r="H134" t="n">
        <v>798</v>
      </c>
      <c r="I134" t="n">
        <v>1238</v>
      </c>
      <c r="J134" t="n">
        <v>0.7</v>
      </c>
      <c r="M134" t="n">
        <v>1365</v>
      </c>
    </row>
    <row r="135">
      <c r="A135" t="inlineStr">
        <is>
          <t>DE</t>
        </is>
      </c>
      <c r="B135" t="inlineStr">
        <is>
          <t>W30</t>
        </is>
      </c>
      <c r="C135" t="n">
        <v>30</v>
      </c>
      <c r="G135" t="n">
        <v>1051</v>
      </c>
      <c r="H135" t="n">
        <v>841</v>
      </c>
      <c r="I135" t="n">
        <v>1306</v>
      </c>
      <c r="J135" t="n">
        <v>0.7</v>
      </c>
      <c r="M135" t="n">
        <v>1365</v>
      </c>
    </row>
    <row r="136">
      <c r="A136" t="inlineStr">
        <is>
          <t>DE</t>
        </is>
      </c>
      <c r="B136" t="inlineStr">
        <is>
          <t>W31</t>
        </is>
      </c>
      <c r="C136" t="n">
        <v>31</v>
      </c>
      <c r="G136" t="n">
        <v>907</v>
      </c>
      <c r="H136" t="n">
        <v>725</v>
      </c>
      <c r="I136" t="n">
        <v>1126</v>
      </c>
      <c r="J136" t="n">
        <v>0.7</v>
      </c>
      <c r="M136" t="n">
        <v>1365</v>
      </c>
    </row>
    <row r="137">
      <c r="A137" t="inlineStr">
        <is>
          <t>DE</t>
        </is>
      </c>
      <c r="B137" t="inlineStr">
        <is>
          <t>W32</t>
        </is>
      </c>
      <c r="C137" t="n">
        <v>32</v>
      </c>
      <c r="G137" t="n">
        <v>964</v>
      </c>
      <c r="H137" t="n">
        <v>770</v>
      </c>
      <c r="I137" t="n">
        <v>1196</v>
      </c>
      <c r="J137" t="n">
        <v>0.7</v>
      </c>
      <c r="M137" t="n">
        <v>1264</v>
      </c>
    </row>
    <row r="138">
      <c r="A138" t="inlineStr">
        <is>
          <t>DE</t>
        </is>
      </c>
      <c r="B138" t="inlineStr">
        <is>
          <t>W33</t>
        </is>
      </c>
      <c r="C138" t="n">
        <v>33</v>
      </c>
      <c r="G138" t="n">
        <v>974</v>
      </c>
      <c r="H138" t="n">
        <v>779</v>
      </c>
      <c r="I138" t="n">
        <v>1209</v>
      </c>
      <c r="J138" t="n">
        <v>0.7</v>
      </c>
      <c r="M138" t="n">
        <v>1264</v>
      </c>
    </row>
    <row r="139">
      <c r="A139" t="inlineStr">
        <is>
          <t>DE</t>
        </is>
      </c>
      <c r="B139" t="inlineStr">
        <is>
          <t>W34</t>
        </is>
      </c>
      <c r="C139" t="n">
        <v>34</v>
      </c>
      <c r="G139" t="n">
        <v>1002</v>
      </c>
      <c r="H139" t="n">
        <v>801</v>
      </c>
      <c r="I139" t="n">
        <v>1243</v>
      </c>
      <c r="J139" t="n">
        <v>0.7</v>
      </c>
      <c r="M139" t="n">
        <v>1264</v>
      </c>
    </row>
    <row r="140">
      <c r="A140" t="inlineStr">
        <is>
          <t>DE</t>
        </is>
      </c>
      <c r="B140" t="inlineStr">
        <is>
          <t>W35</t>
        </is>
      </c>
      <c r="C140" t="n">
        <v>35</v>
      </c>
      <c r="G140" t="n">
        <v>1065</v>
      </c>
      <c r="H140" t="n">
        <v>852</v>
      </c>
      <c r="I140" t="n">
        <v>1322</v>
      </c>
      <c r="J140" t="n">
        <v>0.7</v>
      </c>
      <c r="M140" t="n">
        <v>1264</v>
      </c>
    </row>
    <row r="141">
      <c r="A141" t="inlineStr">
        <is>
          <t>DE</t>
        </is>
      </c>
      <c r="B141" t="inlineStr">
        <is>
          <t>W36</t>
        </is>
      </c>
      <c r="C141" t="n">
        <v>36</v>
      </c>
      <c r="G141" t="n">
        <v>1120</v>
      </c>
      <c r="H141" t="n">
        <v>895</v>
      </c>
      <c r="I141" t="n">
        <v>1389</v>
      </c>
      <c r="J141" t="n">
        <v>0.7</v>
      </c>
      <c r="M141" t="n">
        <v>1561</v>
      </c>
    </row>
    <row r="142">
      <c r="A142" t="inlineStr">
        <is>
          <t>DE</t>
        </is>
      </c>
      <c r="B142" t="inlineStr">
        <is>
          <t>W37</t>
        </is>
      </c>
      <c r="C142" t="n">
        <v>37</v>
      </c>
      <c r="G142" t="n">
        <v>1146</v>
      </c>
      <c r="H142" t="n">
        <v>916</v>
      </c>
      <c r="I142" t="n">
        <v>1422</v>
      </c>
      <c r="J142" t="n">
        <v>0.7</v>
      </c>
      <c r="M142" t="n">
        <v>1561</v>
      </c>
    </row>
    <row r="143">
      <c r="A143" t="inlineStr">
        <is>
          <t>DE</t>
        </is>
      </c>
      <c r="B143" t="inlineStr">
        <is>
          <t>W38</t>
        </is>
      </c>
      <c r="C143" t="n">
        <v>38</v>
      </c>
      <c r="G143" t="n">
        <v>1080</v>
      </c>
      <c r="H143" t="n">
        <v>864</v>
      </c>
      <c r="I143" t="n">
        <v>1341</v>
      </c>
      <c r="J143" t="n">
        <v>0.7</v>
      </c>
      <c r="M143" t="n">
        <v>1561</v>
      </c>
    </row>
    <row r="144">
      <c r="A144" t="inlineStr">
        <is>
          <t>DE</t>
        </is>
      </c>
      <c r="B144" t="inlineStr">
        <is>
          <t>W39</t>
        </is>
      </c>
      <c r="C144" t="n">
        <v>39</v>
      </c>
      <c r="G144" t="n">
        <v>1236</v>
      </c>
      <c r="H144" t="n">
        <v>988</v>
      </c>
      <c r="I144" t="n">
        <v>1534</v>
      </c>
      <c r="J144" t="n">
        <v>0.7</v>
      </c>
      <c r="M144" t="n">
        <v>1561</v>
      </c>
    </row>
    <row r="145">
      <c r="A145" t="inlineStr">
        <is>
          <t>DE</t>
        </is>
      </c>
      <c r="B145" t="inlineStr">
        <is>
          <t>W40</t>
        </is>
      </c>
      <c r="C145" t="n">
        <v>40</v>
      </c>
      <c r="G145" t="n">
        <v>1126</v>
      </c>
      <c r="H145" t="n">
        <v>900</v>
      </c>
      <c r="I145" t="n">
        <v>1397</v>
      </c>
      <c r="J145" t="n">
        <v>0.7</v>
      </c>
      <c r="M145" t="n">
        <v>1352</v>
      </c>
    </row>
    <row r="146">
      <c r="A146" t="inlineStr">
        <is>
          <t>DE</t>
        </is>
      </c>
      <c r="B146" t="inlineStr">
        <is>
          <t>W41</t>
        </is>
      </c>
      <c r="C146" t="n">
        <v>41</v>
      </c>
      <c r="G146" t="n">
        <v>1210</v>
      </c>
      <c r="H146" t="n">
        <v>968</v>
      </c>
      <c r="I146" t="n">
        <v>1502</v>
      </c>
      <c r="J146" t="n">
        <v>0.7</v>
      </c>
      <c r="M146" t="n">
        <v>1352</v>
      </c>
    </row>
    <row r="147">
      <c r="A147" t="inlineStr">
        <is>
          <t>DE</t>
        </is>
      </c>
      <c r="B147" t="inlineStr">
        <is>
          <t>W42</t>
        </is>
      </c>
      <c r="C147" t="n">
        <v>42</v>
      </c>
      <c r="G147" t="n">
        <v>1122</v>
      </c>
      <c r="H147" t="n">
        <v>896</v>
      </c>
      <c r="I147" t="n">
        <v>1391</v>
      </c>
      <c r="J147" t="n">
        <v>0.7</v>
      </c>
      <c r="M147" t="n">
        <v>1352</v>
      </c>
    </row>
    <row r="148">
      <c r="A148" t="inlineStr">
        <is>
          <t>DE</t>
        </is>
      </c>
      <c r="B148" t="inlineStr">
        <is>
          <t>W43</t>
        </is>
      </c>
      <c r="C148" t="n">
        <v>43</v>
      </c>
      <c r="G148" t="n">
        <v>1264</v>
      </c>
      <c r="H148" t="n">
        <v>1011</v>
      </c>
      <c r="I148" t="n">
        <v>1569</v>
      </c>
      <c r="J148" t="n">
        <v>0.7</v>
      </c>
      <c r="M148" t="n">
        <v>1352</v>
      </c>
    </row>
    <row r="149">
      <c r="A149" t="inlineStr">
        <is>
          <t>DE</t>
        </is>
      </c>
      <c r="B149" t="inlineStr">
        <is>
          <t>W44</t>
        </is>
      </c>
      <c r="C149" t="n">
        <v>44</v>
      </c>
      <c r="G149" t="n">
        <v>1283</v>
      </c>
      <c r="H149" t="n">
        <v>1025</v>
      </c>
      <c r="I149" t="n">
        <v>1592</v>
      </c>
      <c r="J149" t="n">
        <v>0.7</v>
      </c>
      <c r="M149" t="n">
        <v>1352</v>
      </c>
    </row>
    <row r="150">
      <c r="A150" t="inlineStr">
        <is>
          <t>DE</t>
        </is>
      </c>
      <c r="B150" t="inlineStr">
        <is>
          <t>W45</t>
        </is>
      </c>
      <c r="C150" t="n">
        <v>45</v>
      </c>
      <c r="G150" t="n">
        <v>1439</v>
      </c>
      <c r="H150" t="n">
        <v>1151</v>
      </c>
      <c r="I150" t="n">
        <v>1786</v>
      </c>
      <c r="J150" t="n">
        <v>0.7</v>
      </c>
      <c r="M150" t="n">
        <v>1744</v>
      </c>
    </row>
    <row r="151">
      <c r="A151" t="inlineStr">
        <is>
          <t>DE</t>
        </is>
      </c>
      <c r="B151" t="inlineStr">
        <is>
          <t>W46</t>
        </is>
      </c>
      <c r="C151" t="n">
        <v>46</v>
      </c>
      <c r="G151" t="n">
        <v>1443</v>
      </c>
      <c r="H151" t="n">
        <v>1154</v>
      </c>
      <c r="I151" t="n">
        <v>1791</v>
      </c>
      <c r="J151" t="n">
        <v>0.7</v>
      </c>
      <c r="M151" t="n">
        <v>1744</v>
      </c>
    </row>
    <row r="152">
      <c r="A152" t="inlineStr">
        <is>
          <t>DE</t>
        </is>
      </c>
      <c r="B152" t="inlineStr">
        <is>
          <t>W47</t>
        </is>
      </c>
      <c r="C152" t="n">
        <v>47</v>
      </c>
      <c r="G152" t="n">
        <v>1252</v>
      </c>
      <c r="H152" t="n">
        <v>1001</v>
      </c>
      <c r="I152" t="n">
        <v>1554</v>
      </c>
      <c r="J152" t="n">
        <v>0.7</v>
      </c>
      <c r="M152" t="n">
        <v>1744</v>
      </c>
    </row>
    <row r="153">
      <c r="A153" t="inlineStr">
        <is>
          <t>DE</t>
        </is>
      </c>
      <c r="B153" t="inlineStr">
        <is>
          <t>W48</t>
        </is>
      </c>
      <c r="C153" t="n">
        <v>48</v>
      </c>
      <c r="G153" t="n">
        <v>1199</v>
      </c>
      <c r="H153" t="n">
        <v>959</v>
      </c>
      <c r="I153" t="n">
        <v>1488</v>
      </c>
      <c r="J153" t="n">
        <v>0.7</v>
      </c>
      <c r="M153" t="n">
        <v>1744</v>
      </c>
    </row>
    <row r="154">
      <c r="A154" t="inlineStr">
        <is>
          <t>DE</t>
        </is>
      </c>
      <c r="B154" t="inlineStr">
        <is>
          <t>W49</t>
        </is>
      </c>
      <c r="C154" t="n">
        <v>49</v>
      </c>
      <c r="G154" t="n">
        <v>1053</v>
      </c>
      <c r="H154" t="n">
        <v>843</v>
      </c>
      <c r="I154" t="n">
        <v>1308</v>
      </c>
      <c r="J154" t="n">
        <v>0.7</v>
      </c>
      <c r="M154" t="n">
        <v>1232</v>
      </c>
    </row>
    <row r="155">
      <c r="A155" t="inlineStr">
        <is>
          <t>DE</t>
        </is>
      </c>
      <c r="B155" t="inlineStr">
        <is>
          <t>W50</t>
        </is>
      </c>
      <c r="C155" t="n">
        <v>50</v>
      </c>
      <c r="G155" t="n">
        <v>792</v>
      </c>
      <c r="H155" t="n">
        <v>633</v>
      </c>
      <c r="I155" t="n">
        <v>983</v>
      </c>
      <c r="J155" t="n">
        <v>0.7</v>
      </c>
      <c r="M155" t="n">
        <v>1232</v>
      </c>
    </row>
    <row r="156">
      <c r="A156" t="inlineStr">
        <is>
          <t>DE</t>
        </is>
      </c>
      <c r="B156" t="inlineStr">
        <is>
          <t>W51</t>
        </is>
      </c>
      <c r="C156" t="n">
        <v>51</v>
      </c>
      <c r="G156" t="n">
        <v>970</v>
      </c>
      <c r="H156" t="n">
        <v>775</v>
      </c>
      <c r="I156" t="n">
        <v>1204</v>
      </c>
      <c r="J156" t="n">
        <v>0.7</v>
      </c>
      <c r="M156" t="n">
        <v>1232</v>
      </c>
    </row>
    <row r="157">
      <c r="A157" t="inlineStr">
        <is>
          <t>DE</t>
        </is>
      </c>
      <c r="B157" t="inlineStr">
        <is>
          <t>W52</t>
        </is>
      </c>
      <c r="C157" t="n">
        <v>52</v>
      </c>
      <c r="G157" t="n">
        <v>1139</v>
      </c>
      <c r="H157" t="n">
        <v>910</v>
      </c>
      <c r="I157" t="n">
        <v>1413</v>
      </c>
      <c r="J157" t="n">
        <v>0.7</v>
      </c>
      <c r="M157" t="n">
        <v>1232</v>
      </c>
    </row>
    <row r="158">
      <c r="A158" t="inlineStr">
        <is>
          <t>FR</t>
        </is>
      </c>
      <c r="B158" t="inlineStr">
        <is>
          <t>W1</t>
        </is>
      </c>
      <c r="C158" t="n">
        <v>1</v>
      </c>
      <c r="D158" t="n">
        <v>657</v>
      </c>
      <c r="E158" t="n">
        <v>30250</v>
      </c>
      <c r="F158" t="n">
        <v>46.04</v>
      </c>
      <c r="G158" t="n">
        <v>975</v>
      </c>
      <c r="H158" t="n">
        <v>702</v>
      </c>
      <c r="I158" t="n">
        <v>1058</v>
      </c>
      <c r="J158" t="n">
        <v>0.7</v>
      </c>
      <c r="K158" t="n">
        <v>259</v>
      </c>
      <c r="L158" t="n">
        <v>398</v>
      </c>
      <c r="M158" t="n">
        <v>1254</v>
      </c>
    </row>
    <row r="159">
      <c r="A159" t="inlineStr">
        <is>
          <t>FR</t>
        </is>
      </c>
      <c r="B159" t="inlineStr">
        <is>
          <t>W2</t>
        </is>
      </c>
      <c r="C159" t="n">
        <v>2</v>
      </c>
      <c r="D159" t="n">
        <v>1116</v>
      </c>
      <c r="E159" t="n">
        <v>47676</v>
      </c>
      <c r="F159" t="n">
        <v>42.72</v>
      </c>
      <c r="G159" t="n">
        <v>1162</v>
      </c>
      <c r="H159" t="n">
        <v>873</v>
      </c>
      <c r="I159" t="n">
        <v>1315</v>
      </c>
      <c r="J159" t="n">
        <v>0.7</v>
      </c>
      <c r="K159" t="n">
        <v>500</v>
      </c>
      <c r="L159" t="n">
        <v>616</v>
      </c>
      <c r="M159" t="n">
        <v>1254</v>
      </c>
    </row>
    <row r="160">
      <c r="A160" t="inlineStr">
        <is>
          <t>FR</t>
        </is>
      </c>
      <c r="B160" t="inlineStr">
        <is>
          <t>W3</t>
        </is>
      </c>
      <c r="C160" t="n">
        <v>3</v>
      </c>
      <c r="D160" t="n">
        <v>1051</v>
      </c>
      <c r="E160" t="n">
        <v>70671</v>
      </c>
      <c r="F160" t="n">
        <v>67.23999999999999</v>
      </c>
      <c r="G160" t="n">
        <v>1070</v>
      </c>
      <c r="H160" t="n">
        <v>905</v>
      </c>
      <c r="I160" t="n">
        <v>1367</v>
      </c>
      <c r="J160" t="n">
        <v>0.7</v>
      </c>
      <c r="K160" t="n">
        <v>469</v>
      </c>
      <c r="L160" t="n">
        <v>582</v>
      </c>
      <c r="M160" t="n">
        <v>1254</v>
      </c>
    </row>
    <row r="161">
      <c r="A161" t="inlineStr">
        <is>
          <t>FR</t>
        </is>
      </c>
      <c r="B161" t="inlineStr">
        <is>
          <t>W4</t>
        </is>
      </c>
      <c r="C161" t="n">
        <v>4</v>
      </c>
      <c r="D161" t="n">
        <v>1075</v>
      </c>
      <c r="E161" t="n">
        <v>69957</v>
      </c>
      <c r="F161" t="n">
        <v>65.08</v>
      </c>
      <c r="G161" t="n">
        <v>1082</v>
      </c>
      <c r="H161" t="n">
        <v>975</v>
      </c>
      <c r="I161" t="n">
        <v>1473</v>
      </c>
      <c r="J161" t="n">
        <v>0.7</v>
      </c>
      <c r="K161" t="n">
        <v>485</v>
      </c>
      <c r="L161" t="n">
        <v>590</v>
      </c>
      <c r="M161" t="n">
        <v>1254</v>
      </c>
    </row>
    <row r="162">
      <c r="A162" t="inlineStr">
        <is>
          <t>FR</t>
        </is>
      </c>
      <c r="B162" t="inlineStr">
        <is>
          <t>W5</t>
        </is>
      </c>
      <c r="C162" t="n">
        <v>5</v>
      </c>
      <c r="D162" t="n">
        <v>1051</v>
      </c>
      <c r="E162" t="n">
        <v>64417</v>
      </c>
      <c r="F162" t="n">
        <v>61.29</v>
      </c>
      <c r="G162" t="n">
        <v>1169</v>
      </c>
      <c r="H162" t="n">
        <v>1001</v>
      </c>
      <c r="I162" t="n">
        <v>1504</v>
      </c>
      <c r="J162" t="n">
        <v>0.7</v>
      </c>
      <c r="K162" t="n">
        <v>460</v>
      </c>
      <c r="L162" t="n">
        <v>591</v>
      </c>
      <c r="M162" t="n">
        <v>1088</v>
      </c>
    </row>
    <row r="163">
      <c r="A163" t="inlineStr">
        <is>
          <t>FR</t>
        </is>
      </c>
      <c r="B163" t="inlineStr">
        <is>
          <t>W6</t>
        </is>
      </c>
      <c r="C163" t="n">
        <v>6</v>
      </c>
      <c r="D163" t="n">
        <v>1013</v>
      </c>
      <c r="E163" t="n">
        <v>57855</v>
      </c>
      <c r="F163" t="n">
        <v>57.11</v>
      </c>
      <c r="G163" t="n">
        <v>1258</v>
      </c>
      <c r="H163" t="n">
        <v>1003</v>
      </c>
      <c r="I163" t="n">
        <v>1493</v>
      </c>
      <c r="J163" t="n">
        <v>0.7</v>
      </c>
      <c r="K163" t="n">
        <v>415</v>
      </c>
      <c r="L163" t="n">
        <v>598</v>
      </c>
      <c r="M163" t="n">
        <v>1088</v>
      </c>
    </row>
    <row r="164">
      <c r="A164" t="inlineStr">
        <is>
          <t>FR</t>
        </is>
      </c>
      <c r="B164" t="inlineStr">
        <is>
          <t>W7</t>
        </is>
      </c>
      <c r="C164" t="n">
        <v>7</v>
      </c>
      <c r="D164" t="n">
        <v>1083</v>
      </c>
      <c r="E164" t="n">
        <v>62194</v>
      </c>
      <c r="F164" t="n">
        <v>57.43</v>
      </c>
      <c r="G164" t="n">
        <v>1198</v>
      </c>
      <c r="H164" t="n">
        <v>957</v>
      </c>
      <c r="I164" t="n">
        <v>1424</v>
      </c>
      <c r="J164" t="n">
        <v>0.7</v>
      </c>
      <c r="K164" t="n">
        <v>510</v>
      </c>
      <c r="L164" t="n">
        <v>573</v>
      </c>
      <c r="M164" t="n">
        <v>1088</v>
      </c>
    </row>
    <row r="165">
      <c r="A165" t="inlineStr">
        <is>
          <t>FR</t>
        </is>
      </c>
      <c r="B165" t="inlineStr">
        <is>
          <t>W8</t>
        </is>
      </c>
      <c r="C165" t="n">
        <v>8</v>
      </c>
      <c r="D165" t="n">
        <v>1121</v>
      </c>
      <c r="E165" t="n">
        <v>69766</v>
      </c>
      <c r="F165" t="n">
        <v>62.24</v>
      </c>
      <c r="G165" t="n">
        <v>1200</v>
      </c>
      <c r="H165" t="n">
        <v>965</v>
      </c>
      <c r="I165" t="n">
        <v>1434</v>
      </c>
      <c r="J165" t="n">
        <v>0.7</v>
      </c>
      <c r="K165" t="n">
        <v>439</v>
      </c>
      <c r="L165" t="n">
        <v>682</v>
      </c>
      <c r="M165" t="n">
        <v>1088</v>
      </c>
    </row>
    <row r="166">
      <c r="A166" t="inlineStr">
        <is>
          <t>FR</t>
        </is>
      </c>
      <c r="B166" t="inlineStr">
        <is>
          <t>W9</t>
        </is>
      </c>
      <c r="C166" t="n">
        <v>9</v>
      </c>
      <c r="D166" t="n">
        <v>1095</v>
      </c>
      <c r="E166" t="n">
        <v>77374</v>
      </c>
      <c r="F166" t="n">
        <v>70.66</v>
      </c>
      <c r="G166" t="n">
        <v>1210</v>
      </c>
      <c r="H166" t="n">
        <v>988</v>
      </c>
      <c r="I166" t="n">
        <v>1469</v>
      </c>
      <c r="J166" t="n">
        <v>0.7</v>
      </c>
      <c r="K166" t="n">
        <v>440</v>
      </c>
      <c r="L166" t="n">
        <v>655</v>
      </c>
      <c r="M166" t="n">
        <v>939</v>
      </c>
    </row>
    <row r="167">
      <c r="A167" t="inlineStr">
        <is>
          <t>FR</t>
        </is>
      </c>
      <c r="B167" t="inlineStr">
        <is>
          <t>W10</t>
        </is>
      </c>
      <c r="C167" t="n">
        <v>10</v>
      </c>
      <c r="D167" t="n">
        <v>1075</v>
      </c>
      <c r="E167" t="n">
        <v>78871</v>
      </c>
      <c r="F167" t="n">
        <v>73.37</v>
      </c>
      <c r="G167" t="n">
        <v>1206</v>
      </c>
      <c r="H167" t="n">
        <v>986</v>
      </c>
      <c r="I167" t="n">
        <v>1465</v>
      </c>
      <c r="J167" t="n">
        <v>0.7</v>
      </c>
      <c r="K167" t="n">
        <v>476</v>
      </c>
      <c r="L167" t="n">
        <v>599</v>
      </c>
      <c r="M167" t="n">
        <v>939</v>
      </c>
    </row>
    <row r="168">
      <c r="A168" t="inlineStr">
        <is>
          <t>FR</t>
        </is>
      </c>
      <c r="B168" t="inlineStr">
        <is>
          <t>W11</t>
        </is>
      </c>
      <c r="C168" t="n">
        <v>11</v>
      </c>
      <c r="D168" t="n">
        <v>1195</v>
      </c>
      <c r="E168" t="n">
        <v>71668</v>
      </c>
      <c r="F168" t="n">
        <v>59.97</v>
      </c>
      <c r="G168" t="n">
        <v>1296</v>
      </c>
      <c r="H168" t="n">
        <v>1042</v>
      </c>
      <c r="I168" t="n">
        <v>1545</v>
      </c>
      <c r="J168" t="n">
        <v>0.7</v>
      </c>
      <c r="K168" t="n">
        <v>549</v>
      </c>
      <c r="L168" t="n">
        <v>646</v>
      </c>
      <c r="M168" t="n">
        <v>939</v>
      </c>
    </row>
    <row r="169">
      <c r="A169" t="inlineStr">
        <is>
          <t>FR</t>
        </is>
      </c>
      <c r="B169" t="inlineStr">
        <is>
          <t>W12</t>
        </is>
      </c>
      <c r="C169" t="n">
        <v>12</v>
      </c>
      <c r="D169" t="n">
        <v>1140</v>
      </c>
      <c r="E169" t="n">
        <v>60811</v>
      </c>
      <c r="F169" t="n">
        <v>53.34</v>
      </c>
      <c r="G169" t="n">
        <v>1160</v>
      </c>
      <c r="H169" t="n">
        <v>945</v>
      </c>
      <c r="I169" t="n">
        <v>1403</v>
      </c>
      <c r="J169" t="n">
        <v>0.7</v>
      </c>
      <c r="K169" t="n">
        <v>479</v>
      </c>
      <c r="L169" t="n">
        <v>661</v>
      </c>
      <c r="M169" t="n">
        <v>939</v>
      </c>
    </row>
    <row r="170">
      <c r="A170" t="inlineStr">
        <is>
          <t>FR</t>
        </is>
      </c>
      <c r="B170" t="inlineStr">
        <is>
          <t>W13</t>
        </is>
      </c>
      <c r="C170" t="n">
        <v>13</v>
      </c>
      <c r="D170" t="n">
        <v>1170</v>
      </c>
      <c r="E170" t="n">
        <v>69335</v>
      </c>
      <c r="F170" t="n">
        <v>59.26</v>
      </c>
      <c r="G170" t="n">
        <v>1229</v>
      </c>
      <c r="H170" t="n">
        <v>1004</v>
      </c>
      <c r="I170" t="n">
        <v>1491</v>
      </c>
      <c r="J170" t="n">
        <v>0.7</v>
      </c>
      <c r="K170" t="n">
        <v>474</v>
      </c>
      <c r="L170" t="n">
        <v>696</v>
      </c>
      <c r="M170" t="n">
        <v>939</v>
      </c>
    </row>
    <row r="171">
      <c r="A171" t="inlineStr">
        <is>
          <t>FR</t>
        </is>
      </c>
      <c r="B171" t="inlineStr">
        <is>
          <t>W14</t>
        </is>
      </c>
      <c r="C171" t="n">
        <v>14</v>
      </c>
      <c r="D171" t="n">
        <v>1148</v>
      </c>
      <c r="E171" t="n">
        <v>66262</v>
      </c>
      <c r="F171" t="n">
        <v>57.72</v>
      </c>
      <c r="G171" t="n">
        <v>1159</v>
      </c>
      <c r="H171" t="n">
        <v>946</v>
      </c>
      <c r="I171" t="n">
        <v>1404</v>
      </c>
      <c r="J171" t="n">
        <v>0.7</v>
      </c>
      <c r="K171" t="n">
        <v>465</v>
      </c>
      <c r="L171" t="n">
        <v>683</v>
      </c>
      <c r="M171" t="n">
        <v>1029</v>
      </c>
    </row>
    <row r="172">
      <c r="A172" t="inlineStr">
        <is>
          <t>FR</t>
        </is>
      </c>
      <c r="B172" t="inlineStr">
        <is>
          <t>W15</t>
        </is>
      </c>
      <c r="C172" t="n">
        <v>15</v>
      </c>
      <c r="D172" t="n">
        <v>886</v>
      </c>
      <c r="E172" t="n">
        <v>60766</v>
      </c>
      <c r="F172" t="n">
        <v>68.59</v>
      </c>
      <c r="G172" t="n">
        <v>1123</v>
      </c>
      <c r="H172" t="n">
        <v>846</v>
      </c>
      <c r="I172" t="n">
        <v>1366</v>
      </c>
      <c r="J172" t="n">
        <v>0.7</v>
      </c>
      <c r="K172" t="n">
        <v>359</v>
      </c>
      <c r="L172" t="n">
        <v>527</v>
      </c>
      <c r="M172" t="n">
        <v>1029</v>
      </c>
    </row>
    <row r="173">
      <c r="A173" t="inlineStr">
        <is>
          <t>FR</t>
        </is>
      </c>
      <c r="B173" t="inlineStr">
        <is>
          <t>W16</t>
        </is>
      </c>
      <c r="C173" t="n">
        <v>16</v>
      </c>
      <c r="G173" t="n">
        <v>1035</v>
      </c>
      <c r="H173" t="n">
        <v>922</v>
      </c>
      <c r="I173" t="n">
        <v>1148</v>
      </c>
      <c r="J173" t="n">
        <v>0.7</v>
      </c>
      <c r="M173" t="n">
        <v>1029</v>
      </c>
    </row>
    <row r="174">
      <c r="A174" t="inlineStr">
        <is>
          <t>FR</t>
        </is>
      </c>
      <c r="B174" t="inlineStr">
        <is>
          <t>W17</t>
        </is>
      </c>
      <c r="C174" t="n">
        <v>17</v>
      </c>
      <c r="G174" t="n">
        <v>998</v>
      </c>
      <c r="H174" t="n">
        <v>795</v>
      </c>
      <c r="I174" t="n">
        <v>1095</v>
      </c>
      <c r="J174" t="n">
        <v>0.7</v>
      </c>
      <c r="M174" t="n">
        <v>1029</v>
      </c>
    </row>
    <row r="175">
      <c r="A175" t="inlineStr">
        <is>
          <t>FR</t>
        </is>
      </c>
      <c r="B175" t="inlineStr">
        <is>
          <t>W18</t>
        </is>
      </c>
      <c r="C175" t="n">
        <v>18</v>
      </c>
      <c r="G175" t="n">
        <v>950</v>
      </c>
      <c r="H175" t="n">
        <v>758</v>
      </c>
      <c r="I175" t="n">
        <v>1043</v>
      </c>
      <c r="J175" t="n">
        <v>0.7</v>
      </c>
      <c r="M175" t="n">
        <v>754</v>
      </c>
    </row>
    <row r="176">
      <c r="A176" t="inlineStr">
        <is>
          <t>FR</t>
        </is>
      </c>
      <c r="B176" t="inlineStr">
        <is>
          <t>W19</t>
        </is>
      </c>
      <c r="C176" t="n">
        <v>19</v>
      </c>
      <c r="G176" t="n">
        <v>974</v>
      </c>
      <c r="H176" t="n">
        <v>778</v>
      </c>
      <c r="I176" t="n">
        <v>1071</v>
      </c>
      <c r="J176" t="n">
        <v>0.7</v>
      </c>
      <c r="M176" t="n">
        <v>754</v>
      </c>
    </row>
    <row r="177">
      <c r="A177" t="inlineStr">
        <is>
          <t>FR</t>
        </is>
      </c>
      <c r="B177" t="inlineStr">
        <is>
          <t>W20</t>
        </is>
      </c>
      <c r="C177" t="n">
        <v>20</v>
      </c>
      <c r="G177" t="n">
        <v>907</v>
      </c>
      <c r="H177" t="n">
        <v>724</v>
      </c>
      <c r="I177" t="n">
        <v>996</v>
      </c>
      <c r="J177" t="n">
        <v>0.7</v>
      </c>
      <c r="M177" t="n">
        <v>754</v>
      </c>
    </row>
    <row r="178">
      <c r="A178" t="inlineStr">
        <is>
          <t>FR</t>
        </is>
      </c>
      <c r="B178" t="inlineStr">
        <is>
          <t>W21</t>
        </is>
      </c>
      <c r="C178" t="n">
        <v>21</v>
      </c>
      <c r="G178" t="n">
        <v>946</v>
      </c>
      <c r="H178" t="n">
        <v>754</v>
      </c>
      <c r="I178" t="n">
        <v>1039</v>
      </c>
      <c r="J178" t="n">
        <v>0.7</v>
      </c>
      <c r="M178" t="n">
        <v>754</v>
      </c>
    </row>
    <row r="179">
      <c r="A179" t="inlineStr">
        <is>
          <t>FR</t>
        </is>
      </c>
      <c r="B179" t="inlineStr">
        <is>
          <t>W22</t>
        </is>
      </c>
      <c r="C179" t="n">
        <v>22</v>
      </c>
      <c r="G179" t="n">
        <v>932</v>
      </c>
      <c r="H179" t="n">
        <v>744</v>
      </c>
      <c r="I179" t="n">
        <v>1024</v>
      </c>
      <c r="J179" t="n">
        <v>0.7</v>
      </c>
      <c r="M179" t="n">
        <v>754</v>
      </c>
    </row>
    <row r="180">
      <c r="A180" t="inlineStr">
        <is>
          <t>FR</t>
        </is>
      </c>
      <c r="B180" t="inlineStr">
        <is>
          <t>W23</t>
        </is>
      </c>
      <c r="C180" t="n">
        <v>23</v>
      </c>
      <c r="G180" t="n">
        <v>947</v>
      </c>
      <c r="H180" t="n">
        <v>755</v>
      </c>
      <c r="I180" t="n">
        <v>1040</v>
      </c>
      <c r="J180" t="n">
        <v>0.7</v>
      </c>
      <c r="M180" t="n">
        <v>1034</v>
      </c>
    </row>
    <row r="181">
      <c r="A181" t="inlineStr">
        <is>
          <t>FR</t>
        </is>
      </c>
      <c r="B181" t="inlineStr">
        <is>
          <t>W24</t>
        </is>
      </c>
      <c r="C181" t="n">
        <v>24</v>
      </c>
      <c r="G181" t="n">
        <v>964</v>
      </c>
      <c r="H181" t="n">
        <v>769</v>
      </c>
      <c r="I181" t="n">
        <v>1059</v>
      </c>
      <c r="J181" t="n">
        <v>0.7</v>
      </c>
      <c r="M181" t="n">
        <v>1034</v>
      </c>
    </row>
    <row r="182">
      <c r="A182" t="inlineStr">
        <is>
          <t>FR</t>
        </is>
      </c>
      <c r="B182" t="inlineStr">
        <is>
          <t>W25</t>
        </is>
      </c>
      <c r="C182" t="n">
        <v>25</v>
      </c>
      <c r="G182" t="n">
        <v>1000</v>
      </c>
      <c r="H182" t="n">
        <v>797</v>
      </c>
      <c r="I182" t="n">
        <v>1098</v>
      </c>
      <c r="J182" t="n">
        <v>0.7</v>
      </c>
      <c r="M182" t="n">
        <v>1034</v>
      </c>
    </row>
    <row r="183">
      <c r="A183" t="inlineStr">
        <is>
          <t>FR</t>
        </is>
      </c>
      <c r="B183" t="inlineStr">
        <is>
          <t>W26</t>
        </is>
      </c>
      <c r="C183" t="n">
        <v>26</v>
      </c>
      <c r="G183" t="n">
        <v>1017</v>
      </c>
      <c r="H183" t="n">
        <v>811</v>
      </c>
      <c r="I183" t="n">
        <v>1116</v>
      </c>
      <c r="J183" t="n">
        <v>0.7</v>
      </c>
      <c r="M183" t="n">
        <v>1034</v>
      </c>
    </row>
    <row r="184">
      <c r="A184" t="inlineStr">
        <is>
          <t>FR</t>
        </is>
      </c>
      <c r="B184" t="inlineStr">
        <is>
          <t>W27</t>
        </is>
      </c>
      <c r="C184" t="n">
        <v>27</v>
      </c>
      <c r="G184" t="n">
        <v>974</v>
      </c>
      <c r="H184" t="n">
        <v>778</v>
      </c>
      <c r="I184" t="n">
        <v>1071</v>
      </c>
      <c r="J184" t="n">
        <v>0.7</v>
      </c>
      <c r="M184" t="n">
        <v>857</v>
      </c>
    </row>
    <row r="185">
      <c r="A185" t="inlineStr">
        <is>
          <t>FR</t>
        </is>
      </c>
      <c r="B185" t="inlineStr">
        <is>
          <t>W28</t>
        </is>
      </c>
      <c r="C185" t="n">
        <v>28</v>
      </c>
      <c r="G185" t="n">
        <v>1010</v>
      </c>
      <c r="H185" t="n">
        <v>806</v>
      </c>
      <c r="I185" t="n">
        <v>1110</v>
      </c>
      <c r="J185" t="n">
        <v>0.7</v>
      </c>
      <c r="M185" t="n">
        <v>857</v>
      </c>
    </row>
    <row r="186">
      <c r="A186" t="inlineStr">
        <is>
          <t>FR</t>
        </is>
      </c>
      <c r="B186" t="inlineStr">
        <is>
          <t>W29</t>
        </is>
      </c>
      <c r="C186" t="n">
        <v>29</v>
      </c>
      <c r="G186" t="n">
        <v>939</v>
      </c>
      <c r="H186" t="n">
        <v>749</v>
      </c>
      <c r="I186" t="n">
        <v>1032</v>
      </c>
      <c r="J186" t="n">
        <v>0.7</v>
      </c>
      <c r="M186" t="n">
        <v>857</v>
      </c>
    </row>
    <row r="187">
      <c r="A187" t="inlineStr">
        <is>
          <t>FR</t>
        </is>
      </c>
      <c r="B187" t="inlineStr">
        <is>
          <t>W30</t>
        </is>
      </c>
      <c r="C187" t="n">
        <v>30</v>
      </c>
      <c r="G187" t="n">
        <v>957</v>
      </c>
      <c r="H187" t="n">
        <v>764</v>
      </c>
      <c r="I187" t="n">
        <v>1052</v>
      </c>
      <c r="J187" t="n">
        <v>0.7</v>
      </c>
      <c r="M187" t="n">
        <v>857</v>
      </c>
    </row>
    <row r="188">
      <c r="A188" t="inlineStr">
        <is>
          <t>FR</t>
        </is>
      </c>
      <c r="B188" t="inlineStr">
        <is>
          <t>W31</t>
        </is>
      </c>
      <c r="C188" t="n">
        <v>31</v>
      </c>
      <c r="G188" t="n">
        <v>861</v>
      </c>
      <c r="H188" t="n">
        <v>687</v>
      </c>
      <c r="I188" t="n">
        <v>946</v>
      </c>
      <c r="J188" t="n">
        <v>0.7</v>
      </c>
      <c r="M188" t="n">
        <v>857</v>
      </c>
    </row>
    <row r="189">
      <c r="A189" t="inlineStr">
        <is>
          <t>FR</t>
        </is>
      </c>
      <c r="B189" t="inlineStr">
        <is>
          <t>W32</t>
        </is>
      </c>
      <c r="C189" t="n">
        <v>32</v>
      </c>
      <c r="G189" t="n">
        <v>927</v>
      </c>
      <c r="H189" t="n">
        <v>740</v>
      </c>
      <c r="I189" t="n">
        <v>1019</v>
      </c>
      <c r="J189" t="n">
        <v>0.7</v>
      </c>
      <c r="M189" t="n">
        <v>917</v>
      </c>
    </row>
    <row r="190">
      <c r="A190" t="inlineStr">
        <is>
          <t>FR</t>
        </is>
      </c>
      <c r="B190" t="inlineStr">
        <is>
          <t>W33</t>
        </is>
      </c>
      <c r="C190" t="n">
        <v>33</v>
      </c>
      <c r="G190" t="n">
        <v>1059</v>
      </c>
      <c r="H190" t="n">
        <v>845</v>
      </c>
      <c r="I190" t="n">
        <v>1163</v>
      </c>
      <c r="J190" t="n">
        <v>0.7</v>
      </c>
      <c r="M190" t="n">
        <v>917</v>
      </c>
    </row>
    <row r="191">
      <c r="A191" t="inlineStr">
        <is>
          <t>FR</t>
        </is>
      </c>
      <c r="B191" t="inlineStr">
        <is>
          <t>W34</t>
        </is>
      </c>
      <c r="C191" t="n">
        <v>34</v>
      </c>
      <c r="G191" t="n">
        <v>1155</v>
      </c>
      <c r="H191" t="n">
        <v>922</v>
      </c>
      <c r="I191" t="n">
        <v>1270</v>
      </c>
      <c r="J191" t="n">
        <v>0.7</v>
      </c>
      <c r="M191" t="n">
        <v>917</v>
      </c>
    </row>
    <row r="192">
      <c r="A192" t="inlineStr">
        <is>
          <t>FR</t>
        </is>
      </c>
      <c r="B192" t="inlineStr">
        <is>
          <t>W35</t>
        </is>
      </c>
      <c r="C192" t="n">
        <v>35</v>
      </c>
      <c r="G192" t="n">
        <v>1251</v>
      </c>
      <c r="H192" t="n">
        <v>997</v>
      </c>
      <c r="I192" t="n">
        <v>1373</v>
      </c>
      <c r="J192" t="n">
        <v>0.7</v>
      </c>
      <c r="M192" t="n">
        <v>917</v>
      </c>
    </row>
    <row r="193">
      <c r="A193" t="inlineStr">
        <is>
          <t>FR</t>
        </is>
      </c>
      <c r="B193" t="inlineStr">
        <is>
          <t>W36</t>
        </is>
      </c>
      <c r="C193" t="n">
        <v>36</v>
      </c>
      <c r="G193" t="n">
        <v>1339</v>
      </c>
      <c r="H193" t="n">
        <v>1068</v>
      </c>
      <c r="I193" t="n">
        <v>1471</v>
      </c>
      <c r="J193" t="n">
        <v>0.7</v>
      </c>
      <c r="M193" t="n">
        <v>1303</v>
      </c>
    </row>
    <row r="194">
      <c r="A194" t="inlineStr">
        <is>
          <t>FR</t>
        </is>
      </c>
      <c r="B194" t="inlineStr">
        <is>
          <t>W37</t>
        </is>
      </c>
      <c r="C194" t="n">
        <v>37</v>
      </c>
      <c r="G194" t="n">
        <v>1386</v>
      </c>
      <c r="H194" t="n">
        <v>1105</v>
      </c>
      <c r="I194" t="n">
        <v>1522</v>
      </c>
      <c r="J194" t="n">
        <v>0.7</v>
      </c>
      <c r="M194" t="n">
        <v>1303</v>
      </c>
    </row>
    <row r="195">
      <c r="A195" t="inlineStr">
        <is>
          <t>FR</t>
        </is>
      </c>
      <c r="B195" t="inlineStr">
        <is>
          <t>W38</t>
        </is>
      </c>
      <c r="C195" t="n">
        <v>38</v>
      </c>
      <c r="G195" t="n">
        <v>1383</v>
      </c>
      <c r="H195" t="n">
        <v>1103</v>
      </c>
      <c r="I195" t="n">
        <v>1519</v>
      </c>
      <c r="J195" t="n">
        <v>0.7</v>
      </c>
      <c r="M195" t="n">
        <v>1303</v>
      </c>
    </row>
    <row r="196">
      <c r="A196" t="inlineStr">
        <is>
          <t>FR</t>
        </is>
      </c>
      <c r="B196" t="inlineStr">
        <is>
          <t>W39</t>
        </is>
      </c>
      <c r="C196" t="n">
        <v>39</v>
      </c>
      <c r="G196" t="n">
        <v>1400</v>
      </c>
      <c r="H196" t="n">
        <v>1117</v>
      </c>
      <c r="I196" t="n">
        <v>1538</v>
      </c>
      <c r="J196" t="n">
        <v>0.7</v>
      </c>
      <c r="M196" t="n">
        <v>1303</v>
      </c>
    </row>
    <row r="197">
      <c r="A197" t="inlineStr">
        <is>
          <t>FR</t>
        </is>
      </c>
      <c r="B197" t="inlineStr">
        <is>
          <t>W40</t>
        </is>
      </c>
      <c r="C197" t="n">
        <v>40</v>
      </c>
      <c r="G197" t="n">
        <v>1347</v>
      </c>
      <c r="H197" t="n">
        <v>1074</v>
      </c>
      <c r="I197" t="n">
        <v>1479</v>
      </c>
      <c r="J197" t="n">
        <v>0.7</v>
      </c>
      <c r="M197" t="n">
        <v>1045</v>
      </c>
    </row>
    <row r="198">
      <c r="A198" t="inlineStr">
        <is>
          <t>FR</t>
        </is>
      </c>
      <c r="B198" t="inlineStr">
        <is>
          <t>W41</t>
        </is>
      </c>
      <c r="C198" t="n">
        <v>41</v>
      </c>
      <c r="G198" t="n">
        <v>1328</v>
      </c>
      <c r="H198" t="n">
        <v>1059</v>
      </c>
      <c r="I198" t="n">
        <v>1458</v>
      </c>
      <c r="J198" t="n">
        <v>0.7</v>
      </c>
      <c r="M198" t="n">
        <v>1045</v>
      </c>
    </row>
    <row r="199">
      <c r="A199" t="inlineStr">
        <is>
          <t>FR</t>
        </is>
      </c>
      <c r="B199" t="inlineStr">
        <is>
          <t>W42</t>
        </is>
      </c>
      <c r="C199" t="n">
        <v>42</v>
      </c>
      <c r="G199" t="n">
        <v>1218</v>
      </c>
      <c r="H199" t="n">
        <v>971</v>
      </c>
      <c r="I199" t="n">
        <v>1338</v>
      </c>
      <c r="J199" t="n">
        <v>0.7</v>
      </c>
      <c r="M199" t="n">
        <v>1045</v>
      </c>
    </row>
    <row r="200">
      <c r="A200" t="inlineStr">
        <is>
          <t>FR</t>
        </is>
      </c>
      <c r="B200" t="inlineStr">
        <is>
          <t>W43</t>
        </is>
      </c>
      <c r="C200" t="n">
        <v>43</v>
      </c>
      <c r="G200" t="n">
        <v>1310</v>
      </c>
      <c r="H200" t="n">
        <v>1045</v>
      </c>
      <c r="I200" t="n">
        <v>1439</v>
      </c>
      <c r="J200" t="n">
        <v>0.7</v>
      </c>
      <c r="M200" t="n">
        <v>1045</v>
      </c>
    </row>
    <row r="201">
      <c r="A201" t="inlineStr">
        <is>
          <t>FR</t>
        </is>
      </c>
      <c r="B201" t="inlineStr">
        <is>
          <t>W44</t>
        </is>
      </c>
      <c r="C201" t="n">
        <v>44</v>
      </c>
      <c r="G201" t="n">
        <v>1252</v>
      </c>
      <c r="H201" t="n">
        <v>998</v>
      </c>
      <c r="I201" t="n">
        <v>1375</v>
      </c>
      <c r="J201" t="n">
        <v>0.7</v>
      </c>
      <c r="M201" t="n">
        <v>1045</v>
      </c>
    </row>
    <row r="202">
      <c r="A202" t="inlineStr">
        <is>
          <t>FR</t>
        </is>
      </c>
      <c r="B202" t="inlineStr">
        <is>
          <t>W45</t>
        </is>
      </c>
      <c r="C202" t="n">
        <v>45</v>
      </c>
      <c r="G202" t="n">
        <v>1381</v>
      </c>
      <c r="H202" t="n">
        <v>1102</v>
      </c>
      <c r="I202" t="n">
        <v>1518</v>
      </c>
      <c r="J202" t="n">
        <v>0.7</v>
      </c>
      <c r="M202" t="n">
        <v>1336</v>
      </c>
    </row>
    <row r="203">
      <c r="A203" t="inlineStr">
        <is>
          <t>FR</t>
        </is>
      </c>
      <c r="B203" t="inlineStr">
        <is>
          <t>W46</t>
        </is>
      </c>
      <c r="C203" t="n">
        <v>46</v>
      </c>
      <c r="G203" t="n">
        <v>1396</v>
      </c>
      <c r="H203" t="n">
        <v>1113</v>
      </c>
      <c r="I203" t="n">
        <v>1533</v>
      </c>
      <c r="J203" t="n">
        <v>0.7</v>
      </c>
      <c r="M203" t="n">
        <v>1336</v>
      </c>
    </row>
    <row r="204">
      <c r="A204" t="inlineStr">
        <is>
          <t>FR</t>
        </is>
      </c>
      <c r="B204" t="inlineStr">
        <is>
          <t>W47</t>
        </is>
      </c>
      <c r="C204" t="n">
        <v>47</v>
      </c>
      <c r="G204" t="n">
        <v>1251</v>
      </c>
      <c r="H204" t="n">
        <v>998</v>
      </c>
      <c r="I204" t="n">
        <v>1374</v>
      </c>
      <c r="J204" t="n">
        <v>0.7</v>
      </c>
      <c r="M204" t="n">
        <v>1336</v>
      </c>
    </row>
    <row r="205">
      <c r="A205" t="inlineStr">
        <is>
          <t>FR</t>
        </is>
      </c>
      <c r="B205" t="inlineStr">
        <is>
          <t>W48</t>
        </is>
      </c>
      <c r="C205" t="n">
        <v>48</v>
      </c>
      <c r="G205" t="n">
        <v>1150</v>
      </c>
      <c r="H205" t="n">
        <v>917</v>
      </c>
      <c r="I205" t="n">
        <v>1263</v>
      </c>
      <c r="J205" t="n">
        <v>0.7</v>
      </c>
      <c r="M205" t="n">
        <v>1336</v>
      </c>
    </row>
    <row r="206">
      <c r="A206" t="inlineStr">
        <is>
          <t>FR</t>
        </is>
      </c>
      <c r="B206" t="inlineStr">
        <is>
          <t>W49</t>
        </is>
      </c>
      <c r="C206" t="n">
        <v>49</v>
      </c>
      <c r="G206" t="n">
        <v>972</v>
      </c>
      <c r="H206" t="n">
        <v>775</v>
      </c>
      <c r="I206" t="n">
        <v>1067</v>
      </c>
      <c r="J206" t="n">
        <v>0.7</v>
      </c>
      <c r="M206" t="n">
        <v>910</v>
      </c>
    </row>
    <row r="207">
      <c r="A207" t="inlineStr">
        <is>
          <t>FR</t>
        </is>
      </c>
      <c r="B207" t="inlineStr">
        <is>
          <t>W50</t>
        </is>
      </c>
      <c r="C207" t="n">
        <v>50</v>
      </c>
      <c r="G207" t="n">
        <v>759</v>
      </c>
      <c r="H207" t="n">
        <v>605</v>
      </c>
      <c r="I207" t="n">
        <v>834</v>
      </c>
      <c r="J207" t="n">
        <v>0.7</v>
      </c>
      <c r="M207" t="n">
        <v>910</v>
      </c>
    </row>
    <row r="208">
      <c r="A208" t="inlineStr">
        <is>
          <t>FR</t>
        </is>
      </c>
      <c r="B208" t="inlineStr">
        <is>
          <t>W51</t>
        </is>
      </c>
      <c r="C208" t="n">
        <v>51</v>
      </c>
      <c r="G208" t="n">
        <v>843</v>
      </c>
      <c r="H208" t="n">
        <v>672</v>
      </c>
      <c r="I208" t="n">
        <v>926</v>
      </c>
      <c r="J208" t="n">
        <v>0.7</v>
      </c>
      <c r="M208" t="n">
        <v>910</v>
      </c>
    </row>
    <row r="209">
      <c r="A209" t="inlineStr">
        <is>
          <t>FR</t>
        </is>
      </c>
      <c r="B209" t="inlineStr">
        <is>
          <t>W52</t>
        </is>
      </c>
      <c r="C209" t="n">
        <v>52</v>
      </c>
      <c r="G209" t="n">
        <v>1086</v>
      </c>
      <c r="H209" t="n">
        <v>866</v>
      </c>
      <c r="I209" t="n">
        <v>1193</v>
      </c>
      <c r="J209" t="n">
        <v>0.7</v>
      </c>
      <c r="M209" t="n">
        <v>910</v>
      </c>
    </row>
    <row r="210">
      <c r="A210" t="inlineStr">
        <is>
          <t>IT</t>
        </is>
      </c>
      <c r="B210" t="inlineStr">
        <is>
          <t>W1</t>
        </is>
      </c>
      <c r="C210" t="n">
        <v>1</v>
      </c>
      <c r="D210" t="n">
        <v>722</v>
      </c>
      <c r="E210" t="n">
        <v>40763</v>
      </c>
      <c r="F210" t="n">
        <v>56.46</v>
      </c>
      <c r="G210" t="n">
        <v>1039</v>
      </c>
      <c r="H210" t="n">
        <v>721</v>
      </c>
      <c r="I210" t="n">
        <v>1130</v>
      </c>
      <c r="J210" t="n">
        <v>0.7</v>
      </c>
      <c r="K210" t="n">
        <v>505</v>
      </c>
      <c r="L210" t="n">
        <v>217</v>
      </c>
      <c r="M210" t="n">
        <v>1406</v>
      </c>
    </row>
    <row r="211">
      <c r="A211" t="inlineStr">
        <is>
          <t>IT</t>
        </is>
      </c>
      <c r="B211" t="inlineStr">
        <is>
          <t>W2</t>
        </is>
      </c>
      <c r="C211" t="n">
        <v>2</v>
      </c>
      <c r="D211" t="n">
        <v>1301</v>
      </c>
      <c r="E211" t="n">
        <v>76620</v>
      </c>
      <c r="F211" t="n">
        <v>58.89</v>
      </c>
      <c r="G211" t="n">
        <v>1361</v>
      </c>
      <c r="H211" t="n">
        <v>994</v>
      </c>
      <c r="I211" t="n">
        <v>1555</v>
      </c>
      <c r="J211" t="n">
        <v>0.7</v>
      </c>
      <c r="K211" t="n">
        <v>978</v>
      </c>
      <c r="L211" t="n">
        <v>323</v>
      </c>
      <c r="M211" t="n">
        <v>1406</v>
      </c>
    </row>
    <row r="212">
      <c r="A212" t="inlineStr">
        <is>
          <t>IT</t>
        </is>
      </c>
      <c r="B212" t="inlineStr">
        <is>
          <t>W3</t>
        </is>
      </c>
      <c r="C212" t="n">
        <v>3</v>
      </c>
      <c r="D212" t="n">
        <v>1372</v>
      </c>
      <c r="E212" t="n">
        <v>120319</v>
      </c>
      <c r="F212" t="n">
        <v>87.7</v>
      </c>
      <c r="G212" t="n">
        <v>1334</v>
      </c>
      <c r="H212" t="n">
        <v>1092</v>
      </c>
      <c r="I212" t="n">
        <v>1713</v>
      </c>
      <c r="J212" t="n">
        <v>0.7</v>
      </c>
      <c r="K212" t="n">
        <v>1024</v>
      </c>
      <c r="L212" t="n">
        <v>348</v>
      </c>
      <c r="M212" t="n">
        <v>1406</v>
      </c>
    </row>
    <row r="213">
      <c r="A213" t="inlineStr">
        <is>
          <t>IT</t>
        </is>
      </c>
      <c r="B213" t="inlineStr">
        <is>
          <t>W4</t>
        </is>
      </c>
      <c r="C213" t="n">
        <v>4</v>
      </c>
      <c r="D213" t="n">
        <v>1319</v>
      </c>
      <c r="E213" t="n">
        <v>115803</v>
      </c>
      <c r="F213" t="n">
        <v>87.8</v>
      </c>
      <c r="G213" t="n">
        <v>1241</v>
      </c>
      <c r="H213" t="n">
        <v>1119</v>
      </c>
      <c r="I213" t="n">
        <v>1761</v>
      </c>
      <c r="J213" t="n">
        <v>0.7</v>
      </c>
      <c r="K213" t="n">
        <v>975</v>
      </c>
      <c r="L213" t="n">
        <v>344</v>
      </c>
      <c r="M213" t="n">
        <v>1406</v>
      </c>
    </row>
    <row r="214">
      <c r="A214" t="inlineStr">
        <is>
          <t>IT</t>
        </is>
      </c>
      <c r="B214" t="inlineStr">
        <is>
          <t>W5</t>
        </is>
      </c>
      <c r="C214" t="n">
        <v>5</v>
      </c>
      <c r="D214" t="n">
        <v>1365</v>
      </c>
      <c r="E214" t="n">
        <v>83525</v>
      </c>
      <c r="F214" t="n">
        <v>61.19</v>
      </c>
      <c r="G214" t="n">
        <v>1404</v>
      </c>
      <c r="H214" t="n">
        <v>1201</v>
      </c>
      <c r="I214" t="n">
        <v>1880</v>
      </c>
      <c r="J214" t="n">
        <v>0.7</v>
      </c>
      <c r="K214" t="n">
        <v>1053</v>
      </c>
      <c r="L214" t="n">
        <v>312</v>
      </c>
      <c r="M214" t="n">
        <v>1339</v>
      </c>
    </row>
    <row r="215">
      <c r="A215" t="inlineStr">
        <is>
          <t>IT</t>
        </is>
      </c>
      <c r="B215" t="inlineStr">
        <is>
          <t>W6</t>
        </is>
      </c>
      <c r="C215" t="n">
        <v>6</v>
      </c>
      <c r="D215" t="n">
        <v>1340</v>
      </c>
      <c r="E215" t="n">
        <v>77304</v>
      </c>
      <c r="F215" t="n">
        <v>57.69</v>
      </c>
      <c r="G215" t="n">
        <v>1526</v>
      </c>
      <c r="H215" t="n">
        <v>1207</v>
      </c>
      <c r="I215" t="n">
        <v>1868</v>
      </c>
      <c r="J215" t="n">
        <v>0.7</v>
      </c>
      <c r="K215" t="n">
        <v>1047</v>
      </c>
      <c r="L215" t="n">
        <v>293</v>
      </c>
      <c r="M215" t="n">
        <v>1339</v>
      </c>
    </row>
    <row r="216">
      <c r="A216" t="inlineStr">
        <is>
          <t>IT</t>
        </is>
      </c>
      <c r="B216" t="inlineStr">
        <is>
          <t>W7</t>
        </is>
      </c>
      <c r="C216" t="n">
        <v>7</v>
      </c>
      <c r="D216" t="n">
        <v>1271</v>
      </c>
      <c r="E216" t="n">
        <v>95006</v>
      </c>
      <c r="F216" t="n">
        <v>74.75</v>
      </c>
      <c r="G216" t="n">
        <v>1433</v>
      </c>
      <c r="H216" t="n">
        <v>1124</v>
      </c>
      <c r="I216" t="n">
        <v>1738</v>
      </c>
      <c r="J216" t="n">
        <v>0.7</v>
      </c>
      <c r="K216" t="n">
        <v>903</v>
      </c>
      <c r="L216" t="n">
        <v>368</v>
      </c>
      <c r="M216" t="n">
        <v>1339</v>
      </c>
    </row>
    <row r="217">
      <c r="A217" t="inlineStr">
        <is>
          <t>IT</t>
        </is>
      </c>
      <c r="B217" t="inlineStr">
        <is>
          <t>W8</t>
        </is>
      </c>
      <c r="C217" t="n">
        <v>8</v>
      </c>
      <c r="D217" t="n">
        <v>1303</v>
      </c>
      <c r="E217" t="n">
        <v>102678</v>
      </c>
      <c r="F217" t="n">
        <v>78.8</v>
      </c>
      <c r="G217" t="n">
        <v>1460</v>
      </c>
      <c r="H217" t="n">
        <v>1138</v>
      </c>
      <c r="I217" t="n">
        <v>1761</v>
      </c>
      <c r="J217" t="n">
        <v>0.7</v>
      </c>
      <c r="K217" t="n">
        <v>951</v>
      </c>
      <c r="L217" t="n">
        <v>352</v>
      </c>
      <c r="M217" t="n">
        <v>1339</v>
      </c>
    </row>
    <row r="218">
      <c r="A218" t="inlineStr">
        <is>
          <t>IT</t>
        </is>
      </c>
      <c r="B218" t="inlineStr">
        <is>
          <t>W9</t>
        </is>
      </c>
      <c r="C218" t="n">
        <v>9</v>
      </c>
      <c r="D218" t="n">
        <v>1327</v>
      </c>
      <c r="E218" t="n">
        <v>98316</v>
      </c>
      <c r="F218" t="n">
        <v>74.09</v>
      </c>
      <c r="G218" t="n">
        <v>1506</v>
      </c>
      <c r="H218" t="n">
        <v>1169</v>
      </c>
      <c r="I218" t="n">
        <v>1809</v>
      </c>
      <c r="J218" t="n">
        <v>0.7</v>
      </c>
      <c r="K218" t="n">
        <v>951</v>
      </c>
      <c r="L218" t="n">
        <v>376</v>
      </c>
      <c r="M218" t="n">
        <v>1113</v>
      </c>
    </row>
    <row r="219">
      <c r="A219" t="inlineStr">
        <is>
          <t>IT</t>
        </is>
      </c>
      <c r="B219" t="inlineStr">
        <is>
          <t>W10</t>
        </is>
      </c>
      <c r="C219" t="n">
        <v>10</v>
      </c>
      <c r="D219" t="n">
        <v>1150</v>
      </c>
      <c r="E219" t="n">
        <v>98845</v>
      </c>
      <c r="F219" t="n">
        <v>85.95</v>
      </c>
      <c r="G219" t="n">
        <v>1401</v>
      </c>
      <c r="H219" t="n">
        <v>1102</v>
      </c>
      <c r="I219" t="n">
        <v>1703</v>
      </c>
      <c r="J219" t="n">
        <v>0.7</v>
      </c>
      <c r="K219" t="n">
        <v>802</v>
      </c>
      <c r="L219" t="n">
        <v>348</v>
      </c>
      <c r="M219" t="n">
        <v>1113</v>
      </c>
    </row>
    <row r="220">
      <c r="A220" t="inlineStr">
        <is>
          <t>IT</t>
        </is>
      </c>
      <c r="B220" t="inlineStr">
        <is>
          <t>W11</t>
        </is>
      </c>
      <c r="C220" t="n">
        <v>11</v>
      </c>
      <c r="D220" t="n">
        <v>1439</v>
      </c>
      <c r="E220" t="n">
        <v>93470</v>
      </c>
      <c r="F220" t="n">
        <v>64.95</v>
      </c>
      <c r="G220" t="n">
        <v>1499</v>
      </c>
      <c r="H220" t="n">
        <v>1158</v>
      </c>
      <c r="I220" t="n">
        <v>1793</v>
      </c>
      <c r="J220" t="n">
        <v>0.7</v>
      </c>
      <c r="K220" t="n">
        <v>1024</v>
      </c>
      <c r="L220" t="n">
        <v>415</v>
      </c>
      <c r="M220" t="n">
        <v>1113</v>
      </c>
    </row>
    <row r="221">
      <c r="A221" t="inlineStr">
        <is>
          <t>IT</t>
        </is>
      </c>
      <c r="B221" t="inlineStr">
        <is>
          <t>W12</t>
        </is>
      </c>
      <c r="C221" t="n">
        <v>12</v>
      </c>
      <c r="D221" t="n">
        <v>1244</v>
      </c>
      <c r="E221" t="n">
        <v>77673</v>
      </c>
      <c r="F221" t="n">
        <v>62.44</v>
      </c>
      <c r="G221" t="n">
        <v>1358</v>
      </c>
      <c r="H221" t="n">
        <v>1077</v>
      </c>
      <c r="I221" t="n">
        <v>1669</v>
      </c>
      <c r="J221" t="n">
        <v>0.7</v>
      </c>
      <c r="K221" t="n">
        <v>899</v>
      </c>
      <c r="L221" t="n">
        <v>345</v>
      </c>
      <c r="M221" t="n">
        <v>1113</v>
      </c>
    </row>
    <row r="222">
      <c r="A222" t="inlineStr">
        <is>
          <t>IT</t>
        </is>
      </c>
      <c r="B222" t="inlineStr">
        <is>
          <t>W13</t>
        </is>
      </c>
      <c r="C222" t="n">
        <v>13</v>
      </c>
      <c r="D222" t="n">
        <v>1339</v>
      </c>
      <c r="E222" t="n">
        <v>97115</v>
      </c>
      <c r="F222" t="n">
        <v>72.53</v>
      </c>
      <c r="G222" t="n">
        <v>1417</v>
      </c>
      <c r="H222" t="n">
        <v>1115</v>
      </c>
      <c r="I222" t="n">
        <v>1727</v>
      </c>
      <c r="J222" t="n">
        <v>0.7</v>
      </c>
      <c r="K222" t="n">
        <v>920</v>
      </c>
      <c r="L222" t="n">
        <v>419</v>
      </c>
      <c r="M222" t="n">
        <v>1113</v>
      </c>
    </row>
    <row r="223">
      <c r="A223" t="inlineStr">
        <is>
          <t>IT</t>
        </is>
      </c>
      <c r="B223" t="inlineStr">
        <is>
          <t>W14</t>
        </is>
      </c>
      <c r="C223" t="n">
        <v>14</v>
      </c>
      <c r="D223" t="n">
        <v>1320</v>
      </c>
      <c r="E223" t="n">
        <v>95028</v>
      </c>
      <c r="F223" t="n">
        <v>71.98999999999999</v>
      </c>
      <c r="G223" t="n">
        <v>1276</v>
      </c>
      <c r="H223" t="n">
        <v>1021</v>
      </c>
      <c r="I223" t="n">
        <v>1582</v>
      </c>
      <c r="J223" t="n">
        <v>0.7</v>
      </c>
      <c r="K223" t="n">
        <v>868</v>
      </c>
      <c r="L223" t="n">
        <v>452</v>
      </c>
      <c r="M223" t="n">
        <v>1260</v>
      </c>
    </row>
    <row r="224">
      <c r="A224" t="inlineStr">
        <is>
          <t>IT</t>
        </is>
      </c>
      <c r="B224" t="inlineStr">
        <is>
          <t>W15</t>
        </is>
      </c>
      <c r="C224" t="n">
        <v>15</v>
      </c>
      <c r="D224" t="n">
        <v>990</v>
      </c>
      <c r="E224" t="n">
        <v>99666</v>
      </c>
      <c r="F224" t="n">
        <v>100.67</v>
      </c>
      <c r="G224" t="n">
        <v>1388</v>
      </c>
      <c r="H224" t="n">
        <v>1007</v>
      </c>
      <c r="I224" t="n">
        <v>1712</v>
      </c>
      <c r="J224" t="n">
        <v>0.7</v>
      </c>
      <c r="K224" t="n">
        <v>675</v>
      </c>
      <c r="L224" t="n">
        <v>315</v>
      </c>
      <c r="M224" t="n">
        <v>1260</v>
      </c>
    </row>
    <row r="225">
      <c r="A225" t="inlineStr">
        <is>
          <t>IT</t>
        </is>
      </c>
      <c r="B225" t="inlineStr">
        <is>
          <t>W16</t>
        </is>
      </c>
      <c r="C225" t="n">
        <v>16</v>
      </c>
      <c r="G225" t="n">
        <v>1180</v>
      </c>
      <c r="H225" t="n">
        <v>1019</v>
      </c>
      <c r="I225" t="n">
        <v>1340</v>
      </c>
      <c r="J225" t="n">
        <v>0.7</v>
      </c>
      <c r="M225" t="n">
        <v>1260</v>
      </c>
    </row>
    <row r="226">
      <c r="A226" t="inlineStr">
        <is>
          <t>IT</t>
        </is>
      </c>
      <c r="B226" t="inlineStr">
        <is>
          <t>W17</t>
        </is>
      </c>
      <c r="C226" t="n">
        <v>17</v>
      </c>
      <c r="G226" t="n">
        <v>1295</v>
      </c>
      <c r="H226" t="n">
        <v>1024</v>
      </c>
      <c r="I226" t="n">
        <v>1453</v>
      </c>
      <c r="J226" t="n">
        <v>0.7</v>
      </c>
      <c r="M226" t="n">
        <v>1260</v>
      </c>
    </row>
    <row r="227">
      <c r="A227" t="inlineStr">
        <is>
          <t>IT</t>
        </is>
      </c>
      <c r="B227" t="inlineStr">
        <is>
          <t>W18</t>
        </is>
      </c>
      <c r="C227" t="n">
        <v>18</v>
      </c>
      <c r="G227" t="n">
        <v>1307</v>
      </c>
      <c r="H227" t="n">
        <v>1033</v>
      </c>
      <c r="I227" t="n">
        <v>1466</v>
      </c>
      <c r="J227" t="n">
        <v>0.7</v>
      </c>
      <c r="M227" t="n">
        <v>1071</v>
      </c>
    </row>
    <row r="228">
      <c r="A228" t="inlineStr">
        <is>
          <t>IT</t>
        </is>
      </c>
      <c r="B228" t="inlineStr">
        <is>
          <t>W19</t>
        </is>
      </c>
      <c r="C228" t="n">
        <v>19</v>
      </c>
      <c r="G228" t="n">
        <v>1352</v>
      </c>
      <c r="H228" t="n">
        <v>1069</v>
      </c>
      <c r="I228" t="n">
        <v>1516</v>
      </c>
      <c r="J228" t="n">
        <v>0.7</v>
      </c>
      <c r="M228" t="n">
        <v>1071</v>
      </c>
    </row>
    <row r="229">
      <c r="A229" t="inlineStr">
        <is>
          <t>IT</t>
        </is>
      </c>
      <c r="B229" t="inlineStr">
        <is>
          <t>W20</t>
        </is>
      </c>
      <c r="C229" t="n">
        <v>20</v>
      </c>
      <c r="G229" t="n">
        <v>1224</v>
      </c>
      <c r="H229" t="n">
        <v>967</v>
      </c>
      <c r="I229" t="n">
        <v>1372</v>
      </c>
      <c r="J229" t="n">
        <v>0.7</v>
      </c>
      <c r="M229" t="n">
        <v>1071</v>
      </c>
    </row>
    <row r="230">
      <c r="A230" t="inlineStr">
        <is>
          <t>IT</t>
        </is>
      </c>
      <c r="B230" t="inlineStr">
        <is>
          <t>W21</t>
        </is>
      </c>
      <c r="C230" t="n">
        <v>21</v>
      </c>
      <c r="G230" t="n">
        <v>1223</v>
      </c>
      <c r="H230" t="n">
        <v>967</v>
      </c>
      <c r="I230" t="n">
        <v>1371</v>
      </c>
      <c r="J230" t="n">
        <v>0.7</v>
      </c>
      <c r="M230" t="n">
        <v>1071</v>
      </c>
    </row>
    <row r="231">
      <c r="A231" t="inlineStr">
        <is>
          <t>IT</t>
        </is>
      </c>
      <c r="B231" t="inlineStr">
        <is>
          <t>W22</t>
        </is>
      </c>
      <c r="C231" t="n">
        <v>22</v>
      </c>
      <c r="G231" t="n">
        <v>1209</v>
      </c>
      <c r="H231" t="n">
        <v>955</v>
      </c>
      <c r="I231" t="n">
        <v>1355</v>
      </c>
      <c r="J231" t="n">
        <v>0.7</v>
      </c>
      <c r="M231" t="n">
        <v>1071</v>
      </c>
    </row>
    <row r="232">
      <c r="A232" t="inlineStr">
        <is>
          <t>IT</t>
        </is>
      </c>
      <c r="B232" t="inlineStr">
        <is>
          <t>W23</t>
        </is>
      </c>
      <c r="C232" t="n">
        <v>23</v>
      </c>
      <c r="G232" t="n">
        <v>1176</v>
      </c>
      <c r="H232" t="n">
        <v>930</v>
      </c>
      <c r="I232" t="n">
        <v>1319</v>
      </c>
      <c r="J232" t="n">
        <v>0.7</v>
      </c>
      <c r="M232" t="n">
        <v>1236</v>
      </c>
    </row>
    <row r="233">
      <c r="A233" t="inlineStr">
        <is>
          <t>IT</t>
        </is>
      </c>
      <c r="B233" t="inlineStr">
        <is>
          <t>W24</t>
        </is>
      </c>
      <c r="C233" t="n">
        <v>24</v>
      </c>
      <c r="G233" t="n">
        <v>1174</v>
      </c>
      <c r="H233" t="n">
        <v>928</v>
      </c>
      <c r="I233" t="n">
        <v>1317</v>
      </c>
      <c r="J233" t="n">
        <v>0.7</v>
      </c>
      <c r="M233" t="n">
        <v>1236</v>
      </c>
    </row>
    <row r="234">
      <c r="A234" t="inlineStr">
        <is>
          <t>IT</t>
        </is>
      </c>
      <c r="B234" t="inlineStr">
        <is>
          <t>W25</t>
        </is>
      </c>
      <c r="C234" t="n">
        <v>25</v>
      </c>
      <c r="G234" t="n">
        <v>1185</v>
      </c>
      <c r="H234" t="n">
        <v>937</v>
      </c>
      <c r="I234" t="n">
        <v>1329</v>
      </c>
      <c r="J234" t="n">
        <v>0.7</v>
      </c>
      <c r="M234" t="n">
        <v>1236</v>
      </c>
    </row>
    <row r="235">
      <c r="A235" t="inlineStr">
        <is>
          <t>IT</t>
        </is>
      </c>
      <c r="B235" t="inlineStr">
        <is>
          <t>W26</t>
        </is>
      </c>
      <c r="C235" t="n">
        <v>26</v>
      </c>
      <c r="G235" t="n">
        <v>1238</v>
      </c>
      <c r="H235" t="n">
        <v>979</v>
      </c>
      <c r="I235" t="n">
        <v>1388</v>
      </c>
      <c r="J235" t="n">
        <v>0.7</v>
      </c>
      <c r="M235" t="n">
        <v>1236</v>
      </c>
    </row>
    <row r="236">
      <c r="A236" t="inlineStr">
        <is>
          <t>IT</t>
        </is>
      </c>
      <c r="B236" t="inlineStr">
        <is>
          <t>W27</t>
        </is>
      </c>
      <c r="C236" t="n">
        <v>27</v>
      </c>
      <c r="G236" t="n">
        <v>1183</v>
      </c>
      <c r="H236" t="n">
        <v>936</v>
      </c>
      <c r="I236" t="n">
        <v>1328</v>
      </c>
      <c r="J236" t="n">
        <v>0.7</v>
      </c>
      <c r="M236" t="n">
        <v>1057</v>
      </c>
    </row>
    <row r="237">
      <c r="A237" t="inlineStr">
        <is>
          <t>IT</t>
        </is>
      </c>
      <c r="B237" t="inlineStr">
        <is>
          <t>W28</t>
        </is>
      </c>
      <c r="C237" t="n">
        <v>28</v>
      </c>
      <c r="G237" t="n">
        <v>1134</v>
      </c>
      <c r="H237" t="n">
        <v>896</v>
      </c>
      <c r="I237" t="n">
        <v>1271</v>
      </c>
      <c r="J237" t="n">
        <v>0.7</v>
      </c>
      <c r="M237" t="n">
        <v>1057</v>
      </c>
    </row>
    <row r="238">
      <c r="A238" t="inlineStr">
        <is>
          <t>IT</t>
        </is>
      </c>
      <c r="B238" t="inlineStr">
        <is>
          <t>W29</t>
        </is>
      </c>
      <c r="C238" t="n">
        <v>29</v>
      </c>
      <c r="G238" t="n">
        <v>1058</v>
      </c>
      <c r="H238" t="n">
        <v>837</v>
      </c>
      <c r="I238" t="n">
        <v>1187</v>
      </c>
      <c r="J238" t="n">
        <v>0.7</v>
      </c>
      <c r="M238" t="n">
        <v>1057</v>
      </c>
    </row>
    <row r="239">
      <c r="A239" t="inlineStr">
        <is>
          <t>IT</t>
        </is>
      </c>
      <c r="B239" t="inlineStr">
        <is>
          <t>W30</t>
        </is>
      </c>
      <c r="C239" t="n">
        <v>30</v>
      </c>
      <c r="G239" t="n">
        <v>958</v>
      </c>
      <c r="H239" t="n">
        <v>757</v>
      </c>
      <c r="I239" t="n">
        <v>1074</v>
      </c>
      <c r="J239" t="n">
        <v>0.7</v>
      </c>
      <c r="M239" t="n">
        <v>1057</v>
      </c>
    </row>
    <row r="240">
      <c r="A240" t="inlineStr">
        <is>
          <t>IT</t>
        </is>
      </c>
      <c r="B240" t="inlineStr">
        <is>
          <t>W31</t>
        </is>
      </c>
      <c r="C240" t="n">
        <v>31</v>
      </c>
      <c r="G240" t="n">
        <v>689</v>
      </c>
      <c r="H240" t="n">
        <v>545</v>
      </c>
      <c r="I240" t="n">
        <v>773</v>
      </c>
      <c r="J240" t="n">
        <v>0.7</v>
      </c>
      <c r="M240" t="n">
        <v>1057</v>
      </c>
    </row>
    <row r="241">
      <c r="A241" t="inlineStr">
        <is>
          <t>IT</t>
        </is>
      </c>
      <c r="B241" t="inlineStr">
        <is>
          <t>W32</t>
        </is>
      </c>
      <c r="C241" t="n">
        <v>32</v>
      </c>
      <c r="G241" t="n">
        <v>923</v>
      </c>
      <c r="H241" t="n">
        <v>730</v>
      </c>
      <c r="I241" t="n">
        <v>1035</v>
      </c>
      <c r="J241" t="n">
        <v>0.7</v>
      </c>
      <c r="M241" t="n">
        <v>960</v>
      </c>
    </row>
    <row r="242">
      <c r="A242" t="inlineStr">
        <is>
          <t>IT</t>
        </is>
      </c>
      <c r="B242" t="inlineStr">
        <is>
          <t>W33</t>
        </is>
      </c>
      <c r="C242" t="n">
        <v>33</v>
      </c>
      <c r="G242" t="n">
        <v>1112</v>
      </c>
      <c r="H242" t="n">
        <v>879</v>
      </c>
      <c r="I242" t="n">
        <v>1247</v>
      </c>
      <c r="J242" t="n">
        <v>0.7</v>
      </c>
      <c r="M242" t="n">
        <v>960</v>
      </c>
    </row>
    <row r="243">
      <c r="A243" t="inlineStr">
        <is>
          <t>IT</t>
        </is>
      </c>
      <c r="B243" t="inlineStr">
        <is>
          <t>W34</t>
        </is>
      </c>
      <c r="C243" t="n">
        <v>34</v>
      </c>
      <c r="G243" t="n">
        <v>1149</v>
      </c>
      <c r="H243" t="n">
        <v>908</v>
      </c>
      <c r="I243" t="n">
        <v>1289</v>
      </c>
      <c r="J243" t="n">
        <v>0.7</v>
      </c>
      <c r="M243" t="n">
        <v>960</v>
      </c>
    </row>
    <row r="244">
      <c r="A244" t="inlineStr">
        <is>
          <t>IT</t>
        </is>
      </c>
      <c r="B244" t="inlineStr">
        <is>
          <t>W35</t>
        </is>
      </c>
      <c r="C244" t="n">
        <v>35</v>
      </c>
      <c r="G244" t="n">
        <v>1188</v>
      </c>
      <c r="H244" t="n">
        <v>939</v>
      </c>
      <c r="I244" t="n">
        <v>1332</v>
      </c>
      <c r="J244" t="n">
        <v>0.7</v>
      </c>
      <c r="M244" t="n">
        <v>960</v>
      </c>
    </row>
    <row r="245">
      <c r="A245" t="inlineStr">
        <is>
          <t>IT</t>
        </is>
      </c>
      <c r="B245" t="inlineStr">
        <is>
          <t>W36</t>
        </is>
      </c>
      <c r="C245" t="n">
        <v>36</v>
      </c>
      <c r="G245" t="n">
        <v>1321</v>
      </c>
      <c r="H245" t="n">
        <v>1043</v>
      </c>
      <c r="I245" t="n">
        <v>1480</v>
      </c>
      <c r="J245" t="n">
        <v>0.7</v>
      </c>
      <c r="M245" t="n">
        <v>1470</v>
      </c>
    </row>
    <row r="246">
      <c r="A246" t="inlineStr">
        <is>
          <t>IT</t>
        </is>
      </c>
      <c r="B246" t="inlineStr">
        <is>
          <t>W37</t>
        </is>
      </c>
      <c r="C246" t="n">
        <v>37</v>
      </c>
      <c r="G246" t="n">
        <v>1322</v>
      </c>
      <c r="H246" t="n">
        <v>1045</v>
      </c>
      <c r="I246" t="n">
        <v>1482</v>
      </c>
      <c r="J246" t="n">
        <v>0.7</v>
      </c>
      <c r="M246" t="n">
        <v>1470</v>
      </c>
    </row>
    <row r="247">
      <c r="A247" t="inlineStr">
        <is>
          <t>IT</t>
        </is>
      </c>
      <c r="B247" t="inlineStr">
        <is>
          <t>W38</t>
        </is>
      </c>
      <c r="C247" t="n">
        <v>38</v>
      </c>
      <c r="G247" t="n">
        <v>1313</v>
      </c>
      <c r="H247" t="n">
        <v>1037</v>
      </c>
      <c r="I247" t="n">
        <v>1471</v>
      </c>
      <c r="J247" t="n">
        <v>0.7</v>
      </c>
      <c r="M247" t="n">
        <v>1470</v>
      </c>
    </row>
    <row r="248">
      <c r="A248" t="inlineStr">
        <is>
          <t>IT</t>
        </is>
      </c>
      <c r="B248" t="inlineStr">
        <is>
          <t>W39</t>
        </is>
      </c>
      <c r="C248" t="n">
        <v>39</v>
      </c>
      <c r="G248" t="n">
        <v>1523</v>
      </c>
      <c r="H248" t="n">
        <v>1204</v>
      </c>
      <c r="I248" t="n">
        <v>1708</v>
      </c>
      <c r="J248" t="n">
        <v>0.7</v>
      </c>
      <c r="M248" t="n">
        <v>1470</v>
      </c>
    </row>
    <row r="249">
      <c r="A249" t="inlineStr">
        <is>
          <t>IT</t>
        </is>
      </c>
      <c r="B249" t="inlineStr">
        <is>
          <t>W40</t>
        </is>
      </c>
      <c r="C249" t="n">
        <v>40</v>
      </c>
      <c r="G249" t="n">
        <v>1370</v>
      </c>
      <c r="H249" t="n">
        <v>1084</v>
      </c>
      <c r="I249" t="n">
        <v>1537</v>
      </c>
      <c r="J249" t="n">
        <v>0.7</v>
      </c>
      <c r="M249" t="n">
        <v>1282</v>
      </c>
    </row>
    <row r="250">
      <c r="A250" t="inlineStr">
        <is>
          <t>IT</t>
        </is>
      </c>
      <c r="B250" t="inlineStr">
        <is>
          <t>W41</t>
        </is>
      </c>
      <c r="C250" t="n">
        <v>41</v>
      </c>
      <c r="G250" t="n">
        <v>1425</v>
      </c>
      <c r="H250" t="n">
        <v>1127</v>
      </c>
      <c r="I250" t="n">
        <v>1598</v>
      </c>
      <c r="J250" t="n">
        <v>0.7</v>
      </c>
      <c r="M250" t="n">
        <v>1282</v>
      </c>
    </row>
    <row r="251">
      <c r="A251" t="inlineStr">
        <is>
          <t>IT</t>
        </is>
      </c>
      <c r="B251" t="inlineStr">
        <is>
          <t>W42</t>
        </is>
      </c>
      <c r="C251" t="n">
        <v>42</v>
      </c>
      <c r="G251" t="n">
        <v>1280</v>
      </c>
      <c r="H251" t="n">
        <v>1012</v>
      </c>
      <c r="I251" t="n">
        <v>1435</v>
      </c>
      <c r="J251" t="n">
        <v>0.7</v>
      </c>
      <c r="M251" t="n">
        <v>1282</v>
      </c>
    </row>
    <row r="252">
      <c r="A252" t="inlineStr">
        <is>
          <t>IT</t>
        </is>
      </c>
      <c r="B252" t="inlineStr">
        <is>
          <t>W43</t>
        </is>
      </c>
      <c r="C252" t="n">
        <v>43</v>
      </c>
      <c r="G252" t="n">
        <v>1394</v>
      </c>
      <c r="H252" t="n">
        <v>1103</v>
      </c>
      <c r="I252" t="n">
        <v>1564</v>
      </c>
      <c r="J252" t="n">
        <v>0.7</v>
      </c>
      <c r="M252" t="n">
        <v>1282</v>
      </c>
    </row>
    <row r="253">
      <c r="A253" t="inlineStr">
        <is>
          <t>IT</t>
        </is>
      </c>
      <c r="B253" t="inlineStr">
        <is>
          <t>W44</t>
        </is>
      </c>
      <c r="C253" t="n">
        <v>44</v>
      </c>
      <c r="G253" t="n">
        <v>1387</v>
      </c>
      <c r="H253" t="n">
        <v>1097</v>
      </c>
      <c r="I253" t="n">
        <v>1555</v>
      </c>
      <c r="J253" t="n">
        <v>0.7</v>
      </c>
      <c r="M253" t="n">
        <v>1282</v>
      </c>
    </row>
    <row r="254">
      <c r="A254" t="inlineStr">
        <is>
          <t>IT</t>
        </is>
      </c>
      <c r="B254" t="inlineStr">
        <is>
          <t>W45</t>
        </is>
      </c>
      <c r="C254" t="n">
        <v>45</v>
      </c>
      <c r="G254" t="n">
        <v>1745</v>
      </c>
      <c r="H254" t="n">
        <v>1380</v>
      </c>
      <c r="I254" t="n">
        <v>1957</v>
      </c>
      <c r="J254" t="n">
        <v>0.7</v>
      </c>
      <c r="M254" t="n">
        <v>1612</v>
      </c>
    </row>
    <row r="255">
      <c r="A255" t="inlineStr">
        <is>
          <t>IT</t>
        </is>
      </c>
      <c r="B255" t="inlineStr">
        <is>
          <t>W46</t>
        </is>
      </c>
      <c r="C255" t="n">
        <v>46</v>
      </c>
      <c r="G255" t="n">
        <v>1729</v>
      </c>
      <c r="H255" t="n">
        <v>1367</v>
      </c>
      <c r="I255" t="n">
        <v>1939</v>
      </c>
      <c r="J255" t="n">
        <v>0.7</v>
      </c>
      <c r="M255" t="n">
        <v>1612</v>
      </c>
    </row>
    <row r="256">
      <c r="A256" t="inlineStr">
        <is>
          <t>IT</t>
        </is>
      </c>
      <c r="B256" t="inlineStr">
        <is>
          <t>W47</t>
        </is>
      </c>
      <c r="C256" t="n">
        <v>47</v>
      </c>
      <c r="G256" t="n">
        <v>1523</v>
      </c>
      <c r="H256" t="n">
        <v>1205</v>
      </c>
      <c r="I256" t="n">
        <v>1709</v>
      </c>
      <c r="J256" t="n">
        <v>0.7</v>
      </c>
      <c r="M256" t="n">
        <v>1612</v>
      </c>
    </row>
    <row r="257">
      <c r="A257" t="inlineStr">
        <is>
          <t>IT</t>
        </is>
      </c>
      <c r="B257" t="inlineStr">
        <is>
          <t>W48</t>
        </is>
      </c>
      <c r="C257" t="n">
        <v>48</v>
      </c>
      <c r="G257" t="n">
        <v>1322</v>
      </c>
      <c r="H257" t="n">
        <v>1045</v>
      </c>
      <c r="I257" t="n">
        <v>1482</v>
      </c>
      <c r="J257" t="n">
        <v>0.7</v>
      </c>
      <c r="M257" t="n">
        <v>1612</v>
      </c>
    </row>
    <row r="258">
      <c r="A258" t="inlineStr">
        <is>
          <t>IT</t>
        </is>
      </c>
      <c r="B258" t="inlineStr">
        <is>
          <t>W49</t>
        </is>
      </c>
      <c r="C258" t="n">
        <v>49</v>
      </c>
      <c r="G258" t="n">
        <v>1200</v>
      </c>
      <c r="H258" t="n">
        <v>948</v>
      </c>
      <c r="I258" t="n">
        <v>1345</v>
      </c>
      <c r="J258" t="n">
        <v>0.7</v>
      </c>
      <c r="M258" t="n">
        <v>1172</v>
      </c>
    </row>
    <row r="259">
      <c r="A259" t="inlineStr">
        <is>
          <t>IT</t>
        </is>
      </c>
      <c r="B259" t="inlineStr">
        <is>
          <t>W50</t>
        </is>
      </c>
      <c r="C259" t="n">
        <v>50</v>
      </c>
      <c r="G259" t="n">
        <v>826</v>
      </c>
      <c r="H259" t="n">
        <v>653</v>
      </c>
      <c r="I259" t="n">
        <v>927</v>
      </c>
      <c r="J259" t="n">
        <v>0.7</v>
      </c>
      <c r="M259" t="n">
        <v>1172</v>
      </c>
    </row>
    <row r="260">
      <c r="A260" t="inlineStr">
        <is>
          <t>IT</t>
        </is>
      </c>
      <c r="B260" t="inlineStr">
        <is>
          <t>W51</t>
        </is>
      </c>
      <c r="C260" t="n">
        <v>51</v>
      </c>
      <c r="G260" t="n">
        <v>937</v>
      </c>
      <c r="H260" t="n">
        <v>741</v>
      </c>
      <c r="I260" t="n">
        <v>1051</v>
      </c>
      <c r="J260" t="n">
        <v>0.7</v>
      </c>
      <c r="M260" t="n">
        <v>1172</v>
      </c>
    </row>
    <row r="261">
      <c r="A261" t="inlineStr">
        <is>
          <t>IT</t>
        </is>
      </c>
      <c r="B261" t="inlineStr">
        <is>
          <t>W52</t>
        </is>
      </c>
      <c r="C261" t="n">
        <v>52</v>
      </c>
      <c r="G261" t="n">
        <v>1236</v>
      </c>
      <c r="H261" t="n">
        <v>977</v>
      </c>
      <c r="I261" t="n">
        <v>1386</v>
      </c>
      <c r="J261" t="n">
        <v>0.7</v>
      </c>
      <c r="M261" t="n">
        <v>1172</v>
      </c>
    </row>
    <row r="262">
      <c r="A262" t="inlineStr">
        <is>
          <t>ES</t>
        </is>
      </c>
      <c r="B262" t="inlineStr">
        <is>
          <t>W1</t>
        </is>
      </c>
      <c r="C262" t="n">
        <v>1</v>
      </c>
      <c r="D262" t="n">
        <v>390</v>
      </c>
      <c r="E262" t="n">
        <v>21415</v>
      </c>
      <c r="F262" t="n">
        <v>54.91</v>
      </c>
      <c r="G262" t="n">
        <v>501</v>
      </c>
      <c r="H262" t="n">
        <v>352</v>
      </c>
      <c r="I262" t="n">
        <v>559</v>
      </c>
      <c r="J262" t="n">
        <v>0.7</v>
      </c>
      <c r="K262" t="n">
        <v>269</v>
      </c>
      <c r="L262" t="n">
        <v>121</v>
      </c>
      <c r="M262" t="n">
        <v>635</v>
      </c>
    </row>
    <row r="263">
      <c r="A263" t="inlineStr">
        <is>
          <t>ES</t>
        </is>
      </c>
      <c r="B263" t="inlineStr">
        <is>
          <t>W2</t>
        </is>
      </c>
      <c r="C263" t="n">
        <v>2</v>
      </c>
      <c r="D263" t="n">
        <v>506</v>
      </c>
      <c r="E263" t="n">
        <v>38433</v>
      </c>
      <c r="F263" t="n">
        <v>75.95</v>
      </c>
      <c r="G263" t="n">
        <v>676</v>
      </c>
      <c r="H263" t="n">
        <v>500</v>
      </c>
      <c r="I263" t="n">
        <v>791</v>
      </c>
      <c r="J263" t="n">
        <v>0.7</v>
      </c>
      <c r="K263" t="n">
        <v>322</v>
      </c>
      <c r="L263" t="n">
        <v>184</v>
      </c>
      <c r="M263" t="n">
        <v>635</v>
      </c>
    </row>
    <row r="264">
      <c r="A264" t="inlineStr">
        <is>
          <t>ES</t>
        </is>
      </c>
      <c r="B264" t="inlineStr">
        <is>
          <t>W3</t>
        </is>
      </c>
      <c r="C264" t="n">
        <v>3</v>
      </c>
      <c r="D264" t="n">
        <v>679</v>
      </c>
      <c r="E264" t="n">
        <v>40819</v>
      </c>
      <c r="F264" t="n">
        <v>60.12</v>
      </c>
      <c r="G264" t="n">
        <v>721</v>
      </c>
      <c r="H264" t="n">
        <v>562</v>
      </c>
      <c r="I264" t="n">
        <v>888</v>
      </c>
      <c r="J264" t="n">
        <v>0.7</v>
      </c>
      <c r="K264" t="n">
        <v>454</v>
      </c>
      <c r="L264" t="n">
        <v>225</v>
      </c>
      <c r="M264" t="n">
        <v>635</v>
      </c>
    </row>
    <row r="265">
      <c r="A265" t="inlineStr">
        <is>
          <t>ES</t>
        </is>
      </c>
      <c r="B265" t="inlineStr">
        <is>
          <t>W4</t>
        </is>
      </c>
      <c r="C265" t="n">
        <v>4</v>
      </c>
      <c r="D265" t="n">
        <v>665</v>
      </c>
      <c r="E265" t="n">
        <v>32865</v>
      </c>
      <c r="F265" t="n">
        <v>49.42</v>
      </c>
      <c r="G265" t="n">
        <v>703</v>
      </c>
      <c r="H265" t="n">
        <v>604</v>
      </c>
      <c r="I265" t="n">
        <v>959</v>
      </c>
      <c r="J265" t="n">
        <v>0.7</v>
      </c>
      <c r="K265" t="n">
        <v>439</v>
      </c>
      <c r="L265" t="n">
        <v>226</v>
      </c>
      <c r="M265" t="n">
        <v>635</v>
      </c>
    </row>
    <row r="266">
      <c r="A266" t="inlineStr">
        <is>
          <t>ES</t>
        </is>
      </c>
      <c r="B266" t="inlineStr">
        <is>
          <t>W5</t>
        </is>
      </c>
      <c r="C266" t="n">
        <v>5</v>
      </c>
      <c r="D266" t="n">
        <v>676</v>
      </c>
      <c r="E266" t="n">
        <v>32961</v>
      </c>
      <c r="F266" t="n">
        <v>48.76</v>
      </c>
      <c r="G266" t="n">
        <v>723</v>
      </c>
      <c r="H266" t="n">
        <v>617</v>
      </c>
      <c r="I266" t="n">
        <v>979</v>
      </c>
      <c r="J266" t="n">
        <v>0.7</v>
      </c>
      <c r="K266" t="n">
        <v>471</v>
      </c>
      <c r="L266" t="n">
        <v>205</v>
      </c>
      <c r="M266" t="n">
        <v>587</v>
      </c>
    </row>
    <row r="267">
      <c r="A267" t="inlineStr">
        <is>
          <t>ES</t>
        </is>
      </c>
      <c r="B267" t="inlineStr">
        <is>
          <t>W6</t>
        </is>
      </c>
      <c r="C267" t="n">
        <v>6</v>
      </c>
      <c r="D267" t="n">
        <v>635</v>
      </c>
      <c r="E267" t="n">
        <v>32606</v>
      </c>
      <c r="F267" t="n">
        <v>51.35</v>
      </c>
      <c r="G267" t="n">
        <v>736</v>
      </c>
      <c r="H267" t="n">
        <v>598</v>
      </c>
      <c r="I267" t="n">
        <v>945</v>
      </c>
      <c r="J267" t="n">
        <v>0.7</v>
      </c>
      <c r="K267" t="n">
        <v>410</v>
      </c>
      <c r="L267" t="n">
        <v>225</v>
      </c>
      <c r="M267" t="n">
        <v>587</v>
      </c>
    </row>
    <row r="268">
      <c r="A268" t="inlineStr">
        <is>
          <t>ES</t>
        </is>
      </c>
      <c r="B268" t="inlineStr">
        <is>
          <t>W7</t>
        </is>
      </c>
      <c r="C268" t="n">
        <v>7</v>
      </c>
      <c r="D268" t="n">
        <v>646</v>
      </c>
      <c r="E268" t="n">
        <v>35380</v>
      </c>
      <c r="F268" t="n">
        <v>54.77</v>
      </c>
      <c r="G268" t="n">
        <v>770</v>
      </c>
      <c r="H268" t="n">
        <v>593</v>
      </c>
      <c r="I268" t="n">
        <v>933</v>
      </c>
      <c r="J268" t="n">
        <v>0.7</v>
      </c>
      <c r="K268" t="n">
        <v>403</v>
      </c>
      <c r="L268" t="n">
        <v>243</v>
      </c>
      <c r="M268" t="n">
        <v>587</v>
      </c>
    </row>
    <row r="269">
      <c r="A269" t="inlineStr">
        <is>
          <t>ES</t>
        </is>
      </c>
      <c r="B269" t="inlineStr">
        <is>
          <t>W8</t>
        </is>
      </c>
      <c r="C269" t="n">
        <v>8</v>
      </c>
      <c r="D269" t="n">
        <v>622</v>
      </c>
      <c r="E269" t="n">
        <v>37174</v>
      </c>
      <c r="F269" t="n">
        <v>59.77</v>
      </c>
      <c r="G269" t="n">
        <v>716</v>
      </c>
      <c r="H269" t="n">
        <v>553</v>
      </c>
      <c r="I269" t="n">
        <v>870</v>
      </c>
      <c r="J269" t="n">
        <v>0.7</v>
      </c>
      <c r="K269" t="n">
        <v>409</v>
      </c>
      <c r="L269" t="n">
        <v>213</v>
      </c>
      <c r="M269" t="n">
        <v>587</v>
      </c>
    </row>
    <row r="270">
      <c r="A270" t="inlineStr">
        <is>
          <t>ES</t>
        </is>
      </c>
      <c r="B270" t="inlineStr">
        <is>
          <t>W9</t>
        </is>
      </c>
      <c r="C270" t="n">
        <v>9</v>
      </c>
      <c r="D270" t="n">
        <v>639</v>
      </c>
      <c r="E270" t="n">
        <v>40504</v>
      </c>
      <c r="F270" t="n">
        <v>63.39</v>
      </c>
      <c r="G270" t="n">
        <v>721</v>
      </c>
      <c r="H270" t="n">
        <v>554</v>
      </c>
      <c r="I270" t="n">
        <v>872</v>
      </c>
      <c r="J270" t="n">
        <v>0.7</v>
      </c>
      <c r="K270" t="n">
        <v>394</v>
      </c>
      <c r="L270" t="n">
        <v>245</v>
      </c>
      <c r="M270" t="n">
        <v>479</v>
      </c>
    </row>
    <row r="271">
      <c r="A271" t="inlineStr">
        <is>
          <t>ES</t>
        </is>
      </c>
      <c r="B271" t="inlineStr">
        <is>
          <t>W10</t>
        </is>
      </c>
      <c r="C271" t="n">
        <v>10</v>
      </c>
      <c r="D271" t="n">
        <v>634</v>
      </c>
      <c r="E271" t="n">
        <v>43563</v>
      </c>
      <c r="F271" t="n">
        <v>68.70999999999999</v>
      </c>
      <c r="G271" t="n">
        <v>749</v>
      </c>
      <c r="H271" t="n">
        <v>581</v>
      </c>
      <c r="I271" t="n">
        <v>915</v>
      </c>
      <c r="J271" t="n">
        <v>0.7</v>
      </c>
      <c r="K271" t="n">
        <v>382</v>
      </c>
      <c r="L271" t="n">
        <v>252</v>
      </c>
      <c r="M271" t="n">
        <v>479</v>
      </c>
    </row>
    <row r="272">
      <c r="A272" t="inlineStr">
        <is>
          <t>ES</t>
        </is>
      </c>
      <c r="B272" t="inlineStr">
        <is>
          <t>W11</t>
        </is>
      </c>
      <c r="C272" t="n">
        <v>11</v>
      </c>
      <c r="D272" t="n">
        <v>711</v>
      </c>
      <c r="E272" t="n">
        <v>40265</v>
      </c>
      <c r="F272" t="n">
        <v>56.63</v>
      </c>
      <c r="G272" t="n">
        <v>733</v>
      </c>
      <c r="H272" t="n">
        <v>569</v>
      </c>
      <c r="I272" t="n">
        <v>896</v>
      </c>
      <c r="J272" t="n">
        <v>0.7</v>
      </c>
      <c r="K272" t="n">
        <v>436</v>
      </c>
      <c r="L272" t="n">
        <v>275</v>
      </c>
      <c r="M272" t="n">
        <v>479</v>
      </c>
    </row>
    <row r="273">
      <c r="A273" t="inlineStr">
        <is>
          <t>ES</t>
        </is>
      </c>
      <c r="B273" t="inlineStr">
        <is>
          <t>W12</t>
        </is>
      </c>
      <c r="C273" t="n">
        <v>12</v>
      </c>
      <c r="D273" t="n">
        <v>641</v>
      </c>
      <c r="E273" t="n">
        <v>32664</v>
      </c>
      <c r="F273" t="n">
        <v>50.96</v>
      </c>
      <c r="G273" t="n">
        <v>670</v>
      </c>
      <c r="H273" t="n">
        <v>533</v>
      </c>
      <c r="I273" t="n">
        <v>842</v>
      </c>
      <c r="J273" t="n">
        <v>0.7</v>
      </c>
      <c r="K273" t="n">
        <v>392</v>
      </c>
      <c r="L273" t="n">
        <v>249</v>
      </c>
      <c r="M273" t="n">
        <v>479</v>
      </c>
    </row>
    <row r="274">
      <c r="A274" t="inlineStr">
        <is>
          <t>ES</t>
        </is>
      </c>
      <c r="B274" t="inlineStr">
        <is>
          <t>W13</t>
        </is>
      </c>
      <c r="C274" t="n">
        <v>13</v>
      </c>
      <c r="D274" t="n">
        <v>631</v>
      </c>
      <c r="E274" t="n">
        <v>38165</v>
      </c>
      <c r="F274" t="n">
        <v>60.48</v>
      </c>
      <c r="G274" t="n">
        <v>674</v>
      </c>
      <c r="H274" t="n">
        <v>527</v>
      </c>
      <c r="I274" t="n">
        <v>832</v>
      </c>
      <c r="J274" t="n">
        <v>0.7</v>
      </c>
      <c r="K274" t="n">
        <v>354</v>
      </c>
      <c r="L274" t="n">
        <v>277</v>
      </c>
      <c r="M274" t="n">
        <v>479</v>
      </c>
    </row>
    <row r="275">
      <c r="A275" t="inlineStr">
        <is>
          <t>ES</t>
        </is>
      </c>
      <c r="B275" t="inlineStr">
        <is>
          <t>W14</t>
        </is>
      </c>
      <c r="C275" t="n">
        <v>14</v>
      </c>
      <c r="D275" t="n">
        <v>474</v>
      </c>
      <c r="E275" t="n">
        <v>30251</v>
      </c>
      <c r="F275" t="n">
        <v>63.82</v>
      </c>
      <c r="G275" t="n">
        <v>625</v>
      </c>
      <c r="H275" t="n">
        <v>482</v>
      </c>
      <c r="I275" t="n">
        <v>761</v>
      </c>
      <c r="J275" t="n">
        <v>0.7</v>
      </c>
      <c r="K275" t="n">
        <v>285</v>
      </c>
      <c r="L275" t="n">
        <v>189</v>
      </c>
      <c r="M275" t="n">
        <v>491</v>
      </c>
    </row>
    <row r="276">
      <c r="A276" t="inlineStr">
        <is>
          <t>ES</t>
        </is>
      </c>
      <c r="B276" t="inlineStr">
        <is>
          <t>W15</t>
        </is>
      </c>
      <c r="C276" t="n">
        <v>15</v>
      </c>
      <c r="D276" t="n">
        <v>599</v>
      </c>
      <c r="E276" t="n">
        <v>40315</v>
      </c>
      <c r="F276" t="n">
        <v>67.3</v>
      </c>
      <c r="G276" t="n">
        <v>789</v>
      </c>
      <c r="H276" t="n">
        <v>532</v>
      </c>
      <c r="I276" t="n">
        <v>934</v>
      </c>
      <c r="J276" t="n">
        <v>0.7</v>
      </c>
      <c r="K276" t="n">
        <v>356</v>
      </c>
      <c r="L276" t="n">
        <v>243</v>
      </c>
      <c r="M276" t="n">
        <v>491</v>
      </c>
    </row>
    <row r="277">
      <c r="A277" t="inlineStr">
        <is>
          <t>ES</t>
        </is>
      </c>
      <c r="B277" t="inlineStr">
        <is>
          <t>W16</t>
        </is>
      </c>
      <c r="C277" t="n">
        <v>16</v>
      </c>
      <c r="G277" t="n">
        <v>580</v>
      </c>
      <c r="H277" t="n">
        <v>502</v>
      </c>
      <c r="I277" t="n">
        <v>658</v>
      </c>
      <c r="J277" t="n">
        <v>0.7</v>
      </c>
      <c r="M277" t="n">
        <v>491</v>
      </c>
    </row>
    <row r="278">
      <c r="A278" t="inlineStr">
        <is>
          <t>ES</t>
        </is>
      </c>
      <c r="B278" t="inlineStr">
        <is>
          <t>W17</t>
        </is>
      </c>
      <c r="C278" t="n">
        <v>17</v>
      </c>
      <c r="G278" t="n">
        <v>639</v>
      </c>
      <c r="H278" t="n">
        <v>517</v>
      </c>
      <c r="I278" t="n">
        <v>718</v>
      </c>
      <c r="J278" t="n">
        <v>0.7</v>
      </c>
      <c r="M278" t="n">
        <v>491</v>
      </c>
    </row>
    <row r="279">
      <c r="A279" t="inlineStr">
        <is>
          <t>ES</t>
        </is>
      </c>
      <c r="B279" t="inlineStr">
        <is>
          <t>W18</t>
        </is>
      </c>
      <c r="C279" t="n">
        <v>18</v>
      </c>
      <c r="G279" t="n">
        <v>573</v>
      </c>
      <c r="H279" t="n">
        <v>463</v>
      </c>
      <c r="I279" t="n">
        <v>644</v>
      </c>
      <c r="J279" t="n">
        <v>0.7</v>
      </c>
      <c r="M279" t="n">
        <v>469</v>
      </c>
    </row>
    <row r="280">
      <c r="A280" t="inlineStr">
        <is>
          <t>ES</t>
        </is>
      </c>
      <c r="B280" t="inlineStr">
        <is>
          <t>W19</t>
        </is>
      </c>
      <c r="C280" t="n">
        <v>19</v>
      </c>
      <c r="G280" t="n">
        <v>624</v>
      </c>
      <c r="H280" t="n">
        <v>505</v>
      </c>
      <c r="I280" t="n">
        <v>702</v>
      </c>
      <c r="J280" t="n">
        <v>0.7</v>
      </c>
      <c r="M280" t="n">
        <v>469</v>
      </c>
    </row>
    <row r="281">
      <c r="A281" t="inlineStr">
        <is>
          <t>ES</t>
        </is>
      </c>
      <c r="B281" t="inlineStr">
        <is>
          <t>W20</t>
        </is>
      </c>
      <c r="C281" t="n">
        <v>20</v>
      </c>
      <c r="G281" t="n">
        <v>591</v>
      </c>
      <c r="H281" t="n">
        <v>478</v>
      </c>
      <c r="I281" t="n">
        <v>665</v>
      </c>
      <c r="J281" t="n">
        <v>0.7</v>
      </c>
      <c r="M281" t="n">
        <v>469</v>
      </c>
    </row>
    <row r="282">
      <c r="A282" t="inlineStr">
        <is>
          <t>ES</t>
        </is>
      </c>
      <c r="B282" t="inlineStr">
        <is>
          <t>W21</t>
        </is>
      </c>
      <c r="C282" t="n">
        <v>21</v>
      </c>
      <c r="G282" t="n">
        <v>598</v>
      </c>
      <c r="H282" t="n">
        <v>484</v>
      </c>
      <c r="I282" t="n">
        <v>673</v>
      </c>
      <c r="J282" t="n">
        <v>0.7</v>
      </c>
      <c r="M282" t="n">
        <v>469</v>
      </c>
    </row>
    <row r="283">
      <c r="A283" t="inlineStr">
        <is>
          <t>ES</t>
        </is>
      </c>
      <c r="B283" t="inlineStr">
        <is>
          <t>W22</t>
        </is>
      </c>
      <c r="C283" t="n">
        <v>22</v>
      </c>
      <c r="G283" t="n">
        <v>595</v>
      </c>
      <c r="H283" t="n">
        <v>481</v>
      </c>
      <c r="I283" t="n">
        <v>669</v>
      </c>
      <c r="J283" t="n">
        <v>0.7</v>
      </c>
      <c r="M283" t="n">
        <v>469</v>
      </c>
    </row>
    <row r="284">
      <c r="A284" t="inlineStr">
        <is>
          <t>ES</t>
        </is>
      </c>
      <c r="B284" t="inlineStr">
        <is>
          <t>W23</t>
        </is>
      </c>
      <c r="C284" t="n">
        <v>23</v>
      </c>
      <c r="G284" t="n">
        <v>559</v>
      </c>
      <c r="H284" t="n">
        <v>452</v>
      </c>
      <c r="I284" t="n">
        <v>629</v>
      </c>
      <c r="J284" t="n">
        <v>0.7</v>
      </c>
      <c r="M284" t="n">
        <v>615</v>
      </c>
    </row>
    <row r="285">
      <c r="A285" t="inlineStr">
        <is>
          <t>ES</t>
        </is>
      </c>
      <c r="B285" t="inlineStr">
        <is>
          <t>W24</t>
        </is>
      </c>
      <c r="C285" t="n">
        <v>24</v>
      </c>
      <c r="G285" t="n">
        <v>551</v>
      </c>
      <c r="H285" t="n">
        <v>445</v>
      </c>
      <c r="I285" t="n">
        <v>619</v>
      </c>
      <c r="J285" t="n">
        <v>0.7</v>
      </c>
      <c r="M285" t="n">
        <v>615</v>
      </c>
    </row>
    <row r="286">
      <c r="A286" t="inlineStr">
        <is>
          <t>ES</t>
        </is>
      </c>
      <c r="B286" t="inlineStr">
        <is>
          <t>W25</t>
        </is>
      </c>
      <c r="C286" t="n">
        <v>25</v>
      </c>
      <c r="G286" t="n">
        <v>613</v>
      </c>
      <c r="H286" t="n">
        <v>496</v>
      </c>
      <c r="I286" t="n">
        <v>689</v>
      </c>
      <c r="J286" t="n">
        <v>0.7</v>
      </c>
      <c r="M286" t="n">
        <v>615</v>
      </c>
    </row>
    <row r="287">
      <c r="A287" t="inlineStr">
        <is>
          <t>ES</t>
        </is>
      </c>
      <c r="B287" t="inlineStr">
        <is>
          <t>W26</t>
        </is>
      </c>
      <c r="C287" t="n">
        <v>26</v>
      </c>
      <c r="G287" t="n">
        <v>668</v>
      </c>
      <c r="H287" t="n">
        <v>541</v>
      </c>
      <c r="I287" t="n">
        <v>752</v>
      </c>
      <c r="J287" t="n">
        <v>0.7</v>
      </c>
      <c r="M287" t="n">
        <v>615</v>
      </c>
    </row>
    <row r="288">
      <c r="A288" t="inlineStr">
        <is>
          <t>ES</t>
        </is>
      </c>
      <c r="B288" t="inlineStr">
        <is>
          <t>W27</t>
        </is>
      </c>
      <c r="C288" t="n">
        <v>27</v>
      </c>
      <c r="G288" t="n">
        <v>603</v>
      </c>
      <c r="H288" t="n">
        <v>488</v>
      </c>
      <c r="I288" t="n">
        <v>678</v>
      </c>
      <c r="J288" t="n">
        <v>0.7</v>
      </c>
      <c r="M288" t="n">
        <v>524</v>
      </c>
    </row>
    <row r="289">
      <c r="A289" t="inlineStr">
        <is>
          <t>ES</t>
        </is>
      </c>
      <c r="B289" t="inlineStr">
        <is>
          <t>W28</t>
        </is>
      </c>
      <c r="C289" t="n">
        <v>28</v>
      </c>
      <c r="G289" t="n">
        <v>567</v>
      </c>
      <c r="H289" t="n">
        <v>459</v>
      </c>
      <c r="I289" t="n">
        <v>638</v>
      </c>
      <c r="J289" t="n">
        <v>0.7</v>
      </c>
      <c r="M289" t="n">
        <v>524</v>
      </c>
    </row>
    <row r="290">
      <c r="A290" t="inlineStr">
        <is>
          <t>ES</t>
        </is>
      </c>
      <c r="B290" t="inlineStr">
        <is>
          <t>W29</t>
        </is>
      </c>
      <c r="C290" t="n">
        <v>29</v>
      </c>
      <c r="G290" t="n">
        <v>510</v>
      </c>
      <c r="H290" t="n">
        <v>412</v>
      </c>
      <c r="I290" t="n">
        <v>573</v>
      </c>
      <c r="J290" t="n">
        <v>0.7</v>
      </c>
      <c r="M290" t="n">
        <v>524</v>
      </c>
    </row>
    <row r="291">
      <c r="A291" t="inlineStr">
        <is>
          <t>ES</t>
        </is>
      </c>
      <c r="B291" t="inlineStr">
        <is>
          <t>W30</t>
        </is>
      </c>
      <c r="C291" t="n">
        <v>30</v>
      </c>
      <c r="G291" t="n">
        <v>475</v>
      </c>
      <c r="H291" t="n">
        <v>384</v>
      </c>
      <c r="I291" t="n">
        <v>534</v>
      </c>
      <c r="J291" t="n">
        <v>0.7</v>
      </c>
      <c r="M291" t="n">
        <v>524</v>
      </c>
    </row>
    <row r="292">
      <c r="A292" t="inlineStr">
        <is>
          <t>ES</t>
        </is>
      </c>
      <c r="B292" t="inlineStr">
        <is>
          <t>W31</t>
        </is>
      </c>
      <c r="C292" t="n">
        <v>31</v>
      </c>
      <c r="G292" t="n">
        <v>398</v>
      </c>
      <c r="H292" t="n">
        <v>323</v>
      </c>
      <c r="I292" t="n">
        <v>448</v>
      </c>
      <c r="J292" t="n">
        <v>0.7</v>
      </c>
      <c r="M292" t="n">
        <v>524</v>
      </c>
    </row>
    <row r="293">
      <c r="A293" t="inlineStr">
        <is>
          <t>ES</t>
        </is>
      </c>
      <c r="B293" t="inlineStr">
        <is>
          <t>W32</t>
        </is>
      </c>
      <c r="C293" t="n">
        <v>32</v>
      </c>
      <c r="G293" t="n">
        <v>453</v>
      </c>
      <c r="H293" t="n">
        <v>366</v>
      </c>
      <c r="I293" t="n">
        <v>509</v>
      </c>
      <c r="J293" t="n">
        <v>0.7</v>
      </c>
      <c r="M293" t="n">
        <v>474</v>
      </c>
    </row>
    <row r="294">
      <c r="A294" t="inlineStr">
        <is>
          <t>ES</t>
        </is>
      </c>
      <c r="B294" t="inlineStr">
        <is>
          <t>W33</t>
        </is>
      </c>
      <c r="C294" t="n">
        <v>33</v>
      </c>
      <c r="G294" t="n">
        <v>506</v>
      </c>
      <c r="H294" t="n">
        <v>410</v>
      </c>
      <c r="I294" t="n">
        <v>570</v>
      </c>
      <c r="J294" t="n">
        <v>0.7</v>
      </c>
      <c r="M294" t="n">
        <v>474</v>
      </c>
    </row>
    <row r="295">
      <c r="A295" t="inlineStr">
        <is>
          <t>ES</t>
        </is>
      </c>
      <c r="B295" t="inlineStr">
        <is>
          <t>W34</t>
        </is>
      </c>
      <c r="C295" t="n">
        <v>34</v>
      </c>
      <c r="G295" t="n">
        <v>560</v>
      </c>
      <c r="H295" t="n">
        <v>454</v>
      </c>
      <c r="I295" t="n">
        <v>631</v>
      </c>
      <c r="J295" t="n">
        <v>0.7</v>
      </c>
      <c r="M295" t="n">
        <v>474</v>
      </c>
    </row>
    <row r="296">
      <c r="A296" t="inlineStr">
        <is>
          <t>ES</t>
        </is>
      </c>
      <c r="B296" t="inlineStr">
        <is>
          <t>W35</t>
        </is>
      </c>
      <c r="C296" t="n">
        <v>35</v>
      </c>
      <c r="G296" t="n">
        <v>564</v>
      </c>
      <c r="H296" t="n">
        <v>456</v>
      </c>
      <c r="I296" t="n">
        <v>634</v>
      </c>
      <c r="J296" t="n">
        <v>0.7</v>
      </c>
      <c r="M296" t="n">
        <v>474</v>
      </c>
    </row>
    <row r="297">
      <c r="A297" t="inlineStr">
        <is>
          <t>ES</t>
        </is>
      </c>
      <c r="B297" t="inlineStr">
        <is>
          <t>W36</t>
        </is>
      </c>
      <c r="C297" t="n">
        <v>36</v>
      </c>
      <c r="G297" t="n">
        <v>635</v>
      </c>
      <c r="H297" t="n">
        <v>514</v>
      </c>
      <c r="I297" t="n">
        <v>714</v>
      </c>
      <c r="J297" t="n">
        <v>0.7</v>
      </c>
      <c r="M297" t="n">
        <v>715</v>
      </c>
    </row>
    <row r="298">
      <c r="A298" t="inlineStr">
        <is>
          <t>ES</t>
        </is>
      </c>
      <c r="B298" t="inlineStr">
        <is>
          <t>W37</t>
        </is>
      </c>
      <c r="C298" t="n">
        <v>37</v>
      </c>
      <c r="G298" t="n">
        <v>629</v>
      </c>
      <c r="H298" t="n">
        <v>508</v>
      </c>
      <c r="I298" t="n">
        <v>706</v>
      </c>
      <c r="J298" t="n">
        <v>0.7</v>
      </c>
      <c r="M298" t="n">
        <v>715</v>
      </c>
    </row>
    <row r="299">
      <c r="A299" t="inlineStr">
        <is>
          <t>ES</t>
        </is>
      </c>
      <c r="B299" t="inlineStr">
        <is>
          <t>W38</t>
        </is>
      </c>
      <c r="C299" t="n">
        <v>38</v>
      </c>
      <c r="G299" t="n">
        <v>680</v>
      </c>
      <c r="H299" t="n">
        <v>551</v>
      </c>
      <c r="I299" t="n">
        <v>765</v>
      </c>
      <c r="J299" t="n">
        <v>0.7</v>
      </c>
      <c r="M299" t="n">
        <v>715</v>
      </c>
    </row>
    <row r="300">
      <c r="A300" t="inlineStr">
        <is>
          <t>ES</t>
        </is>
      </c>
      <c r="B300" t="inlineStr">
        <is>
          <t>W39</t>
        </is>
      </c>
      <c r="C300" t="n">
        <v>39</v>
      </c>
      <c r="G300" t="n">
        <v>696</v>
      </c>
      <c r="H300" t="n">
        <v>563</v>
      </c>
      <c r="I300" t="n">
        <v>782</v>
      </c>
      <c r="J300" t="n">
        <v>0.7</v>
      </c>
      <c r="M300" t="n">
        <v>715</v>
      </c>
    </row>
    <row r="301">
      <c r="A301" t="inlineStr">
        <is>
          <t>ES</t>
        </is>
      </c>
      <c r="B301" t="inlineStr">
        <is>
          <t>W40</t>
        </is>
      </c>
      <c r="C301" t="n">
        <v>40</v>
      </c>
      <c r="G301" t="n">
        <v>744</v>
      </c>
      <c r="H301" t="n">
        <v>602</v>
      </c>
      <c r="I301" t="n">
        <v>837</v>
      </c>
      <c r="J301" t="n">
        <v>0.7</v>
      </c>
      <c r="M301" t="n">
        <v>650</v>
      </c>
    </row>
    <row r="302">
      <c r="A302" t="inlineStr">
        <is>
          <t>ES</t>
        </is>
      </c>
      <c r="B302" t="inlineStr">
        <is>
          <t>W41</t>
        </is>
      </c>
      <c r="C302" t="n">
        <v>41</v>
      </c>
      <c r="G302" t="n">
        <v>729</v>
      </c>
      <c r="H302" t="n">
        <v>590</v>
      </c>
      <c r="I302" t="n">
        <v>819</v>
      </c>
      <c r="J302" t="n">
        <v>0.7</v>
      </c>
      <c r="M302" t="n">
        <v>650</v>
      </c>
    </row>
    <row r="303">
      <c r="A303" t="inlineStr">
        <is>
          <t>ES</t>
        </is>
      </c>
      <c r="B303" t="inlineStr">
        <is>
          <t>W42</t>
        </is>
      </c>
      <c r="C303" t="n">
        <v>42</v>
      </c>
      <c r="G303" t="n">
        <v>651</v>
      </c>
      <c r="H303" t="n">
        <v>527</v>
      </c>
      <c r="I303" t="n">
        <v>732</v>
      </c>
      <c r="J303" t="n">
        <v>0.7</v>
      </c>
      <c r="M303" t="n">
        <v>650</v>
      </c>
    </row>
    <row r="304">
      <c r="A304" t="inlineStr">
        <is>
          <t>ES</t>
        </is>
      </c>
      <c r="B304" t="inlineStr">
        <is>
          <t>W43</t>
        </is>
      </c>
      <c r="C304" t="n">
        <v>43</v>
      </c>
      <c r="G304" t="n">
        <v>710</v>
      </c>
      <c r="H304" t="n">
        <v>574</v>
      </c>
      <c r="I304" t="n">
        <v>798</v>
      </c>
      <c r="J304" t="n">
        <v>0.7</v>
      </c>
      <c r="M304" t="n">
        <v>650</v>
      </c>
    </row>
    <row r="305">
      <c r="A305" t="inlineStr">
        <is>
          <t>ES</t>
        </is>
      </c>
      <c r="B305" t="inlineStr">
        <is>
          <t>W44</t>
        </is>
      </c>
      <c r="C305" t="n">
        <v>44</v>
      </c>
      <c r="G305" t="n">
        <v>709</v>
      </c>
      <c r="H305" t="n">
        <v>574</v>
      </c>
      <c r="I305" t="n">
        <v>798</v>
      </c>
      <c r="J305" t="n">
        <v>0.7</v>
      </c>
      <c r="M305" t="n">
        <v>650</v>
      </c>
    </row>
    <row r="306">
      <c r="A306" t="inlineStr">
        <is>
          <t>ES</t>
        </is>
      </c>
      <c r="B306" t="inlineStr">
        <is>
          <t>W45</t>
        </is>
      </c>
      <c r="C306" t="n">
        <v>45</v>
      </c>
      <c r="G306" t="n">
        <v>838</v>
      </c>
      <c r="H306" t="n">
        <v>678</v>
      </c>
      <c r="I306" t="n">
        <v>942</v>
      </c>
      <c r="J306" t="n">
        <v>0.7</v>
      </c>
      <c r="M306" t="n">
        <v>847</v>
      </c>
    </row>
    <row r="307">
      <c r="A307" t="inlineStr">
        <is>
          <t>ES</t>
        </is>
      </c>
      <c r="B307" t="inlineStr">
        <is>
          <t>W46</t>
        </is>
      </c>
      <c r="C307" t="n">
        <v>46</v>
      </c>
      <c r="G307" t="n">
        <v>851</v>
      </c>
      <c r="H307" t="n">
        <v>688</v>
      </c>
      <c r="I307" t="n">
        <v>957</v>
      </c>
      <c r="J307" t="n">
        <v>0.7</v>
      </c>
      <c r="M307" t="n">
        <v>847</v>
      </c>
    </row>
    <row r="308">
      <c r="A308" t="inlineStr">
        <is>
          <t>ES</t>
        </is>
      </c>
      <c r="B308" t="inlineStr">
        <is>
          <t>W47</t>
        </is>
      </c>
      <c r="C308" t="n">
        <v>47</v>
      </c>
      <c r="G308" t="n">
        <v>669</v>
      </c>
      <c r="H308" t="n">
        <v>541</v>
      </c>
      <c r="I308" t="n">
        <v>752</v>
      </c>
      <c r="J308" t="n">
        <v>0.7</v>
      </c>
      <c r="M308" t="n">
        <v>847</v>
      </c>
    </row>
    <row r="309">
      <c r="A309" t="inlineStr">
        <is>
          <t>ES</t>
        </is>
      </c>
      <c r="B309" t="inlineStr">
        <is>
          <t>W48</t>
        </is>
      </c>
      <c r="C309" t="n">
        <v>48</v>
      </c>
      <c r="G309" t="n">
        <v>633</v>
      </c>
      <c r="H309" t="n">
        <v>512</v>
      </c>
      <c r="I309" t="n">
        <v>711</v>
      </c>
      <c r="J309" t="n">
        <v>0.7</v>
      </c>
      <c r="M309" t="n">
        <v>847</v>
      </c>
    </row>
    <row r="310">
      <c r="A310" t="inlineStr">
        <is>
          <t>ES</t>
        </is>
      </c>
      <c r="B310" t="inlineStr">
        <is>
          <t>W49</t>
        </is>
      </c>
      <c r="C310" t="n">
        <v>49</v>
      </c>
      <c r="G310" t="n">
        <v>543</v>
      </c>
      <c r="H310" t="n">
        <v>439</v>
      </c>
      <c r="I310" t="n">
        <v>610</v>
      </c>
      <c r="J310" t="n">
        <v>0.7</v>
      </c>
      <c r="M310" t="n">
        <v>473</v>
      </c>
    </row>
    <row r="311">
      <c r="A311" t="inlineStr">
        <is>
          <t>ES</t>
        </is>
      </c>
      <c r="B311" t="inlineStr">
        <is>
          <t>W50</t>
        </is>
      </c>
      <c r="C311" t="n">
        <v>50</v>
      </c>
      <c r="G311" t="n">
        <v>448</v>
      </c>
      <c r="H311" t="n">
        <v>362</v>
      </c>
      <c r="I311" t="n">
        <v>504</v>
      </c>
      <c r="J311" t="n">
        <v>0.7</v>
      </c>
      <c r="M311" t="n">
        <v>473</v>
      </c>
    </row>
    <row r="312">
      <c r="A312" t="inlineStr">
        <is>
          <t>ES</t>
        </is>
      </c>
      <c r="B312" t="inlineStr">
        <is>
          <t>W51</t>
        </is>
      </c>
      <c r="C312" t="n">
        <v>51</v>
      </c>
      <c r="G312" t="n">
        <v>451</v>
      </c>
      <c r="H312" t="n">
        <v>365</v>
      </c>
      <c r="I312" t="n">
        <v>508</v>
      </c>
      <c r="J312" t="n">
        <v>0.7</v>
      </c>
      <c r="M312" t="n">
        <v>473</v>
      </c>
    </row>
    <row r="313">
      <c r="A313" t="inlineStr">
        <is>
          <t>ES</t>
        </is>
      </c>
      <c r="B313" t="inlineStr">
        <is>
          <t>W52</t>
        </is>
      </c>
      <c r="C313" t="n">
        <v>52</v>
      </c>
      <c r="G313" t="n">
        <v>601</v>
      </c>
      <c r="H313" t="n">
        <v>486</v>
      </c>
      <c r="I313" t="n">
        <v>676</v>
      </c>
      <c r="J313" t="n">
        <v>0.7</v>
      </c>
      <c r="M313" t="n">
        <v>473</v>
      </c>
    </row>
    <row r="314">
      <c r="A314" t="inlineStr">
        <is>
          <t>CA</t>
        </is>
      </c>
      <c r="B314" t="inlineStr">
        <is>
          <t>W1</t>
        </is>
      </c>
      <c r="C314" t="n">
        <v>1</v>
      </c>
      <c r="D314" t="n">
        <v>612</v>
      </c>
      <c r="E314" t="n">
        <v>52536</v>
      </c>
      <c r="F314" t="n">
        <v>85.84</v>
      </c>
      <c r="G314" t="n">
        <v>691</v>
      </c>
      <c r="H314" t="n">
        <v>531</v>
      </c>
      <c r="I314" t="n">
        <v>791</v>
      </c>
      <c r="J314" t="n">
        <v>0.7</v>
      </c>
      <c r="K314" t="n">
        <v>387</v>
      </c>
      <c r="L314" t="n">
        <v>225</v>
      </c>
      <c r="M314" t="n">
        <v>680</v>
      </c>
    </row>
    <row r="315">
      <c r="A315" t="inlineStr">
        <is>
          <t>CA</t>
        </is>
      </c>
      <c r="B315" t="inlineStr">
        <is>
          <t>W2</t>
        </is>
      </c>
      <c r="C315" t="n">
        <v>2</v>
      </c>
      <c r="D315" t="n">
        <v>641</v>
      </c>
      <c r="E315" t="n">
        <v>55082</v>
      </c>
      <c r="F315" t="n">
        <v>85.93000000000001</v>
      </c>
      <c r="G315" t="n">
        <v>755</v>
      </c>
      <c r="H315" t="n">
        <v>591</v>
      </c>
      <c r="I315" t="n">
        <v>879</v>
      </c>
      <c r="J315" t="n">
        <v>0.7</v>
      </c>
      <c r="K315" t="n">
        <v>444</v>
      </c>
      <c r="L315" t="n">
        <v>197</v>
      </c>
      <c r="M315" t="n">
        <v>680</v>
      </c>
    </row>
    <row r="316">
      <c r="A316" t="inlineStr">
        <is>
          <t>CA</t>
        </is>
      </c>
      <c r="B316" t="inlineStr">
        <is>
          <t>W3</t>
        </is>
      </c>
      <c r="C316" t="n">
        <v>3</v>
      </c>
      <c r="D316" t="n">
        <v>716</v>
      </c>
      <c r="E316" t="n">
        <v>54929</v>
      </c>
      <c r="F316" t="n">
        <v>76.72</v>
      </c>
      <c r="G316" t="n">
        <v>761</v>
      </c>
      <c r="H316" t="n">
        <v>616</v>
      </c>
      <c r="I316" t="n">
        <v>916</v>
      </c>
      <c r="J316" t="n">
        <v>0.7</v>
      </c>
      <c r="K316" t="n">
        <v>442</v>
      </c>
      <c r="L316" t="n">
        <v>274</v>
      </c>
      <c r="M316" t="n">
        <v>680</v>
      </c>
    </row>
    <row r="317">
      <c r="A317" t="inlineStr">
        <is>
          <t>CA</t>
        </is>
      </c>
      <c r="B317" t="inlineStr">
        <is>
          <t>W4</t>
        </is>
      </c>
      <c r="C317" t="n">
        <v>4</v>
      </c>
      <c r="D317" t="n">
        <v>743</v>
      </c>
      <c r="E317" t="n">
        <v>52505</v>
      </c>
      <c r="F317" t="n">
        <v>70.67</v>
      </c>
      <c r="G317" t="n">
        <v>745</v>
      </c>
      <c r="H317" t="n">
        <v>639</v>
      </c>
      <c r="I317" t="n">
        <v>950</v>
      </c>
      <c r="J317" t="n">
        <v>0.7</v>
      </c>
      <c r="K317" t="n">
        <v>463</v>
      </c>
      <c r="L317" t="n">
        <v>280</v>
      </c>
      <c r="M317" t="n">
        <v>680</v>
      </c>
    </row>
    <row r="318">
      <c r="A318" t="inlineStr">
        <is>
          <t>CA</t>
        </is>
      </c>
      <c r="B318" t="inlineStr">
        <is>
          <t>W5</t>
        </is>
      </c>
      <c r="C318" t="n">
        <v>5</v>
      </c>
      <c r="D318" t="n">
        <v>750</v>
      </c>
      <c r="E318" t="n">
        <v>50865</v>
      </c>
      <c r="F318" t="n">
        <v>67.81999999999999</v>
      </c>
      <c r="G318" t="n">
        <v>763</v>
      </c>
      <c r="H318" t="n">
        <v>640</v>
      </c>
      <c r="I318" t="n">
        <v>949</v>
      </c>
      <c r="J318" t="n">
        <v>0.7</v>
      </c>
      <c r="K318" t="n">
        <v>450</v>
      </c>
      <c r="L318" t="n">
        <v>300</v>
      </c>
      <c r="M318" t="n">
        <v>600</v>
      </c>
    </row>
    <row r="319">
      <c r="A319" t="inlineStr">
        <is>
          <t>CA</t>
        </is>
      </c>
      <c r="B319" t="inlineStr">
        <is>
          <t>W6</t>
        </is>
      </c>
      <c r="C319" t="n">
        <v>6</v>
      </c>
      <c r="D319" t="n">
        <v>729</v>
      </c>
      <c r="E319" t="n">
        <v>51663</v>
      </c>
      <c r="F319" t="n">
        <v>70.87</v>
      </c>
      <c r="G319" t="n">
        <v>775</v>
      </c>
      <c r="H319" t="n">
        <v>644</v>
      </c>
      <c r="I319" t="n">
        <v>955</v>
      </c>
      <c r="J319" t="n">
        <v>0.7</v>
      </c>
      <c r="K319" t="n">
        <v>467</v>
      </c>
      <c r="L319" t="n">
        <v>262</v>
      </c>
      <c r="M319" t="n">
        <v>600</v>
      </c>
    </row>
    <row r="320">
      <c r="A320" t="inlineStr">
        <is>
          <t>CA</t>
        </is>
      </c>
      <c r="B320" t="inlineStr">
        <is>
          <t>W7</t>
        </is>
      </c>
      <c r="C320" t="n">
        <v>7</v>
      </c>
      <c r="D320" t="n">
        <v>699</v>
      </c>
      <c r="E320" t="n">
        <v>50197</v>
      </c>
      <c r="F320" t="n">
        <v>71.81</v>
      </c>
      <c r="G320" t="n">
        <v>750</v>
      </c>
      <c r="H320" t="n">
        <v>608</v>
      </c>
      <c r="I320" t="n">
        <v>899</v>
      </c>
      <c r="J320" t="n">
        <v>0.7</v>
      </c>
      <c r="K320" t="n">
        <v>472</v>
      </c>
      <c r="L320" t="n">
        <v>227</v>
      </c>
      <c r="M320" t="n">
        <v>600</v>
      </c>
    </row>
    <row r="321">
      <c r="A321" t="inlineStr">
        <is>
          <t>CA</t>
        </is>
      </c>
      <c r="B321" t="inlineStr">
        <is>
          <t>W8</t>
        </is>
      </c>
      <c r="C321" t="n">
        <v>8</v>
      </c>
      <c r="D321" t="n">
        <v>688</v>
      </c>
      <c r="E321" t="n">
        <v>53490</v>
      </c>
      <c r="F321" t="n">
        <v>77.75</v>
      </c>
      <c r="G321" t="n">
        <v>764</v>
      </c>
      <c r="H321" t="n">
        <v>609</v>
      </c>
      <c r="I321" t="n">
        <v>901</v>
      </c>
      <c r="J321" t="n">
        <v>0.7</v>
      </c>
      <c r="K321" t="n">
        <v>440</v>
      </c>
      <c r="L321" t="n">
        <v>248</v>
      </c>
      <c r="M321" t="n">
        <v>600</v>
      </c>
    </row>
    <row r="322">
      <c r="A322" t="inlineStr">
        <is>
          <t>CA</t>
        </is>
      </c>
      <c r="B322" t="inlineStr">
        <is>
          <t>W9</t>
        </is>
      </c>
      <c r="C322" t="n">
        <v>9</v>
      </c>
      <c r="D322" t="n">
        <v>689</v>
      </c>
      <c r="E322" t="n">
        <v>52280</v>
      </c>
      <c r="F322" t="n">
        <v>75.88</v>
      </c>
      <c r="G322" t="n">
        <v>756</v>
      </c>
      <c r="H322" t="n">
        <v>599</v>
      </c>
      <c r="I322" t="n">
        <v>887</v>
      </c>
      <c r="J322" t="n">
        <v>0.7</v>
      </c>
      <c r="K322" t="n">
        <v>451</v>
      </c>
      <c r="L322" t="n">
        <v>238</v>
      </c>
      <c r="M322" t="n">
        <v>518</v>
      </c>
    </row>
    <row r="323">
      <c r="A323" t="inlineStr">
        <is>
          <t>CA</t>
        </is>
      </c>
      <c r="B323" t="inlineStr">
        <is>
          <t>W10</t>
        </is>
      </c>
      <c r="C323" t="n">
        <v>10</v>
      </c>
      <c r="D323" t="n">
        <v>642</v>
      </c>
      <c r="E323" t="n">
        <v>50478</v>
      </c>
      <c r="F323" t="n">
        <v>78.63</v>
      </c>
      <c r="G323" t="n">
        <v>707</v>
      </c>
      <c r="H323" t="n">
        <v>565</v>
      </c>
      <c r="I323" t="n">
        <v>836</v>
      </c>
      <c r="J323" t="n">
        <v>0.7</v>
      </c>
      <c r="K323" t="n">
        <v>410</v>
      </c>
      <c r="L323" t="n">
        <v>232</v>
      </c>
      <c r="M323" t="n">
        <v>518</v>
      </c>
    </row>
    <row r="324">
      <c r="A324" t="inlineStr">
        <is>
          <t>CA</t>
        </is>
      </c>
      <c r="B324" t="inlineStr">
        <is>
          <t>W11</t>
        </is>
      </c>
      <c r="C324" t="n">
        <v>11</v>
      </c>
      <c r="D324" t="n">
        <v>744</v>
      </c>
      <c r="E324" t="n">
        <v>52053</v>
      </c>
      <c r="F324" t="n">
        <v>69.95999999999999</v>
      </c>
      <c r="G324" t="n">
        <v>727</v>
      </c>
      <c r="H324" t="n">
        <v>579</v>
      </c>
      <c r="I324" t="n">
        <v>856</v>
      </c>
      <c r="J324" t="n">
        <v>0.7</v>
      </c>
      <c r="K324" t="n">
        <v>518</v>
      </c>
      <c r="L324" t="n">
        <v>226</v>
      </c>
      <c r="M324" t="n">
        <v>518</v>
      </c>
    </row>
    <row r="325">
      <c r="A325" t="inlineStr">
        <is>
          <t>CA</t>
        </is>
      </c>
      <c r="B325" t="inlineStr">
        <is>
          <t>W12</t>
        </is>
      </c>
      <c r="C325" t="n">
        <v>12</v>
      </c>
      <c r="D325" t="n">
        <v>676</v>
      </c>
      <c r="E325" t="n">
        <v>52806</v>
      </c>
      <c r="F325" t="n">
        <v>78.12</v>
      </c>
      <c r="G325" t="n">
        <v>714</v>
      </c>
      <c r="H325" t="n">
        <v>582</v>
      </c>
      <c r="I325" t="n">
        <v>863</v>
      </c>
      <c r="J325" t="n">
        <v>0.7</v>
      </c>
      <c r="K325" t="n">
        <v>447</v>
      </c>
      <c r="L325" t="n">
        <v>229</v>
      </c>
      <c r="M325" t="n">
        <v>518</v>
      </c>
    </row>
    <row r="326">
      <c r="A326" t="inlineStr">
        <is>
          <t>CA</t>
        </is>
      </c>
      <c r="B326" t="inlineStr">
        <is>
          <t>W13</t>
        </is>
      </c>
      <c r="C326" t="n">
        <v>13</v>
      </c>
      <c r="D326" t="n">
        <v>773</v>
      </c>
      <c r="E326" t="n">
        <v>51998</v>
      </c>
      <c r="F326" t="n">
        <v>67.27</v>
      </c>
      <c r="G326" t="n">
        <v>693</v>
      </c>
      <c r="H326" t="n">
        <v>563</v>
      </c>
      <c r="I326" t="n">
        <v>833</v>
      </c>
      <c r="J326" t="n">
        <v>0.7</v>
      </c>
      <c r="K326" t="n">
        <v>529</v>
      </c>
      <c r="L326" t="n">
        <v>244</v>
      </c>
      <c r="M326" t="n">
        <v>518</v>
      </c>
    </row>
    <row r="327">
      <c r="A327" t="inlineStr">
        <is>
          <t>CA</t>
        </is>
      </c>
      <c r="B327" t="inlineStr">
        <is>
          <t>W14</t>
        </is>
      </c>
      <c r="C327" t="n">
        <v>14</v>
      </c>
      <c r="D327" t="n">
        <v>634</v>
      </c>
      <c r="E327" t="n">
        <v>50755</v>
      </c>
      <c r="F327" t="n">
        <v>80.06</v>
      </c>
      <c r="G327" t="n">
        <v>652</v>
      </c>
      <c r="H327" t="n">
        <v>541</v>
      </c>
      <c r="I327" t="n">
        <v>803</v>
      </c>
      <c r="J327" t="n">
        <v>0.7</v>
      </c>
      <c r="K327" t="n">
        <v>401</v>
      </c>
      <c r="L327" t="n">
        <v>233</v>
      </c>
      <c r="M327" t="n">
        <v>612</v>
      </c>
    </row>
    <row r="328">
      <c r="A328" t="inlineStr">
        <is>
          <t>CA</t>
        </is>
      </c>
      <c r="B328" t="inlineStr">
        <is>
          <t>W15</t>
        </is>
      </c>
      <c r="C328" t="n">
        <v>15</v>
      </c>
      <c r="D328" t="n">
        <v>680</v>
      </c>
      <c r="E328" t="n">
        <v>56443</v>
      </c>
      <c r="F328" t="n">
        <v>83</v>
      </c>
      <c r="G328" t="n">
        <v>667</v>
      </c>
      <c r="H328" t="n">
        <v>502</v>
      </c>
      <c r="I328" t="n">
        <v>811</v>
      </c>
      <c r="J328" t="n">
        <v>0.7</v>
      </c>
      <c r="K328" t="n">
        <v>422</v>
      </c>
      <c r="L328" t="n">
        <v>258</v>
      </c>
      <c r="M328" t="n">
        <v>612</v>
      </c>
    </row>
    <row r="329">
      <c r="A329" t="inlineStr">
        <is>
          <t>CA</t>
        </is>
      </c>
      <c r="B329" t="inlineStr">
        <is>
          <t>W16</t>
        </is>
      </c>
      <c r="C329" t="n">
        <v>16</v>
      </c>
      <c r="G329" t="n">
        <v>661</v>
      </c>
      <c r="H329" t="n">
        <v>599</v>
      </c>
      <c r="I329" t="n">
        <v>721</v>
      </c>
      <c r="J329" t="n">
        <v>0.7</v>
      </c>
      <c r="M329" t="n">
        <v>612</v>
      </c>
    </row>
    <row r="330">
      <c r="A330" t="inlineStr">
        <is>
          <t>CA</t>
        </is>
      </c>
      <c r="B330" t="inlineStr">
        <is>
          <t>W17</t>
        </is>
      </c>
      <c r="C330" t="n">
        <v>17</v>
      </c>
      <c r="G330" t="n">
        <v>665</v>
      </c>
      <c r="H330" t="n">
        <v>565</v>
      </c>
      <c r="I330" t="n">
        <v>751</v>
      </c>
      <c r="J330" t="n">
        <v>0.7</v>
      </c>
      <c r="M330" t="n">
        <v>612</v>
      </c>
    </row>
    <row r="331">
      <c r="A331" t="inlineStr">
        <is>
          <t>CA</t>
        </is>
      </c>
      <c r="B331" t="inlineStr">
        <is>
          <t>W18</t>
        </is>
      </c>
      <c r="C331" t="n">
        <v>18</v>
      </c>
      <c r="G331" t="n">
        <v>653</v>
      </c>
      <c r="H331" t="n">
        <v>555</v>
      </c>
      <c r="I331" t="n">
        <v>738</v>
      </c>
      <c r="J331" t="n">
        <v>0.7</v>
      </c>
      <c r="M331" t="n">
        <v>544</v>
      </c>
    </row>
    <row r="332">
      <c r="A332" t="inlineStr">
        <is>
          <t>CA</t>
        </is>
      </c>
      <c r="B332" t="inlineStr">
        <is>
          <t>W19</t>
        </is>
      </c>
      <c r="C332" t="n">
        <v>19</v>
      </c>
      <c r="G332" t="n">
        <v>679</v>
      </c>
      <c r="H332" t="n">
        <v>578</v>
      </c>
      <c r="I332" t="n">
        <v>767</v>
      </c>
      <c r="J332" t="n">
        <v>0.7</v>
      </c>
      <c r="M332" t="n">
        <v>544</v>
      </c>
    </row>
    <row r="333">
      <c r="A333" t="inlineStr">
        <is>
          <t>CA</t>
        </is>
      </c>
      <c r="B333" t="inlineStr">
        <is>
          <t>W20</t>
        </is>
      </c>
      <c r="C333" t="n">
        <v>20</v>
      </c>
      <c r="G333" t="n">
        <v>649</v>
      </c>
      <c r="H333" t="n">
        <v>552</v>
      </c>
      <c r="I333" t="n">
        <v>733</v>
      </c>
      <c r="J333" t="n">
        <v>0.7</v>
      </c>
      <c r="M333" t="n">
        <v>544</v>
      </c>
    </row>
    <row r="334">
      <c r="A334" t="inlineStr">
        <is>
          <t>CA</t>
        </is>
      </c>
      <c r="B334" t="inlineStr">
        <is>
          <t>W21</t>
        </is>
      </c>
      <c r="C334" t="n">
        <v>21</v>
      </c>
      <c r="G334" t="n">
        <v>703</v>
      </c>
      <c r="H334" t="n">
        <v>598</v>
      </c>
      <c r="I334" t="n">
        <v>794</v>
      </c>
      <c r="J334" t="n">
        <v>0.7</v>
      </c>
      <c r="M334" t="n">
        <v>544</v>
      </c>
    </row>
    <row r="335">
      <c r="A335" t="inlineStr">
        <is>
          <t>CA</t>
        </is>
      </c>
      <c r="B335" t="inlineStr">
        <is>
          <t>W22</t>
        </is>
      </c>
      <c r="C335" t="n">
        <v>22</v>
      </c>
      <c r="G335" t="n">
        <v>675</v>
      </c>
      <c r="H335" t="n">
        <v>574</v>
      </c>
      <c r="I335" t="n">
        <v>763</v>
      </c>
      <c r="J335" t="n">
        <v>0.7</v>
      </c>
      <c r="M335" t="n">
        <v>544</v>
      </c>
    </row>
    <row r="336">
      <c r="A336" t="inlineStr">
        <is>
          <t>CA</t>
        </is>
      </c>
      <c r="B336" t="inlineStr">
        <is>
          <t>W23</t>
        </is>
      </c>
      <c r="C336" t="n">
        <v>23</v>
      </c>
      <c r="G336" t="n">
        <v>645</v>
      </c>
      <c r="H336" t="n">
        <v>548</v>
      </c>
      <c r="I336" t="n">
        <v>729</v>
      </c>
      <c r="J336" t="n">
        <v>0.7</v>
      </c>
      <c r="M336" t="n">
        <v>674</v>
      </c>
    </row>
    <row r="337">
      <c r="A337" t="inlineStr">
        <is>
          <t>CA</t>
        </is>
      </c>
      <c r="B337" t="inlineStr">
        <is>
          <t>W24</t>
        </is>
      </c>
      <c r="C337" t="n">
        <v>24</v>
      </c>
      <c r="G337" t="n">
        <v>727</v>
      </c>
      <c r="H337" t="n">
        <v>618</v>
      </c>
      <c r="I337" t="n">
        <v>821</v>
      </c>
      <c r="J337" t="n">
        <v>0.7</v>
      </c>
      <c r="M337" t="n">
        <v>674</v>
      </c>
    </row>
    <row r="338">
      <c r="A338" t="inlineStr">
        <is>
          <t>CA</t>
        </is>
      </c>
      <c r="B338" t="inlineStr">
        <is>
          <t>W25</t>
        </is>
      </c>
      <c r="C338" t="n">
        <v>25</v>
      </c>
      <c r="G338" t="n">
        <v>720</v>
      </c>
      <c r="H338" t="n">
        <v>612</v>
      </c>
      <c r="I338" t="n">
        <v>813</v>
      </c>
      <c r="J338" t="n">
        <v>0.7</v>
      </c>
      <c r="M338" t="n">
        <v>674</v>
      </c>
    </row>
    <row r="339">
      <c r="A339" t="inlineStr">
        <is>
          <t>CA</t>
        </is>
      </c>
      <c r="B339" t="inlineStr">
        <is>
          <t>W26</t>
        </is>
      </c>
      <c r="C339" t="n">
        <v>26</v>
      </c>
      <c r="G339" t="n">
        <v>822</v>
      </c>
      <c r="H339" t="n">
        <v>699</v>
      </c>
      <c r="I339" t="n">
        <v>929</v>
      </c>
      <c r="J339" t="n">
        <v>0.7</v>
      </c>
      <c r="M339" t="n">
        <v>674</v>
      </c>
    </row>
    <row r="340">
      <c r="A340" t="inlineStr">
        <is>
          <t>CA</t>
        </is>
      </c>
      <c r="B340" t="inlineStr">
        <is>
          <t>W27</t>
        </is>
      </c>
      <c r="C340" t="n">
        <v>27</v>
      </c>
      <c r="G340" t="n">
        <v>816</v>
      </c>
      <c r="H340" t="n">
        <v>693</v>
      </c>
      <c r="I340" t="n">
        <v>921</v>
      </c>
      <c r="J340" t="n">
        <v>0.7</v>
      </c>
      <c r="M340" t="n">
        <v>613</v>
      </c>
    </row>
    <row r="341">
      <c r="A341" t="inlineStr">
        <is>
          <t>CA</t>
        </is>
      </c>
      <c r="B341" t="inlineStr">
        <is>
          <t>W28</t>
        </is>
      </c>
      <c r="C341" t="n">
        <v>28</v>
      </c>
      <c r="G341" t="n">
        <v>778</v>
      </c>
      <c r="H341" t="n">
        <v>661</v>
      </c>
      <c r="I341" t="n">
        <v>878</v>
      </c>
      <c r="J341" t="n">
        <v>0.7</v>
      </c>
      <c r="M341" t="n">
        <v>613</v>
      </c>
    </row>
    <row r="342">
      <c r="A342" t="inlineStr">
        <is>
          <t>CA</t>
        </is>
      </c>
      <c r="B342" t="inlineStr">
        <is>
          <t>W29</t>
        </is>
      </c>
      <c r="C342" t="n">
        <v>29</v>
      </c>
      <c r="G342" t="n">
        <v>770</v>
      </c>
      <c r="H342" t="n">
        <v>654</v>
      </c>
      <c r="I342" t="n">
        <v>869</v>
      </c>
      <c r="J342" t="n">
        <v>0.7</v>
      </c>
      <c r="M342" t="n">
        <v>613</v>
      </c>
    </row>
    <row r="343">
      <c r="A343" t="inlineStr">
        <is>
          <t>CA</t>
        </is>
      </c>
      <c r="B343" t="inlineStr">
        <is>
          <t>W30</t>
        </is>
      </c>
      <c r="C343" t="n">
        <v>30</v>
      </c>
      <c r="G343" t="n">
        <v>717</v>
      </c>
      <c r="H343" t="n">
        <v>610</v>
      </c>
      <c r="I343" t="n">
        <v>810</v>
      </c>
      <c r="J343" t="n">
        <v>0.7</v>
      </c>
      <c r="M343" t="n">
        <v>613</v>
      </c>
    </row>
    <row r="344">
      <c r="A344" t="inlineStr">
        <is>
          <t>CA</t>
        </is>
      </c>
      <c r="B344" t="inlineStr">
        <is>
          <t>W31</t>
        </is>
      </c>
      <c r="C344" t="n">
        <v>31</v>
      </c>
      <c r="G344" t="n">
        <v>733</v>
      </c>
      <c r="H344" t="n">
        <v>624</v>
      </c>
      <c r="I344" t="n">
        <v>828</v>
      </c>
      <c r="J344" t="n">
        <v>0.7</v>
      </c>
      <c r="M344" t="n">
        <v>613</v>
      </c>
    </row>
    <row r="345">
      <c r="A345" t="inlineStr">
        <is>
          <t>CA</t>
        </is>
      </c>
      <c r="B345" t="inlineStr">
        <is>
          <t>W32</t>
        </is>
      </c>
      <c r="C345" t="n">
        <v>32</v>
      </c>
      <c r="G345" t="n">
        <v>696</v>
      </c>
      <c r="H345" t="n">
        <v>591</v>
      </c>
      <c r="I345" t="n">
        <v>786</v>
      </c>
      <c r="J345" t="n">
        <v>0.7</v>
      </c>
      <c r="M345" t="n">
        <v>737</v>
      </c>
    </row>
    <row r="346">
      <c r="A346" t="inlineStr">
        <is>
          <t>CA</t>
        </is>
      </c>
      <c r="B346" t="inlineStr">
        <is>
          <t>W33</t>
        </is>
      </c>
      <c r="C346" t="n">
        <v>33</v>
      </c>
      <c r="G346" t="n">
        <v>679</v>
      </c>
      <c r="H346" t="n">
        <v>577</v>
      </c>
      <c r="I346" t="n">
        <v>766</v>
      </c>
      <c r="J346" t="n">
        <v>0.7</v>
      </c>
      <c r="M346" t="n">
        <v>737</v>
      </c>
    </row>
    <row r="347">
      <c r="A347" t="inlineStr">
        <is>
          <t>CA</t>
        </is>
      </c>
      <c r="B347" t="inlineStr">
        <is>
          <t>W34</t>
        </is>
      </c>
      <c r="C347" t="n">
        <v>34</v>
      </c>
      <c r="G347" t="n">
        <v>677</v>
      </c>
      <c r="H347" t="n">
        <v>576</v>
      </c>
      <c r="I347" t="n">
        <v>766</v>
      </c>
      <c r="J347" t="n">
        <v>0.7</v>
      </c>
      <c r="M347" t="n">
        <v>737</v>
      </c>
    </row>
    <row r="348">
      <c r="A348" t="inlineStr">
        <is>
          <t>CA</t>
        </is>
      </c>
      <c r="B348" t="inlineStr">
        <is>
          <t>W35</t>
        </is>
      </c>
      <c r="C348" t="n">
        <v>35</v>
      </c>
      <c r="G348" t="n">
        <v>734</v>
      </c>
      <c r="H348" t="n">
        <v>624</v>
      </c>
      <c r="I348" t="n">
        <v>829</v>
      </c>
      <c r="J348" t="n">
        <v>0.7</v>
      </c>
      <c r="M348" t="n">
        <v>737</v>
      </c>
    </row>
    <row r="349">
      <c r="A349" t="inlineStr">
        <is>
          <t>CA</t>
        </is>
      </c>
      <c r="B349" t="inlineStr">
        <is>
          <t>W36</t>
        </is>
      </c>
      <c r="C349" t="n">
        <v>36</v>
      </c>
      <c r="G349" t="n">
        <v>735</v>
      </c>
      <c r="H349" t="n">
        <v>625</v>
      </c>
      <c r="I349" t="n">
        <v>830</v>
      </c>
      <c r="J349" t="n">
        <v>0.7</v>
      </c>
      <c r="M349" t="n">
        <v>824</v>
      </c>
    </row>
    <row r="350">
      <c r="A350" t="inlineStr">
        <is>
          <t>CA</t>
        </is>
      </c>
      <c r="B350" t="inlineStr">
        <is>
          <t>W37</t>
        </is>
      </c>
      <c r="C350" t="n">
        <v>37</v>
      </c>
      <c r="G350" t="n">
        <v>770</v>
      </c>
      <c r="H350" t="n">
        <v>654</v>
      </c>
      <c r="I350" t="n">
        <v>869</v>
      </c>
      <c r="J350" t="n">
        <v>0.7</v>
      </c>
      <c r="M350" t="n">
        <v>824</v>
      </c>
    </row>
    <row r="351">
      <c r="A351" t="inlineStr">
        <is>
          <t>CA</t>
        </is>
      </c>
      <c r="B351" t="inlineStr">
        <is>
          <t>W38</t>
        </is>
      </c>
      <c r="C351" t="n">
        <v>38</v>
      </c>
      <c r="G351" t="n">
        <v>778</v>
      </c>
      <c r="H351" t="n">
        <v>662</v>
      </c>
      <c r="I351" t="n">
        <v>879</v>
      </c>
      <c r="J351" t="n">
        <v>0.7</v>
      </c>
      <c r="M351" t="n">
        <v>824</v>
      </c>
    </row>
    <row r="352">
      <c r="A352" t="inlineStr">
        <is>
          <t>CA</t>
        </is>
      </c>
      <c r="B352" t="inlineStr">
        <is>
          <t>W39</t>
        </is>
      </c>
      <c r="C352" t="n">
        <v>39</v>
      </c>
      <c r="G352" t="n">
        <v>753</v>
      </c>
      <c r="H352" t="n">
        <v>641</v>
      </c>
      <c r="I352" t="n">
        <v>851</v>
      </c>
      <c r="J352" t="n">
        <v>0.7</v>
      </c>
      <c r="M352" t="n">
        <v>824</v>
      </c>
    </row>
    <row r="353">
      <c r="A353" t="inlineStr">
        <is>
          <t>CA</t>
        </is>
      </c>
      <c r="B353" t="inlineStr">
        <is>
          <t>W40</t>
        </is>
      </c>
      <c r="C353" t="n">
        <v>40</v>
      </c>
      <c r="G353" t="n">
        <v>775</v>
      </c>
      <c r="H353" t="n">
        <v>659</v>
      </c>
      <c r="I353" t="n">
        <v>875</v>
      </c>
      <c r="J353" t="n">
        <v>0.7</v>
      </c>
      <c r="M353" t="n">
        <v>710</v>
      </c>
    </row>
    <row r="354">
      <c r="A354" t="inlineStr">
        <is>
          <t>CA</t>
        </is>
      </c>
      <c r="B354" t="inlineStr">
        <is>
          <t>W41</t>
        </is>
      </c>
      <c r="C354" t="n">
        <v>41</v>
      </c>
      <c r="G354" t="n">
        <v>740</v>
      </c>
      <c r="H354" t="n">
        <v>630</v>
      </c>
      <c r="I354" t="n">
        <v>836</v>
      </c>
      <c r="J354" t="n">
        <v>0.7</v>
      </c>
      <c r="M354" t="n">
        <v>710</v>
      </c>
    </row>
    <row r="355">
      <c r="A355" t="inlineStr">
        <is>
          <t>CA</t>
        </is>
      </c>
      <c r="B355" t="inlineStr">
        <is>
          <t>W42</t>
        </is>
      </c>
      <c r="C355" t="n">
        <v>42</v>
      </c>
      <c r="G355" t="n">
        <v>734</v>
      </c>
      <c r="H355" t="n">
        <v>624</v>
      </c>
      <c r="I355" t="n">
        <v>829</v>
      </c>
      <c r="J355" t="n">
        <v>0.7</v>
      </c>
      <c r="M355" t="n">
        <v>710</v>
      </c>
    </row>
    <row r="356">
      <c r="A356" t="inlineStr">
        <is>
          <t>CA</t>
        </is>
      </c>
      <c r="B356" t="inlineStr">
        <is>
          <t>W43</t>
        </is>
      </c>
      <c r="C356" t="n">
        <v>43</v>
      </c>
      <c r="G356" t="n">
        <v>717</v>
      </c>
      <c r="H356" t="n">
        <v>610</v>
      </c>
      <c r="I356" t="n">
        <v>810</v>
      </c>
      <c r="J356" t="n">
        <v>0.7</v>
      </c>
      <c r="M356" t="n">
        <v>710</v>
      </c>
    </row>
    <row r="357">
      <c r="A357" t="inlineStr">
        <is>
          <t>CA</t>
        </is>
      </c>
      <c r="B357" t="inlineStr">
        <is>
          <t>W44</t>
        </is>
      </c>
      <c r="C357" t="n">
        <v>44</v>
      </c>
      <c r="G357" t="n">
        <v>720</v>
      </c>
      <c r="H357" t="n">
        <v>613</v>
      </c>
      <c r="I357" t="n">
        <v>814</v>
      </c>
      <c r="J357" t="n">
        <v>0.7</v>
      </c>
      <c r="M357" t="n">
        <v>710</v>
      </c>
    </row>
    <row r="358">
      <c r="A358" t="inlineStr">
        <is>
          <t>CA</t>
        </is>
      </c>
      <c r="B358" t="inlineStr">
        <is>
          <t>W45</t>
        </is>
      </c>
      <c r="C358" t="n">
        <v>45</v>
      </c>
      <c r="G358" t="n">
        <v>736</v>
      </c>
      <c r="H358" t="n">
        <v>626</v>
      </c>
      <c r="I358" t="n">
        <v>831</v>
      </c>
      <c r="J358" t="n">
        <v>0.7</v>
      </c>
      <c r="M358" t="n">
        <v>720</v>
      </c>
    </row>
    <row r="359">
      <c r="A359" t="inlineStr">
        <is>
          <t>CA</t>
        </is>
      </c>
      <c r="B359" t="inlineStr">
        <is>
          <t>W46</t>
        </is>
      </c>
      <c r="C359" t="n">
        <v>46</v>
      </c>
      <c r="G359" t="n">
        <v>695</v>
      </c>
      <c r="H359" t="n">
        <v>591</v>
      </c>
      <c r="I359" t="n">
        <v>785</v>
      </c>
      <c r="J359" t="n">
        <v>0.7</v>
      </c>
      <c r="M359" t="n">
        <v>720</v>
      </c>
    </row>
    <row r="360">
      <c r="A360" t="inlineStr">
        <is>
          <t>CA</t>
        </is>
      </c>
      <c r="B360" t="inlineStr">
        <is>
          <t>W47</t>
        </is>
      </c>
      <c r="C360" t="n">
        <v>47</v>
      </c>
      <c r="G360" t="n">
        <v>667</v>
      </c>
      <c r="H360" t="n">
        <v>567</v>
      </c>
      <c r="I360" t="n">
        <v>753</v>
      </c>
      <c r="J360" t="n">
        <v>0.7</v>
      </c>
      <c r="M360" t="n">
        <v>720</v>
      </c>
    </row>
    <row r="361">
      <c r="A361" t="inlineStr">
        <is>
          <t>CA</t>
        </is>
      </c>
      <c r="B361" t="inlineStr">
        <is>
          <t>W48</t>
        </is>
      </c>
      <c r="C361" t="n">
        <v>48</v>
      </c>
      <c r="G361" t="n">
        <v>648</v>
      </c>
      <c r="H361" t="n">
        <v>551</v>
      </c>
      <c r="I361" t="n">
        <v>732</v>
      </c>
      <c r="J361" t="n">
        <v>0.7</v>
      </c>
      <c r="M361" t="n">
        <v>720</v>
      </c>
    </row>
    <row r="362">
      <c r="A362" t="inlineStr">
        <is>
          <t>CA</t>
        </is>
      </c>
      <c r="B362" t="inlineStr">
        <is>
          <t>W49</t>
        </is>
      </c>
      <c r="C362" t="n">
        <v>49</v>
      </c>
      <c r="G362" t="n">
        <v>588</v>
      </c>
      <c r="H362" t="n">
        <v>500</v>
      </c>
      <c r="I362" t="n">
        <v>665</v>
      </c>
      <c r="J362" t="n">
        <v>0.7</v>
      </c>
      <c r="M362" t="n">
        <v>644</v>
      </c>
    </row>
    <row r="363">
      <c r="A363" t="inlineStr">
        <is>
          <t>CA</t>
        </is>
      </c>
      <c r="B363" t="inlineStr">
        <is>
          <t>W50</t>
        </is>
      </c>
      <c r="C363" t="n">
        <v>50</v>
      </c>
      <c r="G363" t="n">
        <v>511</v>
      </c>
      <c r="H363" t="n">
        <v>435</v>
      </c>
      <c r="I363" t="n">
        <v>578</v>
      </c>
      <c r="J363" t="n">
        <v>0.7</v>
      </c>
      <c r="M363" t="n">
        <v>644</v>
      </c>
    </row>
    <row r="364">
      <c r="A364" t="inlineStr">
        <is>
          <t>CA</t>
        </is>
      </c>
      <c r="B364" t="inlineStr">
        <is>
          <t>W51</t>
        </is>
      </c>
      <c r="C364" t="n">
        <v>51</v>
      </c>
      <c r="G364" t="n">
        <v>583</v>
      </c>
      <c r="H364" t="n">
        <v>496</v>
      </c>
      <c r="I364" t="n">
        <v>659</v>
      </c>
      <c r="J364" t="n">
        <v>0.7</v>
      </c>
      <c r="M364" t="n">
        <v>644</v>
      </c>
    </row>
    <row r="365">
      <c r="A365" t="inlineStr">
        <is>
          <t>CA</t>
        </is>
      </c>
      <c r="B365" t="inlineStr">
        <is>
          <t>W52</t>
        </is>
      </c>
      <c r="C365" t="n">
        <v>52</v>
      </c>
      <c r="G365" t="n">
        <v>683</v>
      </c>
      <c r="H365" t="n">
        <v>581</v>
      </c>
      <c r="I365" t="n">
        <v>772</v>
      </c>
      <c r="J365" t="n">
        <v>0.7</v>
      </c>
      <c r="M365" t="n">
        <v>644</v>
      </c>
    </row>
    <row r="366">
      <c r="A366" t="inlineStr">
        <is>
          <t>JP</t>
        </is>
      </c>
      <c r="B366" t="inlineStr">
        <is>
          <t>W1</t>
        </is>
      </c>
      <c r="C366" t="n">
        <v>1</v>
      </c>
      <c r="D366" t="n">
        <v>289</v>
      </c>
      <c r="E366" t="n">
        <v>13804</v>
      </c>
      <c r="F366" t="n">
        <v>47.76</v>
      </c>
      <c r="G366" t="n">
        <v>233</v>
      </c>
      <c r="H366" t="n">
        <v>152</v>
      </c>
      <c r="I366" t="n">
        <v>321</v>
      </c>
      <c r="J366" t="n">
        <v>0.7</v>
      </c>
      <c r="K366" t="n">
        <v>287</v>
      </c>
      <c r="L366" t="n">
        <v>2</v>
      </c>
      <c r="M366" t="n">
        <v>751</v>
      </c>
    </row>
    <row r="367">
      <c r="A367" t="inlineStr">
        <is>
          <t>JP</t>
        </is>
      </c>
      <c r="B367" t="inlineStr">
        <is>
          <t>W2</t>
        </is>
      </c>
      <c r="C367" t="n">
        <v>2</v>
      </c>
      <c r="D367" t="n">
        <v>1003</v>
      </c>
      <c r="E367" t="n">
        <v>39541</v>
      </c>
      <c r="F367" t="n">
        <v>39.42</v>
      </c>
      <c r="G367" t="n">
        <v>750</v>
      </c>
      <c r="H367" t="n">
        <v>372</v>
      </c>
      <c r="I367" t="n">
        <v>811</v>
      </c>
      <c r="J367" t="n">
        <v>0.7</v>
      </c>
      <c r="K367" t="n">
        <v>1002</v>
      </c>
      <c r="L367" t="n">
        <v>1</v>
      </c>
      <c r="M367" t="n">
        <v>751</v>
      </c>
    </row>
    <row r="368">
      <c r="A368" t="inlineStr">
        <is>
          <t>JP</t>
        </is>
      </c>
      <c r="B368" t="inlineStr">
        <is>
          <t>W3</t>
        </is>
      </c>
      <c r="C368" t="n">
        <v>3</v>
      </c>
      <c r="D368" t="n">
        <v>972</v>
      </c>
      <c r="E368" t="n">
        <v>31015</v>
      </c>
      <c r="F368" t="n">
        <v>31.91</v>
      </c>
      <c r="G368" t="n">
        <v>710</v>
      </c>
      <c r="H368" t="n">
        <v>398</v>
      </c>
      <c r="I368" t="n">
        <v>868</v>
      </c>
      <c r="J368" t="n">
        <v>0.7</v>
      </c>
      <c r="K368" t="n">
        <v>970</v>
      </c>
      <c r="L368" t="n">
        <v>2</v>
      </c>
      <c r="M368" t="n">
        <v>751</v>
      </c>
    </row>
    <row r="369">
      <c r="A369" t="inlineStr">
        <is>
          <t>JP</t>
        </is>
      </c>
      <c r="B369" t="inlineStr">
        <is>
          <t>W4</t>
        </is>
      </c>
      <c r="C369" t="n">
        <v>4</v>
      </c>
      <c r="D369" t="n">
        <v>1044</v>
      </c>
      <c r="E369" t="n">
        <v>37754</v>
      </c>
      <c r="F369" t="n">
        <v>36.16</v>
      </c>
      <c r="G369" t="n">
        <v>590</v>
      </c>
      <c r="H369" t="n">
        <v>424</v>
      </c>
      <c r="I369" t="n">
        <v>921</v>
      </c>
      <c r="J369" t="n">
        <v>0.7</v>
      </c>
      <c r="K369" t="n">
        <v>1043</v>
      </c>
      <c r="L369" t="n">
        <v>1</v>
      </c>
      <c r="M369" t="n">
        <v>751</v>
      </c>
    </row>
    <row r="370">
      <c r="A370" t="inlineStr">
        <is>
          <t>JP</t>
        </is>
      </c>
      <c r="B370" t="inlineStr">
        <is>
          <t>W5</t>
        </is>
      </c>
      <c r="C370" t="n">
        <v>5</v>
      </c>
      <c r="D370" t="n">
        <v>1004</v>
      </c>
      <c r="E370" t="n">
        <v>33739</v>
      </c>
      <c r="F370" t="n">
        <v>33.6</v>
      </c>
      <c r="G370" t="n">
        <v>507</v>
      </c>
      <c r="H370" t="n">
        <v>415</v>
      </c>
      <c r="I370" t="n">
        <v>906</v>
      </c>
      <c r="J370" t="n">
        <v>0.7</v>
      </c>
      <c r="K370" t="n">
        <v>1004</v>
      </c>
      <c r="L370" t="n">
        <v>0</v>
      </c>
      <c r="M370" t="n">
        <v>741</v>
      </c>
    </row>
    <row r="371">
      <c r="A371" t="inlineStr">
        <is>
          <t>JP</t>
        </is>
      </c>
      <c r="B371" t="inlineStr">
        <is>
          <t>W6</t>
        </is>
      </c>
      <c r="C371" t="n">
        <v>6</v>
      </c>
      <c r="D371" t="n">
        <v>495</v>
      </c>
      <c r="E371" t="n">
        <v>32933</v>
      </c>
      <c r="F371" t="n">
        <v>66.53</v>
      </c>
      <c r="G371" t="n">
        <v>556</v>
      </c>
      <c r="H371" t="n">
        <v>361</v>
      </c>
      <c r="I371" t="n">
        <v>760</v>
      </c>
      <c r="J371" t="n">
        <v>0.7</v>
      </c>
      <c r="K371" t="n">
        <v>495</v>
      </c>
      <c r="L371" t="n">
        <v>0</v>
      </c>
      <c r="M371" t="n">
        <v>741</v>
      </c>
    </row>
    <row r="372">
      <c r="A372" t="inlineStr">
        <is>
          <t>JP</t>
        </is>
      </c>
      <c r="B372" t="inlineStr">
        <is>
          <t>W7</t>
        </is>
      </c>
      <c r="C372" t="n">
        <v>7</v>
      </c>
      <c r="D372" t="n">
        <v>435</v>
      </c>
      <c r="E372" t="n">
        <v>28287</v>
      </c>
      <c r="F372" t="n">
        <v>65.03</v>
      </c>
      <c r="G372" t="n">
        <v>602</v>
      </c>
      <c r="H372" t="n">
        <v>331</v>
      </c>
      <c r="I372" t="n">
        <v>714</v>
      </c>
      <c r="J372" t="n">
        <v>0.7</v>
      </c>
      <c r="K372" t="n">
        <v>435</v>
      </c>
      <c r="L372" t="n">
        <v>0</v>
      </c>
      <c r="M372" t="n">
        <v>741</v>
      </c>
    </row>
    <row r="373">
      <c r="A373" t="inlineStr">
        <is>
          <t>JP</t>
        </is>
      </c>
      <c r="B373" t="inlineStr">
        <is>
          <t>W8</t>
        </is>
      </c>
      <c r="C373" t="n">
        <v>8</v>
      </c>
      <c r="D373" t="n">
        <v>439</v>
      </c>
      <c r="E373" t="n">
        <v>29473</v>
      </c>
      <c r="F373" t="n">
        <v>67.14</v>
      </c>
      <c r="G373" t="n">
        <v>626</v>
      </c>
      <c r="H373" t="n">
        <v>315</v>
      </c>
      <c r="I373" t="n">
        <v>689</v>
      </c>
      <c r="J373" t="n">
        <v>0.7</v>
      </c>
      <c r="K373" t="n">
        <v>439</v>
      </c>
      <c r="L373" t="n">
        <v>0</v>
      </c>
      <c r="M373" t="n">
        <v>741</v>
      </c>
    </row>
    <row r="374">
      <c r="A374" t="inlineStr">
        <is>
          <t>JP</t>
        </is>
      </c>
      <c r="B374" t="inlineStr">
        <is>
          <t>W9</t>
        </is>
      </c>
      <c r="C374" t="n">
        <v>9</v>
      </c>
      <c r="D374" t="n">
        <v>404</v>
      </c>
      <c r="E374" t="n">
        <v>30296</v>
      </c>
      <c r="F374" t="n">
        <v>74.98999999999999</v>
      </c>
      <c r="G374" t="n">
        <v>578</v>
      </c>
      <c r="H374" t="n">
        <v>305</v>
      </c>
      <c r="I374" t="n">
        <v>670</v>
      </c>
      <c r="J374" t="n">
        <v>0.7</v>
      </c>
      <c r="K374" t="n">
        <v>404</v>
      </c>
      <c r="L374" t="n">
        <v>0</v>
      </c>
      <c r="M374" t="n">
        <v>472</v>
      </c>
    </row>
    <row r="375">
      <c r="A375" t="inlineStr">
        <is>
          <t>JP</t>
        </is>
      </c>
      <c r="B375" t="inlineStr">
        <is>
          <t>W10</t>
        </is>
      </c>
      <c r="C375" t="n">
        <v>10</v>
      </c>
      <c r="D375" t="n">
        <v>526</v>
      </c>
      <c r="E375" t="n">
        <v>39247</v>
      </c>
      <c r="F375" t="n">
        <v>74.61</v>
      </c>
      <c r="G375" t="n">
        <v>568</v>
      </c>
      <c r="H375" t="n">
        <v>349</v>
      </c>
      <c r="I375" t="n">
        <v>756</v>
      </c>
      <c r="J375" t="n">
        <v>0.7</v>
      </c>
      <c r="K375" t="n">
        <v>525</v>
      </c>
      <c r="L375" t="n">
        <v>1</v>
      </c>
      <c r="M375" t="n">
        <v>472</v>
      </c>
    </row>
    <row r="376">
      <c r="A376" t="inlineStr">
        <is>
          <t>JP</t>
        </is>
      </c>
      <c r="B376" t="inlineStr">
        <is>
          <t>W11</t>
        </is>
      </c>
      <c r="C376" t="n">
        <v>11</v>
      </c>
      <c r="D376" t="n">
        <v>513</v>
      </c>
      <c r="E376" t="n">
        <v>38339</v>
      </c>
      <c r="F376" t="n">
        <v>74.73</v>
      </c>
      <c r="G376" t="n">
        <v>538</v>
      </c>
      <c r="H376" t="n">
        <v>348</v>
      </c>
      <c r="I376" t="n">
        <v>755</v>
      </c>
      <c r="J376" t="n">
        <v>0.7</v>
      </c>
      <c r="K376" t="n">
        <v>508</v>
      </c>
      <c r="L376" t="n">
        <v>5</v>
      </c>
      <c r="M376" t="n">
        <v>472</v>
      </c>
    </row>
    <row r="377">
      <c r="A377" t="inlineStr">
        <is>
          <t>JP</t>
        </is>
      </c>
      <c r="B377" t="inlineStr">
        <is>
          <t>W12</t>
        </is>
      </c>
      <c r="C377" t="n">
        <v>12</v>
      </c>
      <c r="D377" t="n">
        <v>423</v>
      </c>
      <c r="E377" t="n">
        <v>36527</v>
      </c>
      <c r="F377" t="n">
        <v>86.34999999999999</v>
      </c>
      <c r="G377" t="n">
        <v>432</v>
      </c>
      <c r="H377" t="n">
        <v>283</v>
      </c>
      <c r="I377" t="n">
        <v>613</v>
      </c>
      <c r="J377" t="n">
        <v>0.7</v>
      </c>
      <c r="K377" t="n">
        <v>420</v>
      </c>
      <c r="L377" t="n">
        <v>3</v>
      </c>
      <c r="M377" t="n">
        <v>472</v>
      </c>
    </row>
    <row r="378">
      <c r="A378" t="inlineStr">
        <is>
          <t>JP</t>
        </is>
      </c>
      <c r="B378" t="inlineStr">
        <is>
          <t>W13</t>
        </is>
      </c>
      <c r="C378" t="n">
        <v>13</v>
      </c>
      <c r="D378" t="n">
        <v>545</v>
      </c>
      <c r="E378" t="n">
        <v>47457</v>
      </c>
      <c r="F378" t="n">
        <v>87.08</v>
      </c>
      <c r="G378" t="n">
        <v>492</v>
      </c>
      <c r="H378" t="n">
        <v>312</v>
      </c>
      <c r="I378" t="n">
        <v>678</v>
      </c>
      <c r="J378" t="n">
        <v>0.7</v>
      </c>
      <c r="K378" t="n">
        <v>537</v>
      </c>
      <c r="L378" t="n">
        <v>8</v>
      </c>
      <c r="M378" t="n">
        <v>472</v>
      </c>
    </row>
    <row r="379">
      <c r="A379" t="inlineStr">
        <is>
          <t>JP</t>
        </is>
      </c>
      <c r="B379" t="inlineStr">
        <is>
          <t>W14</t>
        </is>
      </c>
      <c r="C379" t="n">
        <v>14</v>
      </c>
      <c r="D379" t="n">
        <v>606</v>
      </c>
      <c r="E379" t="n">
        <v>45776</v>
      </c>
      <c r="F379" t="n">
        <v>75.54000000000001</v>
      </c>
      <c r="G379" t="n">
        <v>570</v>
      </c>
      <c r="H379" t="n">
        <v>359</v>
      </c>
      <c r="I379" t="n">
        <v>776</v>
      </c>
      <c r="J379" t="n">
        <v>0.7</v>
      </c>
      <c r="K379" t="n">
        <v>599</v>
      </c>
      <c r="L379" t="n">
        <v>7</v>
      </c>
      <c r="M379" t="n">
        <v>480</v>
      </c>
    </row>
    <row r="380">
      <c r="A380" t="inlineStr">
        <is>
          <t>JP</t>
        </is>
      </c>
      <c r="B380" t="inlineStr">
        <is>
          <t>W15</t>
        </is>
      </c>
      <c r="C380" t="n">
        <v>15</v>
      </c>
      <c r="D380" t="n">
        <v>595</v>
      </c>
      <c r="E380" t="n">
        <v>40547</v>
      </c>
      <c r="F380" t="n">
        <v>68.15000000000001</v>
      </c>
      <c r="G380" t="n">
        <v>504</v>
      </c>
      <c r="H380" t="n">
        <v>205</v>
      </c>
      <c r="I380" t="n">
        <v>854</v>
      </c>
      <c r="J380" t="n">
        <v>0.7</v>
      </c>
      <c r="K380" t="n">
        <v>591</v>
      </c>
      <c r="L380" t="n">
        <v>4</v>
      </c>
      <c r="M380" t="n">
        <v>480</v>
      </c>
    </row>
    <row r="381">
      <c r="A381" t="inlineStr">
        <is>
          <t>JP</t>
        </is>
      </c>
      <c r="B381" t="inlineStr">
        <is>
          <t>W16</t>
        </is>
      </c>
      <c r="C381" t="n">
        <v>16</v>
      </c>
      <c r="G381" t="n">
        <v>604</v>
      </c>
      <c r="H381" t="n">
        <v>520</v>
      </c>
      <c r="I381" t="n">
        <v>684</v>
      </c>
      <c r="J381" t="n">
        <v>0.7</v>
      </c>
      <c r="M381" t="n">
        <v>480</v>
      </c>
    </row>
    <row r="382">
      <c r="A382" t="inlineStr">
        <is>
          <t>JP</t>
        </is>
      </c>
      <c r="B382" t="inlineStr">
        <is>
          <t>W17</t>
        </is>
      </c>
      <c r="C382" t="n">
        <v>17</v>
      </c>
      <c r="G382" t="n">
        <v>416</v>
      </c>
      <c r="H382" t="n">
        <v>325</v>
      </c>
      <c r="I382" t="n">
        <v>556</v>
      </c>
      <c r="J382" t="n">
        <v>0.7</v>
      </c>
      <c r="M382" t="n">
        <v>480</v>
      </c>
    </row>
    <row r="383">
      <c r="A383" t="inlineStr">
        <is>
          <t>JP</t>
        </is>
      </c>
      <c r="B383" t="inlineStr">
        <is>
          <t>W18</t>
        </is>
      </c>
      <c r="C383" t="n">
        <v>18</v>
      </c>
      <c r="G383" t="n">
        <v>448</v>
      </c>
      <c r="H383" t="n">
        <v>351</v>
      </c>
      <c r="I383" t="n">
        <v>599</v>
      </c>
      <c r="J383" t="n">
        <v>0.7</v>
      </c>
      <c r="M383" t="n">
        <v>326</v>
      </c>
    </row>
    <row r="384">
      <c r="A384" t="inlineStr">
        <is>
          <t>JP</t>
        </is>
      </c>
      <c r="B384" t="inlineStr">
        <is>
          <t>W19</t>
        </is>
      </c>
      <c r="C384" t="n">
        <v>19</v>
      </c>
      <c r="G384" t="n">
        <v>417</v>
      </c>
      <c r="H384" t="n">
        <v>326</v>
      </c>
      <c r="I384" t="n">
        <v>557</v>
      </c>
      <c r="J384" t="n">
        <v>0.7</v>
      </c>
      <c r="M384" t="n">
        <v>326</v>
      </c>
    </row>
    <row r="385">
      <c r="A385" t="inlineStr">
        <is>
          <t>JP</t>
        </is>
      </c>
      <c r="B385" t="inlineStr">
        <is>
          <t>W20</t>
        </is>
      </c>
      <c r="C385" t="n">
        <v>20</v>
      </c>
      <c r="G385" t="n">
        <v>428</v>
      </c>
      <c r="H385" t="n">
        <v>334</v>
      </c>
      <c r="I385" t="n">
        <v>571</v>
      </c>
      <c r="J385" t="n">
        <v>0.7</v>
      </c>
      <c r="M385" t="n">
        <v>326</v>
      </c>
    </row>
    <row r="386">
      <c r="A386" t="inlineStr">
        <is>
          <t>JP</t>
        </is>
      </c>
      <c r="B386" t="inlineStr">
        <is>
          <t>W21</t>
        </is>
      </c>
      <c r="C386" t="n">
        <v>21</v>
      </c>
      <c r="G386" t="n">
        <v>415</v>
      </c>
      <c r="H386" t="n">
        <v>324</v>
      </c>
      <c r="I386" t="n">
        <v>553</v>
      </c>
      <c r="J386" t="n">
        <v>0.7</v>
      </c>
      <c r="M386" t="n">
        <v>326</v>
      </c>
    </row>
    <row r="387">
      <c r="A387" t="inlineStr">
        <is>
          <t>JP</t>
        </is>
      </c>
      <c r="B387" t="inlineStr">
        <is>
          <t>W22</t>
        </is>
      </c>
      <c r="C387" t="n">
        <v>22</v>
      </c>
      <c r="G387" t="n">
        <v>441</v>
      </c>
      <c r="H387" t="n">
        <v>345</v>
      </c>
      <c r="I387" t="n">
        <v>589</v>
      </c>
      <c r="J387" t="n">
        <v>0.7</v>
      </c>
      <c r="M387" t="n">
        <v>326</v>
      </c>
    </row>
    <row r="388">
      <c r="A388" t="inlineStr">
        <is>
          <t>JP</t>
        </is>
      </c>
      <c r="B388" t="inlineStr">
        <is>
          <t>W23</t>
        </is>
      </c>
      <c r="C388" t="n">
        <v>23</v>
      </c>
      <c r="G388" t="n">
        <v>460</v>
      </c>
      <c r="H388" t="n">
        <v>360</v>
      </c>
      <c r="I388" t="n">
        <v>614</v>
      </c>
      <c r="J388" t="n">
        <v>0.7</v>
      </c>
      <c r="M388" t="n">
        <v>435</v>
      </c>
    </row>
    <row r="389">
      <c r="A389" t="inlineStr">
        <is>
          <t>JP</t>
        </is>
      </c>
      <c r="B389" t="inlineStr">
        <is>
          <t>W24</t>
        </is>
      </c>
      <c r="C389" t="n">
        <v>24</v>
      </c>
      <c r="G389" t="n">
        <v>472</v>
      </c>
      <c r="H389" t="n">
        <v>369</v>
      </c>
      <c r="I389" t="n">
        <v>631</v>
      </c>
      <c r="J389" t="n">
        <v>0.7</v>
      </c>
      <c r="M389" t="n">
        <v>435</v>
      </c>
    </row>
    <row r="390">
      <c r="A390" t="inlineStr">
        <is>
          <t>JP</t>
        </is>
      </c>
      <c r="B390" t="inlineStr">
        <is>
          <t>W25</t>
        </is>
      </c>
      <c r="C390" t="n">
        <v>25</v>
      </c>
      <c r="G390" t="n">
        <v>489</v>
      </c>
      <c r="H390" t="n">
        <v>383</v>
      </c>
      <c r="I390" t="n">
        <v>655</v>
      </c>
      <c r="J390" t="n">
        <v>0.7</v>
      </c>
      <c r="M390" t="n">
        <v>435</v>
      </c>
    </row>
    <row r="391">
      <c r="A391" t="inlineStr">
        <is>
          <t>JP</t>
        </is>
      </c>
      <c r="B391" t="inlineStr">
        <is>
          <t>W26</t>
        </is>
      </c>
      <c r="C391" t="n">
        <v>26</v>
      </c>
      <c r="G391" t="n">
        <v>510</v>
      </c>
      <c r="H391" t="n">
        <v>399</v>
      </c>
      <c r="I391" t="n">
        <v>682</v>
      </c>
      <c r="J391" t="n">
        <v>0.7</v>
      </c>
      <c r="M391" t="n">
        <v>435</v>
      </c>
    </row>
    <row r="392">
      <c r="A392" t="inlineStr">
        <is>
          <t>JP</t>
        </is>
      </c>
      <c r="B392" t="inlineStr">
        <is>
          <t>W27</t>
        </is>
      </c>
      <c r="C392" t="n">
        <v>27</v>
      </c>
      <c r="G392" t="n">
        <v>444</v>
      </c>
      <c r="H392" t="n">
        <v>347</v>
      </c>
      <c r="I392" t="n">
        <v>593</v>
      </c>
      <c r="J392" t="n">
        <v>0.7</v>
      </c>
      <c r="M392" t="n">
        <v>417</v>
      </c>
    </row>
    <row r="393">
      <c r="A393" t="inlineStr">
        <is>
          <t>JP</t>
        </is>
      </c>
      <c r="B393" t="inlineStr">
        <is>
          <t>W28</t>
        </is>
      </c>
      <c r="C393" t="n">
        <v>28</v>
      </c>
      <c r="G393" t="n">
        <v>425</v>
      </c>
      <c r="H393" t="n">
        <v>332</v>
      </c>
      <c r="I393" t="n">
        <v>568</v>
      </c>
      <c r="J393" t="n">
        <v>0.7</v>
      </c>
      <c r="M393" t="n">
        <v>417</v>
      </c>
    </row>
    <row r="394">
      <c r="A394" t="inlineStr">
        <is>
          <t>JP</t>
        </is>
      </c>
      <c r="B394" t="inlineStr">
        <is>
          <t>W29</t>
        </is>
      </c>
      <c r="C394" t="n">
        <v>29</v>
      </c>
      <c r="G394" t="n">
        <v>406</v>
      </c>
      <c r="H394" t="n">
        <v>317</v>
      </c>
      <c r="I394" t="n">
        <v>542</v>
      </c>
      <c r="J394" t="n">
        <v>0.7</v>
      </c>
      <c r="M394" t="n">
        <v>417</v>
      </c>
    </row>
    <row r="395">
      <c r="A395" t="inlineStr">
        <is>
          <t>JP</t>
        </is>
      </c>
      <c r="B395" t="inlineStr">
        <is>
          <t>W30</t>
        </is>
      </c>
      <c r="C395" t="n">
        <v>30</v>
      </c>
      <c r="G395" t="n">
        <v>384</v>
      </c>
      <c r="H395" t="n">
        <v>299</v>
      </c>
      <c r="I395" t="n">
        <v>512</v>
      </c>
      <c r="J395" t="n">
        <v>0.7</v>
      </c>
      <c r="M395" t="n">
        <v>417</v>
      </c>
    </row>
    <row r="396">
      <c r="A396" t="inlineStr">
        <is>
          <t>JP</t>
        </is>
      </c>
      <c r="B396" t="inlineStr">
        <is>
          <t>W31</t>
        </is>
      </c>
      <c r="C396" t="n">
        <v>31</v>
      </c>
      <c r="G396" t="n">
        <v>311</v>
      </c>
      <c r="H396" t="n">
        <v>242</v>
      </c>
      <c r="I396" t="n">
        <v>413</v>
      </c>
      <c r="J396" t="n">
        <v>0.7</v>
      </c>
      <c r="M396" t="n">
        <v>417</v>
      </c>
    </row>
    <row r="397">
      <c r="A397" t="inlineStr">
        <is>
          <t>JP</t>
        </is>
      </c>
      <c r="B397" t="inlineStr">
        <is>
          <t>W32</t>
        </is>
      </c>
      <c r="C397" t="n">
        <v>32</v>
      </c>
      <c r="G397" t="n">
        <v>411</v>
      </c>
      <c r="H397" t="n">
        <v>321</v>
      </c>
      <c r="I397" t="n">
        <v>549</v>
      </c>
      <c r="J397" t="n">
        <v>0.7</v>
      </c>
      <c r="M397" t="n">
        <v>461</v>
      </c>
    </row>
    <row r="398">
      <c r="A398" t="inlineStr">
        <is>
          <t>JP</t>
        </is>
      </c>
      <c r="B398" t="inlineStr">
        <is>
          <t>W33</t>
        </is>
      </c>
      <c r="C398" t="n">
        <v>33</v>
      </c>
      <c r="G398" t="n">
        <v>460</v>
      </c>
      <c r="H398" t="n">
        <v>360</v>
      </c>
      <c r="I398" t="n">
        <v>615</v>
      </c>
      <c r="J398" t="n">
        <v>0.7</v>
      </c>
      <c r="M398" t="n">
        <v>461</v>
      </c>
    </row>
    <row r="399">
      <c r="A399" t="inlineStr">
        <is>
          <t>JP</t>
        </is>
      </c>
      <c r="B399" t="inlineStr">
        <is>
          <t>W34</t>
        </is>
      </c>
      <c r="C399" t="n">
        <v>34</v>
      </c>
      <c r="G399" t="n">
        <v>580</v>
      </c>
      <c r="H399" t="n">
        <v>455</v>
      </c>
      <c r="I399" t="n">
        <v>777</v>
      </c>
      <c r="J399" t="n">
        <v>0.7</v>
      </c>
      <c r="M399" t="n">
        <v>461</v>
      </c>
    </row>
    <row r="400">
      <c r="A400" t="inlineStr">
        <is>
          <t>JP</t>
        </is>
      </c>
      <c r="B400" t="inlineStr">
        <is>
          <t>W35</t>
        </is>
      </c>
      <c r="C400" t="n">
        <v>35</v>
      </c>
      <c r="G400" t="n">
        <v>622</v>
      </c>
      <c r="H400" t="n">
        <v>488</v>
      </c>
      <c r="I400" t="n">
        <v>834</v>
      </c>
      <c r="J400" t="n">
        <v>0.7</v>
      </c>
      <c r="M400" t="n">
        <v>461</v>
      </c>
    </row>
    <row r="401">
      <c r="A401" t="inlineStr">
        <is>
          <t>JP</t>
        </is>
      </c>
      <c r="B401" t="inlineStr">
        <is>
          <t>W36</t>
        </is>
      </c>
      <c r="C401" t="n">
        <v>36</v>
      </c>
      <c r="G401" t="n">
        <v>567</v>
      </c>
      <c r="H401" t="n">
        <v>445</v>
      </c>
      <c r="I401" t="n">
        <v>760</v>
      </c>
      <c r="J401" t="n">
        <v>0.7</v>
      </c>
      <c r="M401" t="n">
        <v>514</v>
      </c>
    </row>
    <row r="402">
      <c r="A402" t="inlineStr">
        <is>
          <t>JP</t>
        </is>
      </c>
      <c r="B402" t="inlineStr">
        <is>
          <t>W37</t>
        </is>
      </c>
      <c r="C402" t="n">
        <v>37</v>
      </c>
      <c r="G402" t="n">
        <v>564</v>
      </c>
      <c r="H402" t="n">
        <v>442</v>
      </c>
      <c r="I402" t="n">
        <v>756</v>
      </c>
      <c r="J402" t="n">
        <v>0.7</v>
      </c>
      <c r="M402" t="n">
        <v>514</v>
      </c>
    </row>
    <row r="403">
      <c r="A403" t="inlineStr">
        <is>
          <t>JP</t>
        </is>
      </c>
      <c r="B403" t="inlineStr">
        <is>
          <t>W38</t>
        </is>
      </c>
      <c r="C403" t="n">
        <v>38</v>
      </c>
      <c r="G403" t="n">
        <v>724</v>
      </c>
      <c r="H403" t="n">
        <v>569</v>
      </c>
      <c r="I403" t="n">
        <v>972</v>
      </c>
      <c r="J403" t="n">
        <v>0.7</v>
      </c>
      <c r="M403" t="n">
        <v>514</v>
      </c>
    </row>
    <row r="404">
      <c r="A404" t="inlineStr">
        <is>
          <t>JP</t>
        </is>
      </c>
      <c r="B404" t="inlineStr">
        <is>
          <t>W39</t>
        </is>
      </c>
      <c r="C404" t="n">
        <v>39</v>
      </c>
      <c r="G404" t="n">
        <v>636</v>
      </c>
      <c r="H404" t="n">
        <v>499</v>
      </c>
      <c r="I404" t="n">
        <v>853</v>
      </c>
      <c r="J404" t="n">
        <v>0.7</v>
      </c>
      <c r="M404" t="n">
        <v>514</v>
      </c>
    </row>
    <row r="405">
      <c r="A405" t="inlineStr">
        <is>
          <t>JP</t>
        </is>
      </c>
      <c r="B405" t="inlineStr">
        <is>
          <t>W40</t>
        </is>
      </c>
      <c r="C405" t="n">
        <v>40</v>
      </c>
      <c r="G405" t="n">
        <v>666</v>
      </c>
      <c r="H405" t="n">
        <v>524</v>
      </c>
      <c r="I405" t="n">
        <v>894</v>
      </c>
      <c r="J405" t="n">
        <v>0.7</v>
      </c>
      <c r="M405" t="n">
        <v>487</v>
      </c>
    </row>
    <row r="406">
      <c r="A406" t="inlineStr">
        <is>
          <t>JP</t>
        </is>
      </c>
      <c r="B406" t="inlineStr">
        <is>
          <t>W41</t>
        </is>
      </c>
      <c r="C406" t="n">
        <v>41</v>
      </c>
      <c r="G406" t="n">
        <v>776</v>
      </c>
      <c r="H406" t="n">
        <v>611</v>
      </c>
      <c r="I406" t="n">
        <v>1043</v>
      </c>
      <c r="J406" t="n">
        <v>0.7</v>
      </c>
      <c r="M406" t="n">
        <v>487</v>
      </c>
    </row>
    <row r="407">
      <c r="A407" t="inlineStr">
        <is>
          <t>JP</t>
        </is>
      </c>
      <c r="B407" t="inlineStr">
        <is>
          <t>W42</t>
        </is>
      </c>
      <c r="C407" t="n">
        <v>42</v>
      </c>
      <c r="G407" t="n">
        <v>714</v>
      </c>
      <c r="H407" t="n">
        <v>561</v>
      </c>
      <c r="I407" t="n">
        <v>959</v>
      </c>
      <c r="J407" t="n">
        <v>0.7</v>
      </c>
      <c r="M407" t="n">
        <v>487</v>
      </c>
    </row>
    <row r="408">
      <c r="A408" t="inlineStr">
        <is>
          <t>JP</t>
        </is>
      </c>
      <c r="B408" t="inlineStr">
        <is>
          <t>W43</t>
        </is>
      </c>
      <c r="C408" t="n">
        <v>43</v>
      </c>
      <c r="G408" t="n">
        <v>715</v>
      </c>
      <c r="H408" t="n">
        <v>562</v>
      </c>
      <c r="I408" t="n">
        <v>961</v>
      </c>
      <c r="J408" t="n">
        <v>0.7</v>
      </c>
      <c r="M408" t="n">
        <v>487</v>
      </c>
    </row>
    <row r="409">
      <c r="A409" t="inlineStr">
        <is>
          <t>JP</t>
        </is>
      </c>
      <c r="B409" t="inlineStr">
        <is>
          <t>W44</t>
        </is>
      </c>
      <c r="C409" t="n">
        <v>44</v>
      </c>
      <c r="G409" t="n">
        <v>666</v>
      </c>
      <c r="H409" t="n">
        <v>523</v>
      </c>
      <c r="I409" t="n">
        <v>894</v>
      </c>
      <c r="J409" t="n">
        <v>0.7</v>
      </c>
      <c r="M409" t="n">
        <v>487</v>
      </c>
    </row>
    <row r="410">
      <c r="A410" t="inlineStr">
        <is>
          <t>JP</t>
        </is>
      </c>
      <c r="B410" t="inlineStr">
        <is>
          <t>W45</t>
        </is>
      </c>
      <c r="C410" t="n">
        <v>45</v>
      </c>
      <c r="G410" t="n">
        <v>709</v>
      </c>
      <c r="H410" t="n">
        <v>558</v>
      </c>
      <c r="I410" t="n">
        <v>952</v>
      </c>
      <c r="J410" t="n">
        <v>0.7</v>
      </c>
      <c r="M410" t="n">
        <v>678</v>
      </c>
    </row>
    <row r="411">
      <c r="A411" t="inlineStr">
        <is>
          <t>JP</t>
        </is>
      </c>
      <c r="B411" t="inlineStr">
        <is>
          <t>W46</t>
        </is>
      </c>
      <c r="C411" t="n">
        <v>46</v>
      </c>
      <c r="G411" t="n">
        <v>686</v>
      </c>
      <c r="H411" t="n">
        <v>539</v>
      </c>
      <c r="I411" t="n">
        <v>921</v>
      </c>
      <c r="J411" t="n">
        <v>0.7</v>
      </c>
      <c r="M411" t="n">
        <v>678</v>
      </c>
    </row>
    <row r="412">
      <c r="A412" t="inlineStr">
        <is>
          <t>JP</t>
        </is>
      </c>
      <c r="B412" t="inlineStr">
        <is>
          <t>W47</t>
        </is>
      </c>
      <c r="C412" t="n">
        <v>47</v>
      </c>
      <c r="G412" t="n">
        <v>654</v>
      </c>
      <c r="H412" t="n">
        <v>514</v>
      </c>
      <c r="I412" t="n">
        <v>877</v>
      </c>
      <c r="J412" t="n">
        <v>0.7</v>
      </c>
      <c r="M412" t="n">
        <v>678</v>
      </c>
    </row>
    <row r="413">
      <c r="A413" t="inlineStr">
        <is>
          <t>JP</t>
        </is>
      </c>
      <c r="B413" t="inlineStr">
        <is>
          <t>W48</t>
        </is>
      </c>
      <c r="C413" t="n">
        <v>48</v>
      </c>
      <c r="G413" t="n">
        <v>652</v>
      </c>
      <c r="H413" t="n">
        <v>512</v>
      </c>
      <c r="I413" t="n">
        <v>875</v>
      </c>
      <c r="J413" t="n">
        <v>0.7</v>
      </c>
      <c r="M413" t="n">
        <v>678</v>
      </c>
    </row>
    <row r="414">
      <c r="A414" t="inlineStr">
        <is>
          <t>JP</t>
        </is>
      </c>
      <c r="B414" t="inlineStr">
        <is>
          <t>W49</t>
        </is>
      </c>
      <c r="C414" t="n">
        <v>49</v>
      </c>
      <c r="G414" t="n">
        <v>696</v>
      </c>
      <c r="H414" t="n">
        <v>547</v>
      </c>
      <c r="I414" t="n">
        <v>934</v>
      </c>
      <c r="J414" t="n">
        <v>0.7</v>
      </c>
      <c r="M414" t="n">
        <v>495</v>
      </c>
    </row>
    <row r="415">
      <c r="A415" t="inlineStr">
        <is>
          <t>JP</t>
        </is>
      </c>
      <c r="B415" t="inlineStr">
        <is>
          <t>W50</t>
        </is>
      </c>
      <c r="C415" t="n">
        <v>50</v>
      </c>
      <c r="G415" t="n">
        <v>532</v>
      </c>
      <c r="H415" t="n">
        <v>417</v>
      </c>
      <c r="I415" t="n">
        <v>713</v>
      </c>
      <c r="J415" t="n">
        <v>0.7</v>
      </c>
      <c r="M415" t="n">
        <v>495</v>
      </c>
    </row>
    <row r="416">
      <c r="A416" t="inlineStr">
        <is>
          <t>JP</t>
        </is>
      </c>
      <c r="B416" t="inlineStr">
        <is>
          <t>W51</t>
        </is>
      </c>
      <c r="C416" t="n">
        <v>51</v>
      </c>
      <c r="G416" t="n">
        <v>343</v>
      </c>
      <c r="H416" t="n">
        <v>267</v>
      </c>
      <c r="I416" t="n">
        <v>456</v>
      </c>
      <c r="J416" t="n">
        <v>0.7</v>
      </c>
      <c r="M416" t="n">
        <v>495</v>
      </c>
    </row>
    <row r="417">
      <c r="A417" t="inlineStr">
        <is>
          <t>JP</t>
        </is>
      </c>
      <c r="B417" t="inlineStr">
        <is>
          <t>W52</t>
        </is>
      </c>
      <c r="C417" t="n">
        <v>52</v>
      </c>
      <c r="G417" t="n">
        <v>529</v>
      </c>
      <c r="H417" t="n">
        <v>414</v>
      </c>
      <c r="I417" t="n">
        <v>708</v>
      </c>
      <c r="J417" t="n">
        <v>0.7</v>
      </c>
      <c r="M417" t="n">
        <v>495</v>
      </c>
    </row>
    <row r="418">
      <c r="A418" t="inlineStr">
        <is>
          <t>MX</t>
        </is>
      </c>
      <c r="B418" t="inlineStr">
        <is>
          <t>W1</t>
        </is>
      </c>
      <c r="C418" t="n">
        <v>1</v>
      </c>
      <c r="D418" t="n">
        <v>183</v>
      </c>
      <c r="E418" t="n">
        <v>7424</v>
      </c>
      <c r="F418" t="n">
        <v>40.57</v>
      </c>
      <c r="G418" t="n">
        <v>165</v>
      </c>
      <c r="H418" t="n">
        <v>115</v>
      </c>
      <c r="I418" t="n">
        <v>226</v>
      </c>
      <c r="J418" t="n">
        <v>0.7</v>
      </c>
      <c r="K418" t="n">
        <v>100</v>
      </c>
      <c r="L418" t="n">
        <v>83</v>
      </c>
      <c r="M418" t="n">
        <v>256</v>
      </c>
    </row>
    <row r="419">
      <c r="A419" t="inlineStr">
        <is>
          <t>MX</t>
        </is>
      </c>
      <c r="B419" t="inlineStr">
        <is>
          <t>W2</t>
        </is>
      </c>
      <c r="C419" t="n">
        <v>2</v>
      </c>
      <c r="D419" t="n">
        <v>252</v>
      </c>
      <c r="E419" t="n">
        <v>8650</v>
      </c>
      <c r="F419" t="n">
        <v>34.33</v>
      </c>
      <c r="G419" t="n">
        <v>234</v>
      </c>
      <c r="H419" t="n">
        <v>152</v>
      </c>
      <c r="I419" t="n">
        <v>298</v>
      </c>
      <c r="J419" t="n">
        <v>0.7</v>
      </c>
      <c r="K419" t="n">
        <v>155</v>
      </c>
      <c r="L419" t="n">
        <v>97</v>
      </c>
      <c r="M419" t="n">
        <v>256</v>
      </c>
    </row>
    <row r="420">
      <c r="A420" t="inlineStr">
        <is>
          <t>MX</t>
        </is>
      </c>
      <c r="B420" t="inlineStr">
        <is>
          <t>W3</t>
        </is>
      </c>
      <c r="C420" t="n">
        <v>3</v>
      </c>
      <c r="D420" t="n">
        <v>270</v>
      </c>
      <c r="E420" t="n">
        <v>12821</v>
      </c>
      <c r="F420" t="n">
        <v>47.49</v>
      </c>
      <c r="G420" t="n">
        <v>238</v>
      </c>
      <c r="H420" t="n">
        <v>159</v>
      </c>
      <c r="I420" t="n">
        <v>311</v>
      </c>
      <c r="J420" t="n">
        <v>0.7</v>
      </c>
      <c r="K420" t="n">
        <v>153</v>
      </c>
      <c r="L420" t="n">
        <v>117</v>
      </c>
      <c r="M420" t="n">
        <v>256</v>
      </c>
    </row>
    <row r="421">
      <c r="A421" t="inlineStr">
        <is>
          <t>MX</t>
        </is>
      </c>
      <c r="B421" t="inlineStr">
        <is>
          <t>W4</t>
        </is>
      </c>
      <c r="C421" t="n">
        <v>4</v>
      </c>
      <c r="D421" t="n">
        <v>240</v>
      </c>
      <c r="E421" t="n">
        <v>14672</v>
      </c>
      <c r="F421" t="n">
        <v>61.13</v>
      </c>
      <c r="G421" t="n">
        <v>217</v>
      </c>
      <c r="H421" t="n">
        <v>156</v>
      </c>
      <c r="I421" t="n">
        <v>304</v>
      </c>
      <c r="J421" t="n">
        <v>0.7</v>
      </c>
      <c r="K421" t="n">
        <v>123</v>
      </c>
      <c r="L421" t="n">
        <v>117</v>
      </c>
      <c r="M421" t="n">
        <v>256</v>
      </c>
    </row>
    <row r="422">
      <c r="A422" t="inlineStr">
        <is>
          <t>MX</t>
        </is>
      </c>
      <c r="B422" t="inlineStr">
        <is>
          <t>W5</t>
        </is>
      </c>
      <c r="C422" t="n">
        <v>5</v>
      </c>
      <c r="D422" t="n">
        <v>224</v>
      </c>
      <c r="E422" t="n">
        <v>16772</v>
      </c>
      <c r="F422" t="n">
        <v>74.87</v>
      </c>
      <c r="G422" t="n">
        <v>218</v>
      </c>
      <c r="H422" t="n">
        <v>157</v>
      </c>
      <c r="I422" t="n">
        <v>304</v>
      </c>
      <c r="J422" t="n">
        <v>0.7</v>
      </c>
      <c r="K422" t="n">
        <v>130</v>
      </c>
      <c r="L422" t="n">
        <v>94</v>
      </c>
      <c r="M422" t="n">
        <v>211</v>
      </c>
    </row>
    <row r="423">
      <c r="A423" t="inlineStr">
        <is>
          <t>MX</t>
        </is>
      </c>
      <c r="B423" t="inlineStr">
        <is>
          <t>W6</t>
        </is>
      </c>
      <c r="C423" t="n">
        <v>6</v>
      </c>
      <c r="D423" t="n">
        <v>229</v>
      </c>
      <c r="E423" t="n">
        <v>15530</v>
      </c>
      <c r="F423" t="n">
        <v>67.81999999999999</v>
      </c>
      <c r="G423" t="n">
        <v>216</v>
      </c>
      <c r="H423" t="n">
        <v>144</v>
      </c>
      <c r="I423" t="n">
        <v>276</v>
      </c>
      <c r="J423" t="n">
        <v>0.7</v>
      </c>
      <c r="K423" t="n">
        <v>140</v>
      </c>
      <c r="L423" t="n">
        <v>89</v>
      </c>
      <c r="M423" t="n">
        <v>211</v>
      </c>
    </row>
    <row r="424">
      <c r="A424" t="inlineStr">
        <is>
          <t>MX</t>
        </is>
      </c>
      <c r="B424" t="inlineStr">
        <is>
          <t>W7</t>
        </is>
      </c>
      <c r="C424" t="n">
        <v>7</v>
      </c>
      <c r="D424" t="n">
        <v>246</v>
      </c>
      <c r="E424" t="n">
        <v>13995</v>
      </c>
      <c r="F424" t="n">
        <v>56.89</v>
      </c>
      <c r="G424" t="n">
        <v>222</v>
      </c>
      <c r="H424" t="n">
        <v>147</v>
      </c>
      <c r="I424" t="n">
        <v>281</v>
      </c>
      <c r="J424" t="n">
        <v>0.7</v>
      </c>
      <c r="K424" t="n">
        <v>158</v>
      </c>
      <c r="L424" t="n">
        <v>88</v>
      </c>
      <c r="M424" t="n">
        <v>211</v>
      </c>
    </row>
    <row r="425">
      <c r="A425" t="inlineStr">
        <is>
          <t>MX</t>
        </is>
      </c>
      <c r="B425" t="inlineStr">
        <is>
          <t>W8</t>
        </is>
      </c>
      <c r="C425" t="n">
        <v>8</v>
      </c>
      <c r="D425" t="n">
        <v>368</v>
      </c>
      <c r="E425" t="n">
        <v>18669</v>
      </c>
      <c r="F425" t="n">
        <v>50.73</v>
      </c>
      <c r="G425" t="n">
        <v>275</v>
      </c>
      <c r="H425" t="n">
        <v>190</v>
      </c>
      <c r="I425" t="n">
        <v>363</v>
      </c>
      <c r="J425" t="n">
        <v>0.7</v>
      </c>
      <c r="K425" t="n">
        <v>270</v>
      </c>
      <c r="L425" t="n">
        <v>98</v>
      </c>
      <c r="M425" t="n">
        <v>211</v>
      </c>
    </row>
    <row r="426">
      <c r="A426" t="inlineStr">
        <is>
          <t>MX</t>
        </is>
      </c>
      <c r="B426" t="inlineStr">
        <is>
          <t>W9</t>
        </is>
      </c>
      <c r="C426" t="n">
        <v>9</v>
      </c>
      <c r="D426" t="n">
        <v>262</v>
      </c>
      <c r="E426" t="n">
        <v>19733</v>
      </c>
      <c r="F426" t="n">
        <v>75.31999999999999</v>
      </c>
      <c r="G426" t="n">
        <v>215</v>
      </c>
      <c r="H426" t="n">
        <v>166</v>
      </c>
      <c r="I426" t="n">
        <v>323</v>
      </c>
      <c r="J426" t="n">
        <v>0.7</v>
      </c>
      <c r="K426" t="n">
        <v>166</v>
      </c>
      <c r="L426" t="n">
        <v>96</v>
      </c>
      <c r="M426" t="n">
        <v>172</v>
      </c>
    </row>
    <row r="427">
      <c r="A427" t="inlineStr">
        <is>
          <t>MX</t>
        </is>
      </c>
      <c r="B427" t="inlineStr">
        <is>
          <t>W10</t>
        </is>
      </c>
      <c r="C427" t="n">
        <v>10</v>
      </c>
      <c r="D427" t="n">
        <v>297</v>
      </c>
      <c r="E427" t="n">
        <v>20509</v>
      </c>
      <c r="F427" t="n">
        <v>69.05</v>
      </c>
      <c r="G427" t="n">
        <v>235</v>
      </c>
      <c r="H427" t="n">
        <v>170</v>
      </c>
      <c r="I427" t="n">
        <v>329</v>
      </c>
      <c r="J427" t="n">
        <v>0.7</v>
      </c>
      <c r="K427" t="n">
        <v>199</v>
      </c>
      <c r="L427" t="n">
        <v>98</v>
      </c>
      <c r="M427" t="n">
        <v>172</v>
      </c>
    </row>
    <row r="428">
      <c r="A428" t="inlineStr">
        <is>
          <t>MX</t>
        </is>
      </c>
      <c r="B428" t="inlineStr">
        <is>
          <t>W11</t>
        </is>
      </c>
      <c r="C428" t="n">
        <v>11</v>
      </c>
      <c r="D428" t="n">
        <v>390</v>
      </c>
      <c r="E428" t="n">
        <v>22462</v>
      </c>
      <c r="F428" t="n">
        <v>57.59</v>
      </c>
      <c r="G428" t="n">
        <v>212</v>
      </c>
      <c r="H428" t="n">
        <v>147</v>
      </c>
      <c r="I428" t="n">
        <v>282</v>
      </c>
      <c r="J428" t="n">
        <v>0.7</v>
      </c>
      <c r="K428" t="n">
        <v>244</v>
      </c>
      <c r="L428" t="n">
        <v>146</v>
      </c>
      <c r="M428" t="n">
        <v>172</v>
      </c>
    </row>
    <row r="429">
      <c r="A429" t="inlineStr">
        <is>
          <t>MX</t>
        </is>
      </c>
      <c r="B429" t="inlineStr">
        <is>
          <t>W12</t>
        </is>
      </c>
      <c r="C429" t="n">
        <v>12</v>
      </c>
      <c r="D429" t="n">
        <v>324</v>
      </c>
      <c r="E429" t="n">
        <v>20134</v>
      </c>
      <c r="F429" t="n">
        <v>62.14</v>
      </c>
      <c r="G429" t="n">
        <v>204</v>
      </c>
      <c r="H429" t="n">
        <v>143</v>
      </c>
      <c r="I429" t="n">
        <v>277</v>
      </c>
      <c r="J429" t="n">
        <v>0.7</v>
      </c>
      <c r="K429" t="n">
        <v>203</v>
      </c>
      <c r="L429" t="n">
        <v>121</v>
      </c>
      <c r="M429" t="n">
        <v>172</v>
      </c>
    </row>
    <row r="430">
      <c r="A430" t="inlineStr">
        <is>
          <t>MX</t>
        </is>
      </c>
      <c r="B430" t="inlineStr">
        <is>
          <t>W13</t>
        </is>
      </c>
      <c r="C430" t="n">
        <v>13</v>
      </c>
      <c r="D430" t="n">
        <v>352</v>
      </c>
      <c r="E430" t="n">
        <v>23220</v>
      </c>
      <c r="F430" t="n">
        <v>65.95999999999999</v>
      </c>
      <c r="G430" t="n">
        <v>202</v>
      </c>
      <c r="H430" t="n">
        <v>149</v>
      </c>
      <c r="I430" t="n">
        <v>286</v>
      </c>
      <c r="J430" t="n">
        <v>0.7</v>
      </c>
      <c r="K430" t="n">
        <v>212</v>
      </c>
      <c r="L430" t="n">
        <v>140</v>
      </c>
      <c r="M430" t="n">
        <v>172</v>
      </c>
    </row>
    <row r="431">
      <c r="A431" t="inlineStr">
        <is>
          <t>MX</t>
        </is>
      </c>
      <c r="B431" t="inlineStr">
        <is>
          <t>W14</t>
        </is>
      </c>
      <c r="C431" t="n">
        <v>14</v>
      </c>
      <c r="D431" t="n">
        <v>238</v>
      </c>
      <c r="E431" t="n">
        <v>19418</v>
      </c>
      <c r="F431" t="n">
        <v>81.59</v>
      </c>
      <c r="G431" t="n">
        <v>196</v>
      </c>
      <c r="H431" t="n">
        <v>138</v>
      </c>
      <c r="I431" t="n">
        <v>264</v>
      </c>
      <c r="J431" t="n">
        <v>0.7</v>
      </c>
      <c r="K431" t="n">
        <v>137</v>
      </c>
      <c r="L431" t="n">
        <v>101</v>
      </c>
      <c r="M431" t="n">
        <v>198</v>
      </c>
    </row>
    <row r="432">
      <c r="A432" t="inlineStr">
        <is>
          <t>MX</t>
        </is>
      </c>
      <c r="B432" t="inlineStr">
        <is>
          <t>W15</t>
        </is>
      </c>
      <c r="C432" t="n">
        <v>15</v>
      </c>
      <c r="D432" t="n">
        <v>504</v>
      </c>
      <c r="E432" t="n">
        <v>25444</v>
      </c>
      <c r="F432" t="n">
        <v>50.48</v>
      </c>
      <c r="G432" t="n">
        <v>193</v>
      </c>
      <c r="H432" t="n">
        <v>108</v>
      </c>
      <c r="I432" t="n">
        <v>338</v>
      </c>
      <c r="J432" t="n">
        <v>0.7</v>
      </c>
      <c r="K432" t="n">
        <v>372</v>
      </c>
      <c r="L432" t="n">
        <v>132</v>
      </c>
      <c r="M432" t="n">
        <v>198</v>
      </c>
    </row>
    <row r="433">
      <c r="A433" t="inlineStr">
        <is>
          <t>MX</t>
        </is>
      </c>
      <c r="B433" t="inlineStr">
        <is>
          <t>W16</t>
        </is>
      </c>
      <c r="C433" t="n">
        <v>16</v>
      </c>
      <c r="G433" t="n">
        <v>370</v>
      </c>
      <c r="H433" t="n">
        <v>273</v>
      </c>
      <c r="I433" t="n">
        <v>466</v>
      </c>
      <c r="J433" t="n">
        <v>0.7</v>
      </c>
      <c r="M433" t="n">
        <v>198</v>
      </c>
    </row>
    <row r="434">
      <c r="A434" t="inlineStr">
        <is>
          <t>MX</t>
        </is>
      </c>
      <c r="B434" t="inlineStr">
        <is>
          <t>W17</t>
        </is>
      </c>
      <c r="C434" t="n">
        <v>17</v>
      </c>
      <c r="G434" t="n">
        <v>206</v>
      </c>
      <c r="H434" t="n">
        <v>190</v>
      </c>
      <c r="I434" t="n">
        <v>361</v>
      </c>
      <c r="J434" t="n">
        <v>0.7</v>
      </c>
      <c r="M434" t="n">
        <v>198</v>
      </c>
    </row>
    <row r="435">
      <c r="A435" t="inlineStr">
        <is>
          <t>MX</t>
        </is>
      </c>
      <c r="B435" t="inlineStr">
        <is>
          <t>W18</t>
        </is>
      </c>
      <c r="C435" t="n">
        <v>18</v>
      </c>
      <c r="G435" t="n">
        <v>250</v>
      </c>
      <c r="H435" t="n">
        <v>230</v>
      </c>
      <c r="I435" t="n">
        <v>437</v>
      </c>
      <c r="J435" t="n">
        <v>0.7</v>
      </c>
      <c r="M435" t="n">
        <v>197</v>
      </c>
    </row>
    <row r="436">
      <c r="A436" t="inlineStr">
        <is>
          <t>MX</t>
        </is>
      </c>
      <c r="B436" t="inlineStr">
        <is>
          <t>W19</t>
        </is>
      </c>
      <c r="C436" t="n">
        <v>19</v>
      </c>
      <c r="G436" t="n">
        <v>193</v>
      </c>
      <c r="H436" t="n">
        <v>178</v>
      </c>
      <c r="I436" t="n">
        <v>339</v>
      </c>
      <c r="J436" t="n">
        <v>0.7</v>
      </c>
      <c r="M436" t="n">
        <v>197</v>
      </c>
    </row>
    <row r="437">
      <c r="A437" t="inlineStr">
        <is>
          <t>MX</t>
        </is>
      </c>
      <c r="B437" t="inlineStr">
        <is>
          <t>W20</t>
        </is>
      </c>
      <c r="C437" t="n">
        <v>20</v>
      </c>
      <c r="G437" t="n">
        <v>183</v>
      </c>
      <c r="H437" t="n">
        <v>168</v>
      </c>
      <c r="I437" t="n">
        <v>319</v>
      </c>
      <c r="J437" t="n">
        <v>0.7</v>
      </c>
      <c r="M437" t="n">
        <v>197</v>
      </c>
    </row>
    <row r="438">
      <c r="A438" t="inlineStr">
        <is>
          <t>MX</t>
        </is>
      </c>
      <c r="B438" t="inlineStr">
        <is>
          <t>W21</t>
        </is>
      </c>
      <c r="C438" t="n">
        <v>21</v>
      </c>
      <c r="G438" t="n">
        <v>228</v>
      </c>
      <c r="H438" t="n">
        <v>210</v>
      </c>
      <c r="I438" t="n">
        <v>399</v>
      </c>
      <c r="J438" t="n">
        <v>0.7</v>
      </c>
      <c r="M438" t="n">
        <v>197</v>
      </c>
    </row>
    <row r="439">
      <c r="A439" t="inlineStr">
        <is>
          <t>MX</t>
        </is>
      </c>
      <c r="B439" t="inlineStr">
        <is>
          <t>W22</t>
        </is>
      </c>
      <c r="C439" t="n">
        <v>22</v>
      </c>
      <c r="G439" t="n">
        <v>325</v>
      </c>
      <c r="H439" t="n">
        <v>300</v>
      </c>
      <c r="I439" t="n">
        <v>569</v>
      </c>
      <c r="J439" t="n">
        <v>0.7</v>
      </c>
      <c r="M439" t="n">
        <v>197</v>
      </c>
    </row>
    <row r="440">
      <c r="A440" t="inlineStr">
        <is>
          <t>MX</t>
        </is>
      </c>
      <c r="B440" t="inlineStr">
        <is>
          <t>W23</t>
        </is>
      </c>
      <c r="C440" t="n">
        <v>23</v>
      </c>
      <c r="G440" t="n">
        <v>211</v>
      </c>
      <c r="H440" t="n">
        <v>194</v>
      </c>
      <c r="I440" t="n">
        <v>369</v>
      </c>
      <c r="J440" t="n">
        <v>0.7</v>
      </c>
      <c r="M440" t="n">
        <v>255</v>
      </c>
    </row>
    <row r="441">
      <c r="A441" t="inlineStr">
        <is>
          <t>MX</t>
        </is>
      </c>
      <c r="B441" t="inlineStr">
        <is>
          <t>W24</t>
        </is>
      </c>
      <c r="C441" t="n">
        <v>24</v>
      </c>
      <c r="G441" t="n">
        <v>220</v>
      </c>
      <c r="H441" t="n">
        <v>202</v>
      </c>
      <c r="I441" t="n">
        <v>384</v>
      </c>
      <c r="J441" t="n">
        <v>0.7</v>
      </c>
      <c r="M441" t="n">
        <v>255</v>
      </c>
    </row>
    <row r="442">
      <c r="A442" t="inlineStr">
        <is>
          <t>MX</t>
        </is>
      </c>
      <c r="B442" t="inlineStr">
        <is>
          <t>W25</t>
        </is>
      </c>
      <c r="C442" t="n">
        <v>25</v>
      </c>
      <c r="G442" t="n">
        <v>220</v>
      </c>
      <c r="H442" t="n">
        <v>203</v>
      </c>
      <c r="I442" t="n">
        <v>386</v>
      </c>
      <c r="J442" t="n">
        <v>0.7</v>
      </c>
      <c r="M442" t="n">
        <v>255</v>
      </c>
    </row>
    <row r="443">
      <c r="A443" t="inlineStr">
        <is>
          <t>MX</t>
        </is>
      </c>
      <c r="B443" t="inlineStr">
        <is>
          <t>W26</t>
        </is>
      </c>
      <c r="C443" t="n">
        <v>26</v>
      </c>
      <c r="G443" t="n">
        <v>201</v>
      </c>
      <c r="H443" t="n">
        <v>185</v>
      </c>
      <c r="I443" t="n">
        <v>352</v>
      </c>
      <c r="J443" t="n">
        <v>0.7</v>
      </c>
      <c r="M443" t="n">
        <v>255</v>
      </c>
    </row>
    <row r="444">
      <c r="A444" t="inlineStr">
        <is>
          <t>MX</t>
        </is>
      </c>
      <c r="B444" t="inlineStr">
        <is>
          <t>W27</t>
        </is>
      </c>
      <c r="C444" t="n">
        <v>27</v>
      </c>
      <c r="G444" t="n">
        <v>179</v>
      </c>
      <c r="H444" t="n">
        <v>165</v>
      </c>
      <c r="I444" t="n">
        <v>314</v>
      </c>
      <c r="J444" t="n">
        <v>0.7</v>
      </c>
      <c r="M444" t="n">
        <v>223</v>
      </c>
    </row>
    <row r="445">
      <c r="A445" t="inlineStr">
        <is>
          <t>MX</t>
        </is>
      </c>
      <c r="B445" t="inlineStr">
        <is>
          <t>W28</t>
        </is>
      </c>
      <c r="C445" t="n">
        <v>28</v>
      </c>
      <c r="G445" t="n">
        <v>195</v>
      </c>
      <c r="H445" t="n">
        <v>180</v>
      </c>
      <c r="I445" t="n">
        <v>341</v>
      </c>
      <c r="J445" t="n">
        <v>0.7</v>
      </c>
      <c r="M445" t="n">
        <v>223</v>
      </c>
    </row>
    <row r="446">
      <c r="A446" t="inlineStr">
        <is>
          <t>MX</t>
        </is>
      </c>
      <c r="B446" t="inlineStr">
        <is>
          <t>W29</t>
        </is>
      </c>
      <c r="C446" t="n">
        <v>29</v>
      </c>
      <c r="G446" t="n">
        <v>210</v>
      </c>
      <c r="H446" t="n">
        <v>193</v>
      </c>
      <c r="I446" t="n">
        <v>366</v>
      </c>
      <c r="J446" t="n">
        <v>0.7</v>
      </c>
      <c r="M446" t="n">
        <v>223</v>
      </c>
    </row>
    <row r="447">
      <c r="A447" t="inlineStr">
        <is>
          <t>MX</t>
        </is>
      </c>
      <c r="B447" t="inlineStr">
        <is>
          <t>W30</t>
        </is>
      </c>
      <c r="C447" t="n">
        <v>30</v>
      </c>
      <c r="G447" t="n">
        <v>231</v>
      </c>
      <c r="H447" t="n">
        <v>213</v>
      </c>
      <c r="I447" t="n">
        <v>405</v>
      </c>
      <c r="J447" t="n">
        <v>0.7</v>
      </c>
      <c r="M447" t="n">
        <v>223</v>
      </c>
    </row>
    <row r="448">
      <c r="A448" t="inlineStr">
        <is>
          <t>MX</t>
        </is>
      </c>
      <c r="B448" t="inlineStr">
        <is>
          <t>W31</t>
        </is>
      </c>
      <c r="C448" t="n">
        <v>31</v>
      </c>
      <c r="G448" t="n">
        <v>230</v>
      </c>
      <c r="H448" t="n">
        <v>212</v>
      </c>
      <c r="I448" t="n">
        <v>403</v>
      </c>
      <c r="J448" t="n">
        <v>0.7</v>
      </c>
      <c r="M448" t="n">
        <v>223</v>
      </c>
    </row>
    <row r="449">
      <c r="A449" t="inlineStr">
        <is>
          <t>MX</t>
        </is>
      </c>
      <c r="B449" t="inlineStr">
        <is>
          <t>W32</t>
        </is>
      </c>
      <c r="C449" t="n">
        <v>32</v>
      </c>
      <c r="G449" t="n">
        <v>277</v>
      </c>
      <c r="H449" t="n">
        <v>255</v>
      </c>
      <c r="I449" t="n">
        <v>484</v>
      </c>
      <c r="J449" t="n">
        <v>0.7</v>
      </c>
      <c r="M449" t="n">
        <v>194</v>
      </c>
    </row>
    <row r="450">
      <c r="A450" t="inlineStr">
        <is>
          <t>MX</t>
        </is>
      </c>
      <c r="B450" t="inlineStr">
        <is>
          <t>W33</t>
        </is>
      </c>
      <c r="C450" t="n">
        <v>33</v>
      </c>
      <c r="G450" t="n">
        <v>269</v>
      </c>
      <c r="H450" t="n">
        <v>249</v>
      </c>
      <c r="I450" t="n">
        <v>472</v>
      </c>
      <c r="J450" t="n">
        <v>0.7</v>
      </c>
      <c r="M450" t="n">
        <v>194</v>
      </c>
    </row>
    <row r="451">
      <c r="A451" t="inlineStr">
        <is>
          <t>MX</t>
        </is>
      </c>
      <c r="B451" t="inlineStr">
        <is>
          <t>W34</t>
        </is>
      </c>
      <c r="C451" t="n">
        <v>34</v>
      </c>
      <c r="G451" t="n">
        <v>237</v>
      </c>
      <c r="H451" t="n">
        <v>218</v>
      </c>
      <c r="I451" t="n">
        <v>414</v>
      </c>
      <c r="J451" t="n">
        <v>0.7</v>
      </c>
      <c r="M451" t="n">
        <v>194</v>
      </c>
    </row>
    <row r="452">
      <c r="A452" t="inlineStr">
        <is>
          <t>MX</t>
        </is>
      </c>
      <c r="B452" t="inlineStr">
        <is>
          <t>W35</t>
        </is>
      </c>
      <c r="C452" t="n">
        <v>35</v>
      </c>
      <c r="G452" t="n">
        <v>266</v>
      </c>
      <c r="H452" t="n">
        <v>245</v>
      </c>
      <c r="I452" t="n">
        <v>466</v>
      </c>
      <c r="J452" t="n">
        <v>0.7</v>
      </c>
      <c r="M452" t="n">
        <v>194</v>
      </c>
    </row>
    <row r="453">
      <c r="A453" t="inlineStr">
        <is>
          <t>MX</t>
        </is>
      </c>
      <c r="B453" t="inlineStr">
        <is>
          <t>W36</t>
        </is>
      </c>
      <c r="C453" t="n">
        <v>36</v>
      </c>
      <c r="G453" t="n">
        <v>244</v>
      </c>
      <c r="H453" t="n">
        <v>225</v>
      </c>
      <c r="I453" t="n">
        <v>427</v>
      </c>
      <c r="J453" t="n">
        <v>0.7</v>
      </c>
      <c r="M453" t="n">
        <v>155</v>
      </c>
    </row>
    <row r="454">
      <c r="A454" t="inlineStr">
        <is>
          <t>MX</t>
        </is>
      </c>
      <c r="B454" t="inlineStr">
        <is>
          <t>W37</t>
        </is>
      </c>
      <c r="C454" t="n">
        <v>37</v>
      </c>
      <c r="G454" t="n">
        <v>245</v>
      </c>
      <c r="H454" t="n">
        <v>226</v>
      </c>
      <c r="I454" t="n">
        <v>429</v>
      </c>
      <c r="J454" t="n">
        <v>0.7</v>
      </c>
      <c r="M454" t="n">
        <v>155</v>
      </c>
    </row>
    <row r="455">
      <c r="A455" t="inlineStr">
        <is>
          <t>MX</t>
        </is>
      </c>
      <c r="B455" t="inlineStr">
        <is>
          <t>W38</t>
        </is>
      </c>
      <c r="C455" t="n">
        <v>38</v>
      </c>
      <c r="G455" t="n">
        <v>181</v>
      </c>
      <c r="H455" t="n">
        <v>167</v>
      </c>
      <c r="I455" t="n">
        <v>317</v>
      </c>
      <c r="J455" t="n">
        <v>0.7</v>
      </c>
      <c r="M455" t="n">
        <v>155</v>
      </c>
    </row>
    <row r="456">
      <c r="A456" t="inlineStr">
        <is>
          <t>MX</t>
        </is>
      </c>
      <c r="B456" t="inlineStr">
        <is>
          <t>W39</t>
        </is>
      </c>
      <c r="C456" t="n">
        <v>39</v>
      </c>
      <c r="G456" t="n">
        <v>190</v>
      </c>
      <c r="H456" t="n">
        <v>175</v>
      </c>
      <c r="I456" t="n">
        <v>332</v>
      </c>
      <c r="J456" t="n">
        <v>0.7</v>
      </c>
      <c r="M456" t="n">
        <v>155</v>
      </c>
    </row>
    <row r="457">
      <c r="A457" t="inlineStr">
        <is>
          <t>MX</t>
        </is>
      </c>
      <c r="B457" t="inlineStr">
        <is>
          <t>W40</t>
        </is>
      </c>
      <c r="C457" t="n">
        <v>40</v>
      </c>
      <c r="G457" t="n">
        <v>205</v>
      </c>
      <c r="H457" t="n">
        <v>189</v>
      </c>
      <c r="I457" t="n">
        <v>359</v>
      </c>
      <c r="J457" t="n">
        <v>0.7</v>
      </c>
      <c r="M457" t="n">
        <v>232</v>
      </c>
    </row>
    <row r="458">
      <c r="A458" t="inlineStr">
        <is>
          <t>MX</t>
        </is>
      </c>
      <c r="B458" t="inlineStr">
        <is>
          <t>W41</t>
        </is>
      </c>
      <c r="C458" t="n">
        <v>41</v>
      </c>
      <c r="G458" t="n">
        <v>192</v>
      </c>
      <c r="H458" t="n">
        <v>177</v>
      </c>
      <c r="I458" t="n">
        <v>337</v>
      </c>
      <c r="J458" t="n">
        <v>0.7</v>
      </c>
      <c r="M458" t="n">
        <v>232</v>
      </c>
    </row>
    <row r="459">
      <c r="A459" t="inlineStr">
        <is>
          <t>MX</t>
        </is>
      </c>
      <c r="B459" t="inlineStr">
        <is>
          <t>W42</t>
        </is>
      </c>
      <c r="C459" t="n">
        <v>42</v>
      </c>
      <c r="G459" t="n">
        <v>193</v>
      </c>
      <c r="H459" t="n">
        <v>178</v>
      </c>
      <c r="I459" t="n">
        <v>338</v>
      </c>
      <c r="J459" t="n">
        <v>0.7</v>
      </c>
      <c r="M459" t="n">
        <v>232</v>
      </c>
    </row>
    <row r="460">
      <c r="A460" t="inlineStr">
        <is>
          <t>MX</t>
        </is>
      </c>
      <c r="B460" t="inlineStr">
        <is>
          <t>W43</t>
        </is>
      </c>
      <c r="C460" t="n">
        <v>43</v>
      </c>
      <c r="G460" t="n">
        <v>233</v>
      </c>
      <c r="H460" t="n">
        <v>216</v>
      </c>
      <c r="I460" t="n">
        <v>409</v>
      </c>
      <c r="J460" t="n">
        <v>0.7</v>
      </c>
      <c r="M460" t="n">
        <v>232</v>
      </c>
    </row>
    <row r="461">
      <c r="A461" t="inlineStr">
        <is>
          <t>MX</t>
        </is>
      </c>
      <c r="B461" t="inlineStr">
        <is>
          <t>W44</t>
        </is>
      </c>
      <c r="C461" t="n">
        <v>44</v>
      </c>
      <c r="G461" t="n">
        <v>239</v>
      </c>
      <c r="H461" t="n">
        <v>220</v>
      </c>
      <c r="I461" t="n">
        <v>419</v>
      </c>
      <c r="J461" t="n">
        <v>0.7</v>
      </c>
      <c r="M461" t="n">
        <v>232</v>
      </c>
    </row>
    <row r="462">
      <c r="A462" t="inlineStr">
        <is>
          <t>MX</t>
        </is>
      </c>
      <c r="B462" t="inlineStr">
        <is>
          <t>W45</t>
        </is>
      </c>
      <c r="C462" t="n">
        <v>45</v>
      </c>
      <c r="G462" t="n">
        <v>228</v>
      </c>
      <c r="H462" t="n">
        <v>210</v>
      </c>
      <c r="I462" t="n">
        <v>400</v>
      </c>
      <c r="J462" t="n">
        <v>0.7</v>
      </c>
      <c r="M462" t="n">
        <v>308</v>
      </c>
    </row>
    <row r="463">
      <c r="A463" t="inlineStr">
        <is>
          <t>MX</t>
        </is>
      </c>
      <c r="B463" t="inlineStr">
        <is>
          <t>W46</t>
        </is>
      </c>
      <c r="C463" t="n">
        <v>46</v>
      </c>
      <c r="G463" t="n">
        <v>233</v>
      </c>
      <c r="H463" t="n">
        <v>216</v>
      </c>
      <c r="I463" t="n">
        <v>410</v>
      </c>
      <c r="J463" t="n">
        <v>0.7</v>
      </c>
      <c r="M463" t="n">
        <v>308</v>
      </c>
    </row>
    <row r="464">
      <c r="A464" t="inlineStr">
        <is>
          <t>MX</t>
        </is>
      </c>
      <c r="B464" t="inlineStr">
        <is>
          <t>W47</t>
        </is>
      </c>
      <c r="C464" t="n">
        <v>47</v>
      </c>
      <c r="G464" t="n">
        <v>215</v>
      </c>
      <c r="H464" t="n">
        <v>199</v>
      </c>
      <c r="I464" t="n">
        <v>377</v>
      </c>
      <c r="J464" t="n">
        <v>0.7</v>
      </c>
      <c r="M464" t="n">
        <v>308</v>
      </c>
    </row>
    <row r="465">
      <c r="A465" t="inlineStr">
        <is>
          <t>MX</t>
        </is>
      </c>
      <c r="B465" t="inlineStr">
        <is>
          <t>W48</t>
        </is>
      </c>
      <c r="C465" t="n">
        <v>48</v>
      </c>
      <c r="G465" t="n">
        <v>222</v>
      </c>
      <c r="H465" t="n">
        <v>204</v>
      </c>
      <c r="I465" t="n">
        <v>388</v>
      </c>
      <c r="J465" t="n">
        <v>0.7</v>
      </c>
      <c r="M465" t="n">
        <v>308</v>
      </c>
    </row>
    <row r="466">
      <c r="A466" t="inlineStr">
        <is>
          <t>MX</t>
        </is>
      </c>
      <c r="B466" t="inlineStr">
        <is>
          <t>W49</t>
        </is>
      </c>
      <c r="C466" t="n">
        <v>49</v>
      </c>
      <c r="G466" t="n">
        <v>249</v>
      </c>
      <c r="H466" t="n">
        <v>230</v>
      </c>
      <c r="I466" t="n">
        <v>436</v>
      </c>
      <c r="J466" t="n">
        <v>0.7</v>
      </c>
      <c r="M466" t="n">
        <v>189</v>
      </c>
    </row>
    <row r="467">
      <c r="A467" t="inlineStr">
        <is>
          <t>MX</t>
        </is>
      </c>
      <c r="B467" t="inlineStr">
        <is>
          <t>W50</t>
        </is>
      </c>
      <c r="C467" t="n">
        <v>50</v>
      </c>
      <c r="G467" t="n">
        <v>222</v>
      </c>
      <c r="H467" t="n">
        <v>205</v>
      </c>
      <c r="I467" t="n">
        <v>389</v>
      </c>
      <c r="J467" t="n">
        <v>0.7</v>
      </c>
      <c r="M467" t="n">
        <v>189</v>
      </c>
    </row>
    <row r="468">
      <c r="A468" t="inlineStr">
        <is>
          <t>MX</t>
        </is>
      </c>
      <c r="B468" t="inlineStr">
        <is>
          <t>W51</t>
        </is>
      </c>
      <c r="C468" t="n">
        <v>51</v>
      </c>
      <c r="G468" t="n">
        <v>231</v>
      </c>
      <c r="H468" t="n">
        <v>213</v>
      </c>
      <c r="I468" t="n">
        <v>405</v>
      </c>
      <c r="J468" t="n">
        <v>0.7</v>
      </c>
      <c r="M468" t="n">
        <v>189</v>
      </c>
    </row>
    <row r="469">
      <c r="A469" t="inlineStr">
        <is>
          <t>MX</t>
        </is>
      </c>
      <c r="B469" t="inlineStr">
        <is>
          <t>W52</t>
        </is>
      </c>
      <c r="C469" t="n">
        <v>52</v>
      </c>
      <c r="G469" t="n">
        <v>192</v>
      </c>
      <c r="H469" t="n">
        <v>177</v>
      </c>
      <c r="I469" t="n">
        <v>337</v>
      </c>
      <c r="J469" t="n">
        <v>0.7</v>
      </c>
      <c r="M469" t="n">
        <v>189</v>
      </c>
    </row>
    <row r="470">
      <c r="A470" t="inlineStr">
        <is>
          <t>AU</t>
        </is>
      </c>
      <c r="B470" t="inlineStr">
        <is>
          <t>W1</t>
        </is>
      </c>
      <c r="C470" t="n">
        <v>1</v>
      </c>
      <c r="D470" t="n">
        <v>156</v>
      </c>
      <c r="E470" t="n">
        <v>14370</v>
      </c>
      <c r="F470" t="n">
        <v>92.11</v>
      </c>
      <c r="G470" t="n">
        <v>251</v>
      </c>
      <c r="H470" t="n">
        <v>185</v>
      </c>
      <c r="I470" t="n">
        <v>309</v>
      </c>
      <c r="J470" t="n">
        <v>0.7</v>
      </c>
      <c r="K470" t="n">
        <v>66</v>
      </c>
      <c r="L470" t="n">
        <v>90</v>
      </c>
      <c r="M470" t="n">
        <v>285</v>
      </c>
    </row>
    <row r="471">
      <c r="A471" t="inlineStr">
        <is>
          <t>AU</t>
        </is>
      </c>
      <c r="B471" t="inlineStr">
        <is>
          <t>W2</t>
        </is>
      </c>
      <c r="C471" t="n">
        <v>2</v>
      </c>
      <c r="D471" t="n">
        <v>256</v>
      </c>
      <c r="E471" t="n">
        <v>28866</v>
      </c>
      <c r="F471" t="n">
        <v>112.76</v>
      </c>
      <c r="G471" t="n">
        <v>306</v>
      </c>
      <c r="H471" t="n">
        <v>224</v>
      </c>
      <c r="I471" t="n">
        <v>377</v>
      </c>
      <c r="J471" t="n">
        <v>0.7</v>
      </c>
      <c r="K471" t="n">
        <v>95</v>
      </c>
      <c r="L471" t="n">
        <v>161</v>
      </c>
      <c r="M471" t="n">
        <v>285</v>
      </c>
    </row>
    <row r="472">
      <c r="A472" t="inlineStr">
        <is>
          <t>AU</t>
        </is>
      </c>
      <c r="B472" t="inlineStr">
        <is>
          <t>W3</t>
        </is>
      </c>
      <c r="C472" t="n">
        <v>3</v>
      </c>
      <c r="D472" t="n">
        <v>290</v>
      </c>
      <c r="E472" t="n">
        <v>36323</v>
      </c>
      <c r="F472" t="n">
        <v>125.25</v>
      </c>
      <c r="G472" t="n">
        <v>310</v>
      </c>
      <c r="H472" t="n">
        <v>234</v>
      </c>
      <c r="I472" t="n">
        <v>395</v>
      </c>
      <c r="J472" t="n">
        <v>0.7</v>
      </c>
      <c r="K472" t="n">
        <v>121</v>
      </c>
      <c r="L472" t="n">
        <v>169</v>
      </c>
      <c r="M472" t="n">
        <v>285</v>
      </c>
    </row>
    <row r="473">
      <c r="A473" t="inlineStr">
        <is>
          <t>AU</t>
        </is>
      </c>
      <c r="B473" t="inlineStr">
        <is>
          <t>W4</t>
        </is>
      </c>
      <c r="C473" t="n">
        <v>4</v>
      </c>
      <c r="D473" t="n">
        <v>273</v>
      </c>
      <c r="E473" t="n">
        <v>30823</v>
      </c>
      <c r="F473" t="n">
        <v>112.9</v>
      </c>
      <c r="G473" t="n">
        <v>265</v>
      </c>
      <c r="H473" t="n">
        <v>219</v>
      </c>
      <c r="I473" t="n">
        <v>375</v>
      </c>
      <c r="J473" t="n">
        <v>0.7</v>
      </c>
      <c r="K473" t="n">
        <v>105</v>
      </c>
      <c r="L473" t="n">
        <v>168</v>
      </c>
      <c r="M473" t="n">
        <v>285</v>
      </c>
    </row>
    <row r="474">
      <c r="A474" t="inlineStr">
        <is>
          <t>AU</t>
        </is>
      </c>
      <c r="B474" t="inlineStr">
        <is>
          <t>W5</t>
        </is>
      </c>
      <c r="C474" t="n">
        <v>5</v>
      </c>
      <c r="D474" t="n">
        <v>239</v>
      </c>
      <c r="E474" t="n">
        <v>40090</v>
      </c>
      <c r="F474" t="n">
        <v>167.74</v>
      </c>
      <c r="G474" t="n">
        <v>271</v>
      </c>
      <c r="H474" t="n">
        <v>220</v>
      </c>
      <c r="I474" t="n">
        <v>371</v>
      </c>
      <c r="J474" t="n">
        <v>0.7</v>
      </c>
      <c r="K474" t="n">
        <v>97</v>
      </c>
      <c r="L474" t="n">
        <v>142</v>
      </c>
      <c r="M474" t="n">
        <v>278</v>
      </c>
    </row>
    <row r="475">
      <c r="A475" t="inlineStr">
        <is>
          <t>AU</t>
        </is>
      </c>
      <c r="B475" t="inlineStr">
        <is>
          <t>W6</t>
        </is>
      </c>
      <c r="C475" t="n">
        <v>6</v>
      </c>
      <c r="D475" t="n">
        <v>256</v>
      </c>
      <c r="E475" t="n">
        <v>42680</v>
      </c>
      <c r="F475" t="n">
        <v>166.72</v>
      </c>
      <c r="G475" t="n">
        <v>299</v>
      </c>
      <c r="H475" t="n">
        <v>226</v>
      </c>
      <c r="I475" t="n">
        <v>370</v>
      </c>
      <c r="J475" t="n">
        <v>0.7</v>
      </c>
      <c r="K475" t="n">
        <v>106</v>
      </c>
      <c r="L475" t="n">
        <v>150</v>
      </c>
      <c r="M475" t="n">
        <v>278</v>
      </c>
    </row>
    <row r="476">
      <c r="A476" t="inlineStr">
        <is>
          <t>AU</t>
        </is>
      </c>
      <c r="B476" t="inlineStr">
        <is>
          <t>W7</t>
        </is>
      </c>
      <c r="C476" t="n">
        <v>7</v>
      </c>
      <c r="D476" t="n">
        <v>328</v>
      </c>
      <c r="E476" t="n">
        <v>42397</v>
      </c>
      <c r="F476" t="n">
        <v>129.26</v>
      </c>
      <c r="G476" t="n">
        <v>329</v>
      </c>
      <c r="H476" t="n">
        <v>245</v>
      </c>
      <c r="I476" t="n">
        <v>401</v>
      </c>
      <c r="J476" t="n">
        <v>0.7</v>
      </c>
      <c r="K476" t="n">
        <v>152</v>
      </c>
      <c r="L476" t="n">
        <v>176</v>
      </c>
      <c r="M476" t="n">
        <v>278</v>
      </c>
    </row>
    <row r="477">
      <c r="A477" t="inlineStr">
        <is>
          <t>AU</t>
        </is>
      </c>
      <c r="B477" t="inlineStr">
        <is>
          <t>W8</t>
        </is>
      </c>
      <c r="C477" t="n">
        <v>8</v>
      </c>
      <c r="D477" t="n">
        <v>256</v>
      </c>
      <c r="E477" t="n">
        <v>37196</v>
      </c>
      <c r="F477" t="n">
        <v>145.3</v>
      </c>
      <c r="G477" t="n">
        <v>282</v>
      </c>
      <c r="H477" t="n">
        <v>220</v>
      </c>
      <c r="I477" t="n">
        <v>368</v>
      </c>
      <c r="J477" t="n">
        <v>0.7</v>
      </c>
      <c r="K477" t="n">
        <v>94</v>
      </c>
      <c r="L477" t="n">
        <v>162</v>
      </c>
      <c r="M477" t="n">
        <v>278</v>
      </c>
    </row>
    <row r="478">
      <c r="A478" t="inlineStr">
        <is>
          <t>AU</t>
        </is>
      </c>
      <c r="B478" t="inlineStr">
        <is>
          <t>W9</t>
        </is>
      </c>
      <c r="C478" t="n">
        <v>9</v>
      </c>
      <c r="D478" t="n">
        <v>256</v>
      </c>
      <c r="E478" t="n">
        <v>36408</v>
      </c>
      <c r="F478" t="n">
        <v>142.22</v>
      </c>
      <c r="G478" t="n">
        <v>285</v>
      </c>
      <c r="H478" t="n">
        <v>220</v>
      </c>
      <c r="I478" t="n">
        <v>367</v>
      </c>
      <c r="J478" t="n">
        <v>0.7</v>
      </c>
      <c r="K478" t="n">
        <v>121</v>
      </c>
      <c r="L478" t="n">
        <v>135</v>
      </c>
      <c r="M478" t="n">
        <v>216</v>
      </c>
    </row>
    <row r="479">
      <c r="A479" t="inlineStr">
        <is>
          <t>AU</t>
        </is>
      </c>
      <c r="B479" t="inlineStr">
        <is>
          <t>W10</t>
        </is>
      </c>
      <c r="C479" t="n">
        <v>10</v>
      </c>
      <c r="D479" t="n">
        <v>251</v>
      </c>
      <c r="E479" t="n">
        <v>31589</v>
      </c>
      <c r="F479" t="n">
        <v>125.85</v>
      </c>
      <c r="G479" t="n">
        <v>295</v>
      </c>
      <c r="H479" t="n">
        <v>221</v>
      </c>
      <c r="I479" t="n">
        <v>366</v>
      </c>
      <c r="J479" t="n">
        <v>0.7</v>
      </c>
      <c r="K479" t="n">
        <v>111</v>
      </c>
      <c r="L479" t="n">
        <v>140</v>
      </c>
      <c r="M479" t="n">
        <v>216</v>
      </c>
    </row>
    <row r="480">
      <c r="A480" t="inlineStr">
        <is>
          <t>AU</t>
        </is>
      </c>
      <c r="B480" t="inlineStr">
        <is>
          <t>W11</t>
        </is>
      </c>
      <c r="C480" t="n">
        <v>11</v>
      </c>
      <c r="D480" t="n">
        <v>241</v>
      </c>
      <c r="E480" t="n">
        <v>30999</v>
      </c>
      <c r="F480" t="n">
        <v>128.63</v>
      </c>
      <c r="G480" t="n">
        <v>312</v>
      </c>
      <c r="H480" t="n">
        <v>226</v>
      </c>
      <c r="I480" t="n">
        <v>375</v>
      </c>
      <c r="J480" t="n">
        <v>0.7</v>
      </c>
      <c r="K480" t="n">
        <v>108</v>
      </c>
      <c r="L480" t="n">
        <v>133</v>
      </c>
      <c r="M480" t="n">
        <v>216</v>
      </c>
    </row>
    <row r="481">
      <c r="A481" t="inlineStr">
        <is>
          <t>AU</t>
        </is>
      </c>
      <c r="B481" t="inlineStr">
        <is>
          <t>W12</t>
        </is>
      </c>
      <c r="C481" t="n">
        <v>12</v>
      </c>
      <c r="D481" t="n">
        <v>244</v>
      </c>
      <c r="E481" t="n">
        <v>28005</v>
      </c>
      <c r="F481" t="n">
        <v>114.77</v>
      </c>
      <c r="G481" t="n">
        <v>297</v>
      </c>
      <c r="H481" t="n">
        <v>225</v>
      </c>
      <c r="I481" t="n">
        <v>367</v>
      </c>
      <c r="J481" t="n">
        <v>0.7</v>
      </c>
      <c r="K481" t="n">
        <v>119</v>
      </c>
      <c r="L481" t="n">
        <v>125</v>
      </c>
      <c r="M481" t="n">
        <v>216</v>
      </c>
    </row>
    <row r="482">
      <c r="A482" t="inlineStr">
        <is>
          <t>AU</t>
        </is>
      </c>
      <c r="B482" t="inlineStr">
        <is>
          <t>W13</t>
        </is>
      </c>
      <c r="C482" t="n">
        <v>13</v>
      </c>
      <c r="D482" t="n">
        <v>208</v>
      </c>
      <c r="E482" t="n">
        <v>24381</v>
      </c>
      <c r="F482" t="n">
        <v>117.22</v>
      </c>
      <c r="G482" t="n">
        <v>279</v>
      </c>
      <c r="H482" t="n">
        <v>212</v>
      </c>
      <c r="I482" t="n">
        <v>346</v>
      </c>
      <c r="J482" t="n">
        <v>0.7</v>
      </c>
      <c r="K482" t="n">
        <v>98</v>
      </c>
      <c r="L482" t="n">
        <v>110</v>
      </c>
      <c r="M482" t="n">
        <v>216</v>
      </c>
    </row>
    <row r="483">
      <c r="A483" t="inlineStr">
        <is>
          <t>AU</t>
        </is>
      </c>
      <c r="B483" t="inlineStr">
        <is>
          <t>W14</t>
        </is>
      </c>
      <c r="C483" t="n">
        <v>14</v>
      </c>
      <c r="D483" t="n">
        <v>170</v>
      </c>
      <c r="E483" t="n">
        <v>22074</v>
      </c>
      <c r="F483" t="n">
        <v>129.84</v>
      </c>
      <c r="G483" t="n">
        <v>271</v>
      </c>
      <c r="H483" t="n">
        <v>201</v>
      </c>
      <c r="I483" t="n">
        <v>331</v>
      </c>
      <c r="J483" t="n">
        <v>0.7</v>
      </c>
      <c r="K483" t="n">
        <v>96</v>
      </c>
      <c r="L483" t="n">
        <v>74</v>
      </c>
      <c r="M483" t="n">
        <v>268</v>
      </c>
    </row>
    <row r="484">
      <c r="A484" t="inlineStr">
        <is>
          <t>AU</t>
        </is>
      </c>
      <c r="B484" t="inlineStr">
        <is>
          <t>W15</t>
        </is>
      </c>
      <c r="C484" t="n">
        <v>15</v>
      </c>
      <c r="D484" t="n">
        <v>166</v>
      </c>
      <c r="E484" t="n">
        <v>25829</v>
      </c>
      <c r="F484" t="n">
        <v>155.59</v>
      </c>
      <c r="G484" t="n">
        <v>313</v>
      </c>
      <c r="H484" t="n">
        <v>210</v>
      </c>
      <c r="I484" t="n">
        <v>391</v>
      </c>
      <c r="J484" t="n">
        <v>0.7</v>
      </c>
      <c r="K484" t="n">
        <v>76</v>
      </c>
      <c r="L484" t="n">
        <v>90</v>
      </c>
      <c r="M484" t="n">
        <v>268</v>
      </c>
    </row>
    <row r="485">
      <c r="A485" t="inlineStr">
        <is>
          <t>AU</t>
        </is>
      </c>
      <c r="B485" t="inlineStr">
        <is>
          <t>W16</t>
        </is>
      </c>
      <c r="C485" t="n">
        <v>16</v>
      </c>
      <c r="G485" t="n">
        <v>111</v>
      </c>
      <c r="H485" t="n">
        <v>66</v>
      </c>
      <c r="I485" t="n">
        <v>156</v>
      </c>
      <c r="J485" t="n">
        <v>0.7</v>
      </c>
      <c r="M485" t="n">
        <v>268</v>
      </c>
    </row>
    <row r="486">
      <c r="A486" t="inlineStr">
        <is>
          <t>AU</t>
        </is>
      </c>
      <c r="B486" t="inlineStr">
        <is>
          <t>W17</t>
        </is>
      </c>
      <c r="C486" t="n">
        <v>17</v>
      </c>
      <c r="G486" t="n">
        <v>259</v>
      </c>
      <c r="H486" t="n">
        <v>190</v>
      </c>
      <c r="I486" t="n">
        <v>301</v>
      </c>
      <c r="J486" t="n">
        <v>0.7</v>
      </c>
      <c r="M486" t="n">
        <v>268</v>
      </c>
    </row>
    <row r="487">
      <c r="A487" t="inlineStr">
        <is>
          <t>AU</t>
        </is>
      </c>
      <c r="B487" t="inlineStr">
        <is>
          <t>W18</t>
        </is>
      </c>
      <c r="C487" t="n">
        <v>18</v>
      </c>
      <c r="G487" t="n">
        <v>278</v>
      </c>
      <c r="H487" t="n">
        <v>204</v>
      </c>
      <c r="I487" t="n">
        <v>323</v>
      </c>
      <c r="J487" t="n">
        <v>0.7</v>
      </c>
      <c r="M487" t="n">
        <v>238</v>
      </c>
    </row>
    <row r="488">
      <c r="A488" t="inlineStr">
        <is>
          <t>AU</t>
        </is>
      </c>
      <c r="B488" t="inlineStr">
        <is>
          <t>W19</t>
        </is>
      </c>
      <c r="C488" t="n">
        <v>19</v>
      </c>
      <c r="G488" t="n">
        <v>273</v>
      </c>
      <c r="H488" t="n">
        <v>200</v>
      </c>
      <c r="I488" t="n">
        <v>317</v>
      </c>
      <c r="J488" t="n">
        <v>0.7</v>
      </c>
      <c r="M488" t="n">
        <v>238</v>
      </c>
    </row>
    <row r="489">
      <c r="A489" t="inlineStr">
        <is>
          <t>AU</t>
        </is>
      </c>
      <c r="B489" t="inlineStr">
        <is>
          <t>W20</t>
        </is>
      </c>
      <c r="C489" t="n">
        <v>20</v>
      </c>
      <c r="G489" t="n">
        <v>275</v>
      </c>
      <c r="H489" t="n">
        <v>202</v>
      </c>
      <c r="I489" t="n">
        <v>319</v>
      </c>
      <c r="J489" t="n">
        <v>0.7</v>
      </c>
      <c r="M489" t="n">
        <v>238</v>
      </c>
    </row>
    <row r="490">
      <c r="A490" t="inlineStr">
        <is>
          <t>AU</t>
        </is>
      </c>
      <c r="B490" t="inlineStr">
        <is>
          <t>W21</t>
        </is>
      </c>
      <c r="C490" t="n">
        <v>21</v>
      </c>
      <c r="G490" t="n">
        <v>283</v>
      </c>
      <c r="H490" t="n">
        <v>207</v>
      </c>
      <c r="I490" t="n">
        <v>328</v>
      </c>
      <c r="J490" t="n">
        <v>0.7</v>
      </c>
      <c r="M490" t="n">
        <v>238</v>
      </c>
    </row>
    <row r="491">
      <c r="A491" t="inlineStr">
        <is>
          <t>AU</t>
        </is>
      </c>
      <c r="B491" t="inlineStr">
        <is>
          <t>W22</t>
        </is>
      </c>
      <c r="C491" t="n">
        <v>22</v>
      </c>
      <c r="G491" t="n">
        <v>272</v>
      </c>
      <c r="H491" t="n">
        <v>199</v>
      </c>
      <c r="I491" t="n">
        <v>316</v>
      </c>
      <c r="J491" t="n">
        <v>0.7</v>
      </c>
      <c r="M491" t="n">
        <v>238</v>
      </c>
    </row>
    <row r="492">
      <c r="A492" t="inlineStr">
        <is>
          <t>AU</t>
        </is>
      </c>
      <c r="B492" t="inlineStr">
        <is>
          <t>W23</t>
        </is>
      </c>
      <c r="C492" t="n">
        <v>23</v>
      </c>
      <c r="G492" t="n">
        <v>263</v>
      </c>
      <c r="H492" t="n">
        <v>192</v>
      </c>
      <c r="I492" t="n">
        <v>304</v>
      </c>
      <c r="J492" t="n">
        <v>0.7</v>
      </c>
      <c r="M492" t="n">
        <v>305</v>
      </c>
    </row>
    <row r="493">
      <c r="A493" t="inlineStr">
        <is>
          <t>AU</t>
        </is>
      </c>
      <c r="B493" t="inlineStr">
        <is>
          <t>W24</t>
        </is>
      </c>
      <c r="C493" t="n">
        <v>24</v>
      </c>
      <c r="G493" t="n">
        <v>290</v>
      </c>
      <c r="H493" t="n">
        <v>213</v>
      </c>
      <c r="I493" t="n">
        <v>337</v>
      </c>
      <c r="J493" t="n">
        <v>0.7</v>
      </c>
      <c r="M493" t="n">
        <v>305</v>
      </c>
    </row>
    <row r="494">
      <c r="A494" t="inlineStr">
        <is>
          <t>AU</t>
        </is>
      </c>
      <c r="B494" t="inlineStr">
        <is>
          <t>W25</t>
        </is>
      </c>
      <c r="C494" t="n">
        <v>25</v>
      </c>
      <c r="G494" t="n">
        <v>318</v>
      </c>
      <c r="H494" t="n">
        <v>233</v>
      </c>
      <c r="I494" t="n">
        <v>368</v>
      </c>
      <c r="J494" t="n">
        <v>0.7</v>
      </c>
      <c r="M494" t="n">
        <v>305</v>
      </c>
    </row>
    <row r="495">
      <c r="A495" t="inlineStr">
        <is>
          <t>AU</t>
        </is>
      </c>
      <c r="B495" t="inlineStr">
        <is>
          <t>W26</t>
        </is>
      </c>
      <c r="C495" t="n">
        <v>26</v>
      </c>
      <c r="G495" t="n">
        <v>290</v>
      </c>
      <c r="H495" t="n">
        <v>212</v>
      </c>
      <c r="I495" t="n">
        <v>336</v>
      </c>
      <c r="J495" t="n">
        <v>0.7</v>
      </c>
      <c r="M495" t="n">
        <v>305</v>
      </c>
    </row>
    <row r="496">
      <c r="A496" t="inlineStr">
        <is>
          <t>AU</t>
        </is>
      </c>
      <c r="B496" t="inlineStr">
        <is>
          <t>W27</t>
        </is>
      </c>
      <c r="C496" t="n">
        <v>27</v>
      </c>
      <c r="G496" t="n">
        <v>288</v>
      </c>
      <c r="H496" t="n">
        <v>211</v>
      </c>
      <c r="I496" t="n">
        <v>335</v>
      </c>
      <c r="J496" t="n">
        <v>0.7</v>
      </c>
      <c r="M496" t="n">
        <v>221</v>
      </c>
    </row>
    <row r="497">
      <c r="A497" t="inlineStr">
        <is>
          <t>AU</t>
        </is>
      </c>
      <c r="B497" t="inlineStr">
        <is>
          <t>W28</t>
        </is>
      </c>
      <c r="C497" t="n">
        <v>28</v>
      </c>
      <c r="G497" t="n">
        <v>310</v>
      </c>
      <c r="H497" t="n">
        <v>227</v>
      </c>
      <c r="I497" t="n">
        <v>359</v>
      </c>
      <c r="J497" t="n">
        <v>0.7</v>
      </c>
      <c r="M497" t="n">
        <v>221</v>
      </c>
    </row>
    <row r="498">
      <c r="A498" t="inlineStr">
        <is>
          <t>AU</t>
        </is>
      </c>
      <c r="B498" t="inlineStr">
        <is>
          <t>W29</t>
        </is>
      </c>
      <c r="C498" t="n">
        <v>29</v>
      </c>
      <c r="G498" t="n">
        <v>287</v>
      </c>
      <c r="H498" t="n">
        <v>210</v>
      </c>
      <c r="I498" t="n">
        <v>333</v>
      </c>
      <c r="J498" t="n">
        <v>0.7</v>
      </c>
      <c r="M498" t="n">
        <v>221</v>
      </c>
    </row>
    <row r="499">
      <c r="A499" t="inlineStr">
        <is>
          <t>AU</t>
        </is>
      </c>
      <c r="B499" t="inlineStr">
        <is>
          <t>W30</t>
        </is>
      </c>
      <c r="C499" t="n">
        <v>30</v>
      </c>
      <c r="G499" t="n">
        <v>279</v>
      </c>
      <c r="H499" t="n">
        <v>205</v>
      </c>
      <c r="I499" t="n">
        <v>325</v>
      </c>
      <c r="J499" t="n">
        <v>0.7</v>
      </c>
      <c r="M499" t="n">
        <v>221</v>
      </c>
    </row>
    <row r="500">
      <c r="A500" t="inlineStr">
        <is>
          <t>AU</t>
        </is>
      </c>
      <c r="B500" t="inlineStr">
        <is>
          <t>W31</t>
        </is>
      </c>
      <c r="C500" t="n">
        <v>31</v>
      </c>
      <c r="G500" t="n">
        <v>267</v>
      </c>
      <c r="H500" t="n">
        <v>196</v>
      </c>
      <c r="I500" t="n">
        <v>310</v>
      </c>
      <c r="J500" t="n">
        <v>0.7</v>
      </c>
      <c r="M500" t="n">
        <v>221</v>
      </c>
    </row>
    <row r="501">
      <c r="A501" t="inlineStr">
        <is>
          <t>AU</t>
        </is>
      </c>
      <c r="B501" t="inlineStr">
        <is>
          <t>W32</t>
        </is>
      </c>
      <c r="C501" t="n">
        <v>32</v>
      </c>
      <c r="G501" t="n">
        <v>266</v>
      </c>
      <c r="H501" t="n">
        <v>195</v>
      </c>
      <c r="I501" t="n">
        <v>309</v>
      </c>
      <c r="J501" t="n">
        <v>0.7</v>
      </c>
      <c r="M501" t="n">
        <v>265</v>
      </c>
    </row>
    <row r="502">
      <c r="A502" t="inlineStr">
        <is>
          <t>AU</t>
        </is>
      </c>
      <c r="B502" t="inlineStr">
        <is>
          <t>W33</t>
        </is>
      </c>
      <c r="C502" t="n">
        <v>33</v>
      </c>
      <c r="G502" t="n">
        <v>264</v>
      </c>
      <c r="H502" t="n">
        <v>193</v>
      </c>
      <c r="I502" t="n">
        <v>306</v>
      </c>
      <c r="J502" t="n">
        <v>0.7</v>
      </c>
      <c r="M502" t="n">
        <v>265</v>
      </c>
    </row>
    <row r="503">
      <c r="A503" t="inlineStr">
        <is>
          <t>AU</t>
        </is>
      </c>
      <c r="B503" t="inlineStr">
        <is>
          <t>W34</t>
        </is>
      </c>
      <c r="C503" t="n">
        <v>34</v>
      </c>
      <c r="G503" t="n">
        <v>291</v>
      </c>
      <c r="H503" t="n">
        <v>213</v>
      </c>
      <c r="I503" t="n">
        <v>338</v>
      </c>
      <c r="J503" t="n">
        <v>0.7</v>
      </c>
      <c r="M503" t="n">
        <v>265</v>
      </c>
    </row>
    <row r="504">
      <c r="A504" t="inlineStr">
        <is>
          <t>AU</t>
        </is>
      </c>
      <c r="B504" t="inlineStr">
        <is>
          <t>W35</t>
        </is>
      </c>
      <c r="C504" t="n">
        <v>35</v>
      </c>
      <c r="G504" t="n">
        <v>278</v>
      </c>
      <c r="H504" t="n">
        <v>204</v>
      </c>
      <c r="I504" t="n">
        <v>323</v>
      </c>
      <c r="J504" t="n">
        <v>0.7</v>
      </c>
      <c r="M504" t="n">
        <v>265</v>
      </c>
    </row>
    <row r="505">
      <c r="A505" t="inlineStr">
        <is>
          <t>AU</t>
        </is>
      </c>
      <c r="B505" t="inlineStr">
        <is>
          <t>W36</t>
        </is>
      </c>
      <c r="C505" t="n">
        <v>36</v>
      </c>
      <c r="G505" t="n">
        <v>274</v>
      </c>
      <c r="H505" t="n">
        <v>201</v>
      </c>
      <c r="I505" t="n">
        <v>318</v>
      </c>
      <c r="J505" t="n">
        <v>0.7</v>
      </c>
      <c r="M505" t="n">
        <v>268</v>
      </c>
    </row>
    <row r="506">
      <c r="A506" t="inlineStr">
        <is>
          <t>AU</t>
        </is>
      </c>
      <c r="B506" t="inlineStr">
        <is>
          <t>W37</t>
        </is>
      </c>
      <c r="C506" t="n">
        <v>37</v>
      </c>
      <c r="G506" t="n">
        <v>284</v>
      </c>
      <c r="H506" t="n">
        <v>208</v>
      </c>
      <c r="I506" t="n">
        <v>330</v>
      </c>
      <c r="J506" t="n">
        <v>0.7</v>
      </c>
      <c r="M506" t="n">
        <v>268</v>
      </c>
    </row>
    <row r="507">
      <c r="A507" t="inlineStr">
        <is>
          <t>AU</t>
        </is>
      </c>
      <c r="B507" t="inlineStr">
        <is>
          <t>W38</t>
        </is>
      </c>
      <c r="C507" t="n">
        <v>38</v>
      </c>
      <c r="G507" t="n">
        <v>291</v>
      </c>
      <c r="H507" t="n">
        <v>213</v>
      </c>
      <c r="I507" t="n">
        <v>338</v>
      </c>
      <c r="J507" t="n">
        <v>0.7</v>
      </c>
      <c r="M507" t="n">
        <v>268</v>
      </c>
    </row>
    <row r="508">
      <c r="A508" t="inlineStr">
        <is>
          <t>AU</t>
        </is>
      </c>
      <c r="B508" t="inlineStr">
        <is>
          <t>W39</t>
        </is>
      </c>
      <c r="C508" t="n">
        <v>39</v>
      </c>
      <c r="G508" t="n">
        <v>272</v>
      </c>
      <c r="H508" t="n">
        <v>200</v>
      </c>
      <c r="I508" t="n">
        <v>316</v>
      </c>
      <c r="J508" t="n">
        <v>0.7</v>
      </c>
      <c r="M508" t="n">
        <v>268</v>
      </c>
    </row>
    <row r="509">
      <c r="A509" t="inlineStr">
        <is>
          <t>AU</t>
        </is>
      </c>
      <c r="B509" t="inlineStr">
        <is>
          <t>W40</t>
        </is>
      </c>
      <c r="C509" t="n">
        <v>40</v>
      </c>
      <c r="G509" t="n">
        <v>261</v>
      </c>
      <c r="H509" t="n">
        <v>191</v>
      </c>
      <c r="I509" t="n">
        <v>303</v>
      </c>
      <c r="J509" t="n">
        <v>0.7</v>
      </c>
      <c r="M509" t="n">
        <v>217</v>
      </c>
    </row>
    <row r="510">
      <c r="A510" t="inlineStr">
        <is>
          <t>AU</t>
        </is>
      </c>
      <c r="B510" t="inlineStr">
        <is>
          <t>W41</t>
        </is>
      </c>
      <c r="C510" t="n">
        <v>41</v>
      </c>
      <c r="G510" t="n">
        <v>257</v>
      </c>
      <c r="H510" t="n">
        <v>188</v>
      </c>
      <c r="I510" t="n">
        <v>298</v>
      </c>
      <c r="J510" t="n">
        <v>0.7</v>
      </c>
      <c r="M510" t="n">
        <v>217</v>
      </c>
    </row>
    <row r="511">
      <c r="A511" t="inlineStr">
        <is>
          <t>AU</t>
        </is>
      </c>
      <c r="B511" t="inlineStr">
        <is>
          <t>W42</t>
        </is>
      </c>
      <c r="C511" t="n">
        <v>42</v>
      </c>
      <c r="G511" t="n">
        <v>250</v>
      </c>
      <c r="H511" t="n">
        <v>183</v>
      </c>
      <c r="I511" t="n">
        <v>289</v>
      </c>
      <c r="J511" t="n">
        <v>0.7</v>
      </c>
      <c r="M511" t="n">
        <v>217</v>
      </c>
    </row>
    <row r="512">
      <c r="A512" t="inlineStr">
        <is>
          <t>AU</t>
        </is>
      </c>
      <c r="B512" t="inlineStr">
        <is>
          <t>W43</t>
        </is>
      </c>
      <c r="C512" t="n">
        <v>43</v>
      </c>
      <c r="G512" t="n">
        <v>274</v>
      </c>
      <c r="H512" t="n">
        <v>201</v>
      </c>
      <c r="I512" t="n">
        <v>318</v>
      </c>
      <c r="J512" t="n">
        <v>0.7</v>
      </c>
      <c r="M512" t="n">
        <v>217</v>
      </c>
    </row>
    <row r="513">
      <c r="A513" t="inlineStr">
        <is>
          <t>AU</t>
        </is>
      </c>
      <c r="B513" t="inlineStr">
        <is>
          <t>W44</t>
        </is>
      </c>
      <c r="C513" t="n">
        <v>44</v>
      </c>
      <c r="G513" t="n">
        <v>265</v>
      </c>
      <c r="H513" t="n">
        <v>194</v>
      </c>
      <c r="I513" t="n">
        <v>308</v>
      </c>
      <c r="J513" t="n">
        <v>0.7</v>
      </c>
      <c r="M513" t="n">
        <v>217</v>
      </c>
    </row>
    <row r="514">
      <c r="A514" t="inlineStr">
        <is>
          <t>AU</t>
        </is>
      </c>
      <c r="B514" t="inlineStr">
        <is>
          <t>W45</t>
        </is>
      </c>
      <c r="C514" t="n">
        <v>45</v>
      </c>
      <c r="G514" t="n">
        <v>277</v>
      </c>
      <c r="H514" t="n">
        <v>203</v>
      </c>
      <c r="I514" t="n">
        <v>321</v>
      </c>
      <c r="J514" t="n">
        <v>0.7</v>
      </c>
      <c r="M514" t="n">
        <v>252</v>
      </c>
    </row>
    <row r="515">
      <c r="A515" t="inlineStr">
        <is>
          <t>AU</t>
        </is>
      </c>
      <c r="B515" t="inlineStr">
        <is>
          <t>W46</t>
        </is>
      </c>
      <c r="C515" t="n">
        <v>46</v>
      </c>
      <c r="G515" t="n">
        <v>272</v>
      </c>
      <c r="H515" t="n">
        <v>200</v>
      </c>
      <c r="I515" t="n">
        <v>316</v>
      </c>
      <c r="J515" t="n">
        <v>0.7</v>
      </c>
      <c r="M515" t="n">
        <v>252</v>
      </c>
    </row>
    <row r="516">
      <c r="A516" t="inlineStr">
        <is>
          <t>AU</t>
        </is>
      </c>
      <c r="B516" t="inlineStr">
        <is>
          <t>W47</t>
        </is>
      </c>
      <c r="C516" t="n">
        <v>47</v>
      </c>
      <c r="G516" t="n">
        <v>286</v>
      </c>
      <c r="H516" t="n">
        <v>210</v>
      </c>
      <c r="I516" t="n">
        <v>332</v>
      </c>
      <c r="J516" t="n">
        <v>0.7</v>
      </c>
      <c r="M516" t="n">
        <v>252</v>
      </c>
    </row>
    <row r="517">
      <c r="A517" t="inlineStr">
        <is>
          <t>AU</t>
        </is>
      </c>
      <c r="B517" t="inlineStr">
        <is>
          <t>W48</t>
        </is>
      </c>
      <c r="C517" t="n">
        <v>48</v>
      </c>
      <c r="G517" t="n">
        <v>275</v>
      </c>
      <c r="H517" t="n">
        <v>202</v>
      </c>
      <c r="I517" t="n">
        <v>319</v>
      </c>
      <c r="J517" t="n">
        <v>0.7</v>
      </c>
      <c r="M517" t="n">
        <v>252</v>
      </c>
    </row>
    <row r="518">
      <c r="A518" t="inlineStr">
        <is>
          <t>AU</t>
        </is>
      </c>
      <c r="B518" t="inlineStr">
        <is>
          <t>W49</t>
        </is>
      </c>
      <c r="C518" t="n">
        <v>49</v>
      </c>
      <c r="G518" t="n">
        <v>224</v>
      </c>
      <c r="H518" t="n">
        <v>164</v>
      </c>
      <c r="I518" t="n">
        <v>260</v>
      </c>
      <c r="J518" t="n">
        <v>0.7</v>
      </c>
      <c r="M518" t="n">
        <v>192</v>
      </c>
    </row>
    <row r="519">
      <c r="A519" t="inlineStr">
        <is>
          <t>AU</t>
        </is>
      </c>
      <c r="B519" t="inlineStr">
        <is>
          <t>W50</t>
        </is>
      </c>
      <c r="C519" t="n">
        <v>50</v>
      </c>
      <c r="G519" t="n">
        <v>211</v>
      </c>
      <c r="H519" t="n">
        <v>155</v>
      </c>
      <c r="I519" t="n">
        <v>246</v>
      </c>
      <c r="J519" t="n">
        <v>0.7</v>
      </c>
      <c r="M519" t="n">
        <v>192</v>
      </c>
    </row>
    <row r="520">
      <c r="A520" t="inlineStr">
        <is>
          <t>AU</t>
        </is>
      </c>
      <c r="B520" t="inlineStr">
        <is>
          <t>W51</t>
        </is>
      </c>
      <c r="C520" t="n">
        <v>51</v>
      </c>
      <c r="G520" t="n">
        <v>215</v>
      </c>
      <c r="H520" t="n">
        <v>157</v>
      </c>
      <c r="I520" t="n">
        <v>249</v>
      </c>
      <c r="J520" t="n">
        <v>0.7</v>
      </c>
      <c r="M520" t="n">
        <v>192</v>
      </c>
    </row>
    <row r="521">
      <c r="A521" t="inlineStr">
        <is>
          <t>AU</t>
        </is>
      </c>
      <c r="B521" t="inlineStr">
        <is>
          <t>W52</t>
        </is>
      </c>
      <c r="C521" t="n">
        <v>52</v>
      </c>
      <c r="G521" t="n">
        <v>211</v>
      </c>
      <c r="H521" t="n">
        <v>155</v>
      </c>
      <c r="I521" t="n">
        <v>246</v>
      </c>
      <c r="J521" t="n">
        <v>0.7</v>
      </c>
      <c r="M521" t="n">
        <v>192</v>
      </c>
    </row>
    <row r="522">
      <c r="A522">
        <f>== MONTHLY ===</f>
        <v/>
      </c>
    </row>
    <row r="523">
      <c r="A523" t="inlineStr">
        <is>
          <t>Market</t>
        </is>
      </c>
      <c r="B523" t="inlineStr">
        <is>
          <t>Month</t>
        </is>
      </c>
      <c r="C523" t="inlineStr">
        <is>
          <t>Mo#</t>
        </is>
      </c>
      <c r="D523" t="inlineStr">
        <is>
          <t>Actual_Regs</t>
        </is>
      </c>
      <c r="E523" t="inlineStr">
        <is>
          <t>Pred_Regs</t>
        </is>
      </c>
      <c r="F523" t="inlineStr">
        <is>
          <t>CI_Lo</t>
        </is>
      </c>
      <c r="G523" t="inlineStr">
        <is>
          <t>CI_Hi</t>
        </is>
      </c>
      <c r="H523" t="inlineStr">
        <is>
          <t>OP2_Regs</t>
        </is>
      </c>
    </row>
    <row r="524">
      <c r="A524" t="inlineStr">
        <is>
          <t>US</t>
        </is>
      </c>
      <c r="B524" t="inlineStr">
        <is>
          <t>Jan</t>
        </is>
      </c>
      <c r="C524" t="n">
        <v>1</v>
      </c>
      <c r="D524" t="n">
        <v>34817</v>
      </c>
      <c r="E524" t="n">
        <v>26410</v>
      </c>
      <c r="F524" t="n">
        <v>20654</v>
      </c>
      <c r="G524" t="n">
        <v>34262</v>
      </c>
      <c r="H524" t="n">
        <v>30435</v>
      </c>
    </row>
    <row r="525">
      <c r="A525" t="inlineStr">
        <is>
          <t>US</t>
        </is>
      </c>
      <c r="B525" t="inlineStr">
        <is>
          <t>Feb</t>
        </is>
      </c>
      <c r="C525" t="n">
        <v>2</v>
      </c>
      <c r="D525" t="n">
        <v>33354</v>
      </c>
      <c r="E525" t="n">
        <v>28614</v>
      </c>
      <c r="F525" t="n">
        <v>21325</v>
      </c>
      <c r="G525" t="n">
        <v>35525</v>
      </c>
      <c r="H525" t="n">
        <v>28323</v>
      </c>
    </row>
    <row r="526">
      <c r="A526" t="inlineStr">
        <is>
          <t>US</t>
        </is>
      </c>
      <c r="B526" t="inlineStr">
        <is>
          <t>Mar</t>
        </is>
      </c>
      <c r="C526" t="n">
        <v>3</v>
      </c>
      <c r="D526" t="n">
        <v>40571</v>
      </c>
      <c r="E526" t="n">
        <v>34710</v>
      </c>
      <c r="F526" t="n">
        <v>25764</v>
      </c>
      <c r="G526" t="n">
        <v>42997</v>
      </c>
      <c r="H526" t="n">
        <v>30517</v>
      </c>
    </row>
    <row r="527">
      <c r="A527" t="inlineStr">
        <is>
          <t>US</t>
        </is>
      </c>
      <c r="B527" t="inlineStr">
        <is>
          <t>Apr</t>
        </is>
      </c>
      <c r="C527" t="n">
        <v>4</v>
      </c>
      <c r="E527" t="n">
        <v>25147</v>
      </c>
      <c r="F527" t="n">
        <v>19355</v>
      </c>
      <c r="G527" t="n">
        <v>31251</v>
      </c>
      <c r="H527" t="n">
        <v>31076</v>
      </c>
    </row>
    <row r="528">
      <c r="A528" t="inlineStr">
        <is>
          <t>US</t>
        </is>
      </c>
      <c r="B528" t="inlineStr">
        <is>
          <t>May</t>
        </is>
      </c>
      <c r="C528" t="n">
        <v>5</v>
      </c>
      <c r="E528" t="n">
        <v>31390</v>
      </c>
      <c r="F528" t="n">
        <v>25278</v>
      </c>
      <c r="G528" t="n">
        <v>38778</v>
      </c>
      <c r="H528" t="n">
        <v>31036</v>
      </c>
    </row>
    <row r="529">
      <c r="A529" t="inlineStr">
        <is>
          <t>US</t>
        </is>
      </c>
      <c r="B529" t="inlineStr">
        <is>
          <t>Jun</t>
        </is>
      </c>
      <c r="C529" t="n">
        <v>6</v>
      </c>
      <c r="E529" t="n">
        <v>28296</v>
      </c>
      <c r="F529" t="n">
        <v>22788</v>
      </c>
      <c r="G529" t="n">
        <v>34957</v>
      </c>
      <c r="H529" t="n">
        <v>29891</v>
      </c>
    </row>
    <row r="530">
      <c r="A530" t="inlineStr">
        <is>
          <t>US</t>
        </is>
      </c>
      <c r="B530" t="inlineStr">
        <is>
          <t>Jul</t>
        </is>
      </c>
      <c r="C530" t="n">
        <v>7</v>
      </c>
      <c r="E530" t="n">
        <v>39728</v>
      </c>
      <c r="F530" t="n">
        <v>31991</v>
      </c>
      <c r="G530" t="n">
        <v>49076</v>
      </c>
      <c r="H530" t="n">
        <v>32162</v>
      </c>
    </row>
    <row r="531">
      <c r="A531" t="inlineStr">
        <is>
          <t>US</t>
        </is>
      </c>
      <c r="B531" t="inlineStr">
        <is>
          <t>Aug</t>
        </is>
      </c>
      <c r="C531" t="n">
        <v>8</v>
      </c>
      <c r="E531" t="n">
        <v>32049</v>
      </c>
      <c r="F531" t="n">
        <v>25809</v>
      </c>
      <c r="G531" t="n">
        <v>39592</v>
      </c>
      <c r="H531" t="n">
        <v>30832</v>
      </c>
    </row>
    <row r="532">
      <c r="A532" t="inlineStr">
        <is>
          <t>US</t>
        </is>
      </c>
      <c r="B532" t="inlineStr">
        <is>
          <t>Sep</t>
        </is>
      </c>
      <c r="C532" t="n">
        <v>9</v>
      </c>
      <c r="E532" t="n">
        <v>31260</v>
      </c>
      <c r="F532" t="n">
        <v>25174</v>
      </c>
      <c r="G532" t="n">
        <v>38619</v>
      </c>
      <c r="H532" t="n">
        <v>30460</v>
      </c>
    </row>
    <row r="533">
      <c r="A533" t="inlineStr">
        <is>
          <t>US</t>
        </is>
      </c>
      <c r="B533" t="inlineStr">
        <is>
          <t>Oct</t>
        </is>
      </c>
      <c r="C533" t="n">
        <v>10</v>
      </c>
      <c r="E533" t="n">
        <v>37144</v>
      </c>
      <c r="F533" t="n">
        <v>29915</v>
      </c>
      <c r="G533" t="n">
        <v>45891</v>
      </c>
      <c r="H533" t="n">
        <v>32617</v>
      </c>
    </row>
    <row r="534">
      <c r="A534" t="inlineStr">
        <is>
          <t>US</t>
        </is>
      </c>
      <c r="B534" t="inlineStr">
        <is>
          <t>Nov</t>
        </is>
      </c>
      <c r="C534" t="n">
        <v>11</v>
      </c>
      <c r="E534" t="n">
        <v>26220</v>
      </c>
      <c r="F534" t="n">
        <v>21115</v>
      </c>
      <c r="G534" t="n">
        <v>32392</v>
      </c>
      <c r="H534" t="n">
        <v>26780</v>
      </c>
    </row>
    <row r="535">
      <c r="A535" t="inlineStr">
        <is>
          <t>US</t>
        </is>
      </c>
      <c r="B535" t="inlineStr">
        <is>
          <t>Dec</t>
        </is>
      </c>
      <c r="C535" t="n">
        <v>12</v>
      </c>
      <c r="E535" t="n">
        <v>26661</v>
      </c>
      <c r="F535" t="n">
        <v>21471</v>
      </c>
      <c r="G535" t="n">
        <v>32937</v>
      </c>
      <c r="H535" t="n">
        <v>26704</v>
      </c>
    </row>
    <row r="536">
      <c r="A536" t="inlineStr">
        <is>
          <t>UK</t>
        </is>
      </c>
      <c r="B536" t="inlineStr">
        <is>
          <t>Jan</t>
        </is>
      </c>
      <c r="C536" t="n">
        <v>1</v>
      </c>
      <c r="D536" t="n">
        <v>5912</v>
      </c>
      <c r="E536" t="n">
        <v>4217</v>
      </c>
      <c r="F536" t="n">
        <v>2752</v>
      </c>
      <c r="G536" t="n">
        <v>5740</v>
      </c>
      <c r="H536" t="n">
        <v>4862</v>
      </c>
    </row>
    <row r="537">
      <c r="A537" t="inlineStr">
        <is>
          <t>UK</t>
        </is>
      </c>
      <c r="B537" t="inlineStr">
        <is>
          <t>Feb</t>
        </is>
      </c>
      <c r="C537" t="n">
        <v>2</v>
      </c>
      <c r="D537" t="n">
        <v>5445</v>
      </c>
      <c r="E537" t="n">
        <v>4735</v>
      </c>
      <c r="F537" t="n">
        <v>3060</v>
      </c>
      <c r="G537" t="n">
        <v>6310</v>
      </c>
      <c r="H537" t="n">
        <v>4592</v>
      </c>
    </row>
    <row r="538">
      <c r="A538" t="inlineStr">
        <is>
          <t>UK</t>
        </is>
      </c>
      <c r="B538" t="inlineStr">
        <is>
          <t>Mar</t>
        </is>
      </c>
      <c r="C538" t="n">
        <v>3</v>
      </c>
      <c r="D538" t="n">
        <v>7002</v>
      </c>
      <c r="E538" t="n">
        <v>6119</v>
      </c>
      <c r="F538" t="n">
        <v>4020</v>
      </c>
      <c r="G538" t="n">
        <v>8190</v>
      </c>
      <c r="H538" t="n">
        <v>5174</v>
      </c>
    </row>
    <row r="539">
      <c r="A539" t="inlineStr">
        <is>
          <t>UK</t>
        </is>
      </c>
      <c r="B539" t="inlineStr">
        <is>
          <t>Apr</t>
        </is>
      </c>
      <c r="C539" t="n">
        <v>4</v>
      </c>
      <c r="E539" t="n">
        <v>4827</v>
      </c>
      <c r="F539" t="n">
        <v>3693</v>
      </c>
      <c r="G539" t="n">
        <v>6036</v>
      </c>
      <c r="H539" t="n">
        <v>4492</v>
      </c>
    </row>
    <row r="540">
      <c r="A540" t="inlineStr">
        <is>
          <t>UK</t>
        </is>
      </c>
      <c r="B540" t="inlineStr">
        <is>
          <t>May</t>
        </is>
      </c>
      <c r="C540" t="n">
        <v>5</v>
      </c>
      <c r="E540" t="n">
        <v>4416</v>
      </c>
      <c r="F540" t="n">
        <v>3637</v>
      </c>
      <c r="G540" t="n">
        <v>5203</v>
      </c>
      <c r="H540" t="n">
        <v>4359</v>
      </c>
    </row>
    <row r="541">
      <c r="A541" t="inlineStr">
        <is>
          <t>UK</t>
        </is>
      </c>
      <c r="B541" t="inlineStr">
        <is>
          <t>Jun</t>
        </is>
      </c>
      <c r="C541" t="n">
        <v>6</v>
      </c>
      <c r="E541" t="n">
        <v>4173</v>
      </c>
      <c r="F541" t="n">
        <v>3437</v>
      </c>
      <c r="G541" t="n">
        <v>4917</v>
      </c>
      <c r="H541" t="n">
        <v>4226</v>
      </c>
    </row>
    <row r="542">
      <c r="A542" t="inlineStr">
        <is>
          <t>UK</t>
        </is>
      </c>
      <c r="B542" t="inlineStr">
        <is>
          <t>Jul</t>
        </is>
      </c>
      <c r="C542" t="n">
        <v>7</v>
      </c>
      <c r="E542" t="n">
        <v>6344</v>
      </c>
      <c r="F542" t="n">
        <v>5226</v>
      </c>
      <c r="G542" t="n">
        <v>7475</v>
      </c>
      <c r="H542" t="n">
        <v>4743</v>
      </c>
    </row>
    <row r="543">
      <c r="A543" t="inlineStr">
        <is>
          <t>UK</t>
        </is>
      </c>
      <c r="B543" t="inlineStr">
        <is>
          <t>Aug</t>
        </is>
      </c>
      <c r="C543" t="n">
        <v>8</v>
      </c>
      <c r="E543" t="n">
        <v>4870</v>
      </c>
      <c r="F543" t="n">
        <v>4012</v>
      </c>
      <c r="G543" t="n">
        <v>5740</v>
      </c>
      <c r="H543" t="n">
        <v>4136</v>
      </c>
    </row>
    <row r="544">
      <c r="A544" t="inlineStr">
        <is>
          <t>UK</t>
        </is>
      </c>
      <c r="B544" t="inlineStr">
        <is>
          <t>Sep</t>
        </is>
      </c>
      <c r="C544" t="n">
        <v>9</v>
      </c>
      <c r="E544" t="n">
        <v>5865</v>
      </c>
      <c r="F544" t="n">
        <v>4832</v>
      </c>
      <c r="G544" t="n">
        <v>6912</v>
      </c>
      <c r="H544" t="n">
        <v>5582</v>
      </c>
    </row>
    <row r="545">
      <c r="A545" t="inlineStr">
        <is>
          <t>UK</t>
        </is>
      </c>
      <c r="B545" t="inlineStr">
        <is>
          <t>Oct</t>
        </is>
      </c>
      <c r="C545" t="n">
        <v>10</v>
      </c>
      <c r="E545" t="n">
        <v>7383</v>
      </c>
      <c r="F545" t="n">
        <v>6080</v>
      </c>
      <c r="G545" t="n">
        <v>8698</v>
      </c>
      <c r="H545" t="n">
        <v>6273</v>
      </c>
    </row>
    <row r="546">
      <c r="A546" t="inlineStr">
        <is>
          <t>UK</t>
        </is>
      </c>
      <c r="B546" t="inlineStr">
        <is>
          <t>Nov</t>
        </is>
      </c>
      <c r="C546" t="n">
        <v>11</v>
      </c>
      <c r="E546" t="n">
        <v>5989</v>
      </c>
      <c r="F546" t="n">
        <v>4931</v>
      </c>
      <c r="G546" t="n">
        <v>7056</v>
      </c>
      <c r="H546" t="n">
        <v>6231</v>
      </c>
    </row>
    <row r="547">
      <c r="A547" t="inlineStr">
        <is>
          <t>UK</t>
        </is>
      </c>
      <c r="B547" t="inlineStr">
        <is>
          <t>Dec</t>
        </is>
      </c>
      <c r="C547" t="n">
        <v>12</v>
      </c>
      <c r="E547" t="n">
        <v>4021</v>
      </c>
      <c r="F547" t="n">
        <v>3312</v>
      </c>
      <c r="G547" t="n">
        <v>4738</v>
      </c>
      <c r="H547" t="n">
        <v>4017</v>
      </c>
    </row>
    <row r="548">
      <c r="A548" t="inlineStr">
        <is>
          <t>DE</t>
        </is>
      </c>
      <c r="B548" t="inlineStr">
        <is>
          <t>Jan</t>
        </is>
      </c>
      <c r="C548" t="n">
        <v>1</v>
      </c>
      <c r="D548" t="n">
        <v>6226</v>
      </c>
      <c r="E548" t="n">
        <v>4985</v>
      </c>
      <c r="F548" t="n">
        <v>4231</v>
      </c>
      <c r="G548" t="n">
        <v>5967</v>
      </c>
      <c r="H548" t="n">
        <v>6656</v>
      </c>
    </row>
    <row r="549">
      <c r="A549" t="inlineStr">
        <is>
          <t>DE</t>
        </is>
      </c>
      <c r="B549" t="inlineStr">
        <is>
          <t>Feb</t>
        </is>
      </c>
      <c r="C549" t="n">
        <v>2</v>
      </c>
      <c r="D549" t="n">
        <v>5824</v>
      </c>
      <c r="E549" t="n">
        <v>5417</v>
      </c>
      <c r="F549" t="n">
        <v>4480</v>
      </c>
      <c r="G549" t="n">
        <v>6295</v>
      </c>
      <c r="H549" t="n">
        <v>6107</v>
      </c>
    </row>
    <row r="550">
      <c r="A550" t="inlineStr">
        <is>
          <t>DE</t>
        </is>
      </c>
      <c r="B550" t="inlineStr">
        <is>
          <t>Mar</t>
        </is>
      </c>
      <c r="C550" t="n">
        <v>3</v>
      </c>
      <c r="D550" t="n">
        <v>6076</v>
      </c>
      <c r="E550" t="n">
        <v>6286</v>
      </c>
      <c r="F550" t="n">
        <v>5197</v>
      </c>
      <c r="G550" t="n">
        <v>7246</v>
      </c>
      <c r="H550" t="n">
        <v>6129</v>
      </c>
    </row>
    <row r="551">
      <c r="A551" t="inlineStr">
        <is>
          <t>DE</t>
        </is>
      </c>
      <c r="B551" t="inlineStr">
        <is>
          <t>Apr</t>
        </is>
      </c>
      <c r="C551" t="n">
        <v>4</v>
      </c>
      <c r="E551" t="n">
        <v>4597</v>
      </c>
      <c r="F551" t="n">
        <v>3286</v>
      </c>
      <c r="G551" t="n">
        <v>5421</v>
      </c>
      <c r="H551" t="n">
        <v>5747</v>
      </c>
    </row>
    <row r="552">
      <c r="A552" t="inlineStr">
        <is>
          <t>DE</t>
        </is>
      </c>
      <c r="B552" t="inlineStr">
        <is>
          <t>May</t>
        </is>
      </c>
      <c r="C552" t="n">
        <v>5</v>
      </c>
      <c r="E552" t="n">
        <v>4987</v>
      </c>
      <c r="F552" t="n">
        <v>3987</v>
      </c>
      <c r="G552" t="n">
        <v>6188</v>
      </c>
      <c r="H552" t="n">
        <v>5734</v>
      </c>
    </row>
    <row r="553">
      <c r="A553" t="inlineStr">
        <is>
          <t>DE</t>
        </is>
      </c>
      <c r="B553" t="inlineStr">
        <is>
          <t>Jun</t>
        </is>
      </c>
      <c r="C553" t="n">
        <v>6</v>
      </c>
      <c r="E553" t="n">
        <v>4170</v>
      </c>
      <c r="F553" t="n">
        <v>3332</v>
      </c>
      <c r="G553" t="n">
        <v>5175</v>
      </c>
      <c r="H553" t="n">
        <v>5811</v>
      </c>
    </row>
    <row r="554">
      <c r="A554" t="inlineStr">
        <is>
          <t>DE</t>
        </is>
      </c>
      <c r="B554" t="inlineStr">
        <is>
          <t>Jul</t>
        </is>
      </c>
      <c r="C554" t="n">
        <v>7</v>
      </c>
      <c r="E554" t="n">
        <v>5246</v>
      </c>
      <c r="F554" t="n">
        <v>4195</v>
      </c>
      <c r="G554" t="n">
        <v>6512</v>
      </c>
      <c r="H554" t="n">
        <v>6826</v>
      </c>
    </row>
    <row r="555">
      <c r="A555" t="inlineStr">
        <is>
          <t>DE</t>
        </is>
      </c>
      <c r="B555" t="inlineStr">
        <is>
          <t>Aug</t>
        </is>
      </c>
      <c r="C555" t="n">
        <v>8</v>
      </c>
      <c r="E555" t="n">
        <v>4005</v>
      </c>
      <c r="F555" t="n">
        <v>3202</v>
      </c>
      <c r="G555" t="n">
        <v>4970</v>
      </c>
      <c r="H555" t="n">
        <v>5056</v>
      </c>
    </row>
    <row r="556">
      <c r="A556" t="inlineStr">
        <is>
          <t>DE</t>
        </is>
      </c>
      <c r="B556" t="inlineStr">
        <is>
          <t>Sep</t>
        </is>
      </c>
      <c r="C556" t="n">
        <v>9</v>
      </c>
      <c r="E556" t="n">
        <v>4582</v>
      </c>
      <c r="F556" t="n">
        <v>3663</v>
      </c>
      <c r="G556" t="n">
        <v>5686</v>
      </c>
      <c r="H556" t="n">
        <v>6245</v>
      </c>
    </row>
    <row r="557">
      <c r="A557" t="inlineStr">
        <is>
          <t>DE</t>
        </is>
      </c>
      <c r="B557" t="inlineStr">
        <is>
          <t>Oct</t>
        </is>
      </c>
      <c r="C557" t="n">
        <v>10</v>
      </c>
      <c r="E557" t="n">
        <v>6005</v>
      </c>
      <c r="F557" t="n">
        <v>4800</v>
      </c>
      <c r="G557" t="n">
        <v>7451</v>
      </c>
      <c r="H557" t="n">
        <v>6758</v>
      </c>
    </row>
    <row r="558">
      <c r="A558" t="inlineStr">
        <is>
          <t>DE</t>
        </is>
      </c>
      <c r="B558" t="inlineStr">
        <is>
          <t>Nov</t>
        </is>
      </c>
      <c r="C558" t="n">
        <v>11</v>
      </c>
      <c r="E558" t="n">
        <v>5333</v>
      </c>
      <c r="F558" t="n">
        <v>4265</v>
      </c>
      <c r="G558" t="n">
        <v>6619</v>
      </c>
      <c r="H558" t="n">
        <v>6977</v>
      </c>
    </row>
    <row r="559">
      <c r="A559" t="inlineStr">
        <is>
          <t>DE</t>
        </is>
      </c>
      <c r="B559" t="inlineStr">
        <is>
          <t>Dec</t>
        </is>
      </c>
      <c r="C559" t="n">
        <v>12</v>
      </c>
      <c r="E559" t="n">
        <v>3954</v>
      </c>
      <c r="F559" t="n">
        <v>3161</v>
      </c>
      <c r="G559" t="n">
        <v>4908</v>
      </c>
      <c r="H559" t="n">
        <v>4929</v>
      </c>
    </row>
    <row r="560">
      <c r="A560" t="inlineStr">
        <is>
          <t>FR</t>
        </is>
      </c>
      <c r="B560" t="inlineStr">
        <is>
          <t>Jan</t>
        </is>
      </c>
      <c r="C560" t="n">
        <v>1</v>
      </c>
      <c r="D560" t="n">
        <v>3899</v>
      </c>
      <c r="E560" t="n">
        <v>4289</v>
      </c>
      <c r="F560" t="n">
        <v>3455</v>
      </c>
      <c r="G560" t="n">
        <v>5213</v>
      </c>
      <c r="H560" t="n">
        <v>5014</v>
      </c>
    </row>
    <row r="561">
      <c r="A561" t="inlineStr">
        <is>
          <t>FR</t>
        </is>
      </c>
      <c r="B561" t="inlineStr">
        <is>
          <t>Feb</t>
        </is>
      </c>
      <c r="C561" t="n">
        <v>2</v>
      </c>
      <c r="D561" t="n">
        <v>4268</v>
      </c>
      <c r="E561" t="n">
        <v>4825</v>
      </c>
      <c r="F561" t="n">
        <v>3926</v>
      </c>
      <c r="G561" t="n">
        <v>5855</v>
      </c>
      <c r="H561" t="n">
        <v>4351</v>
      </c>
    </row>
    <row r="562">
      <c r="A562" t="inlineStr">
        <is>
          <t>FR</t>
        </is>
      </c>
      <c r="B562" t="inlineStr">
        <is>
          <t>Mar</t>
        </is>
      </c>
      <c r="C562" t="n">
        <v>3</v>
      </c>
      <c r="D562" t="n">
        <v>5675</v>
      </c>
      <c r="E562" t="n">
        <v>6101</v>
      </c>
      <c r="F562" t="n">
        <v>4965</v>
      </c>
      <c r="G562" t="n">
        <v>7373</v>
      </c>
      <c r="H562" t="n">
        <v>4694</v>
      </c>
    </row>
    <row r="563">
      <c r="A563" t="inlineStr">
        <is>
          <t>FR</t>
        </is>
      </c>
      <c r="B563" t="inlineStr">
        <is>
          <t>Apr</t>
        </is>
      </c>
      <c r="C563" t="n">
        <v>4</v>
      </c>
      <c r="E563" t="n">
        <v>4315</v>
      </c>
      <c r="F563" t="n">
        <v>3509</v>
      </c>
      <c r="G563" t="n">
        <v>5013</v>
      </c>
      <c r="H563" t="n">
        <v>4117</v>
      </c>
    </row>
    <row r="564">
      <c r="A564" t="inlineStr">
        <is>
          <t>FR</t>
        </is>
      </c>
      <c r="B564" t="inlineStr">
        <is>
          <t>May</t>
        </is>
      </c>
      <c r="C564" t="n">
        <v>5</v>
      </c>
      <c r="E564" t="n">
        <v>4709</v>
      </c>
      <c r="F564" t="n">
        <v>3758</v>
      </c>
      <c r="G564" t="n">
        <v>5173</v>
      </c>
      <c r="H564" t="n">
        <v>3771</v>
      </c>
    </row>
    <row r="565">
      <c r="A565" t="inlineStr">
        <is>
          <t>FR</t>
        </is>
      </c>
      <c r="B565" t="inlineStr">
        <is>
          <t>Jun</t>
        </is>
      </c>
      <c r="C565" t="n">
        <v>6</v>
      </c>
      <c r="E565" t="n">
        <v>3928</v>
      </c>
      <c r="F565" t="n">
        <v>3132</v>
      </c>
      <c r="G565" t="n">
        <v>4313</v>
      </c>
      <c r="H565" t="n">
        <v>4136</v>
      </c>
    </row>
    <row r="566">
      <c r="A566" t="inlineStr">
        <is>
          <t>FR</t>
        </is>
      </c>
      <c r="B566" t="inlineStr">
        <is>
          <t>Jul</t>
        </is>
      </c>
      <c r="C566" t="n">
        <v>7</v>
      </c>
      <c r="E566" t="n">
        <v>4741</v>
      </c>
      <c r="F566" t="n">
        <v>3784</v>
      </c>
      <c r="G566" t="n">
        <v>5211</v>
      </c>
      <c r="H566" t="n">
        <v>4285</v>
      </c>
    </row>
    <row r="567">
      <c r="A567" t="inlineStr">
        <is>
          <t>FR</t>
        </is>
      </c>
      <c r="B567" t="inlineStr">
        <is>
          <t>Aug</t>
        </is>
      </c>
      <c r="C567" t="n">
        <v>8</v>
      </c>
      <c r="E567" t="n">
        <v>4392</v>
      </c>
      <c r="F567" t="n">
        <v>3504</v>
      </c>
      <c r="G567" t="n">
        <v>4825</v>
      </c>
      <c r="H567" t="n">
        <v>3669</v>
      </c>
    </row>
    <row r="568">
      <c r="A568" t="inlineStr">
        <is>
          <t>FR</t>
        </is>
      </c>
      <c r="B568" t="inlineStr">
        <is>
          <t>Sep</t>
        </is>
      </c>
      <c r="C568" t="n">
        <v>9</v>
      </c>
      <c r="E568" t="n">
        <v>5508</v>
      </c>
      <c r="F568" t="n">
        <v>4393</v>
      </c>
      <c r="G568" t="n">
        <v>6050</v>
      </c>
      <c r="H568" t="n">
        <v>5210</v>
      </c>
    </row>
    <row r="569">
      <c r="A569" t="inlineStr">
        <is>
          <t>FR</t>
        </is>
      </c>
      <c r="B569" t="inlineStr">
        <is>
          <t>Oct</t>
        </is>
      </c>
      <c r="C569" t="n">
        <v>10</v>
      </c>
      <c r="E569" t="n">
        <v>6455</v>
      </c>
      <c r="F569" t="n">
        <v>5147</v>
      </c>
      <c r="G569" t="n">
        <v>7089</v>
      </c>
      <c r="H569" t="n">
        <v>5223</v>
      </c>
    </row>
    <row r="570">
      <c r="A570" t="inlineStr">
        <is>
          <t>FR</t>
        </is>
      </c>
      <c r="B570" t="inlineStr">
        <is>
          <t>Nov</t>
        </is>
      </c>
      <c r="C570" t="n">
        <v>11</v>
      </c>
      <c r="E570" t="n">
        <v>5178</v>
      </c>
      <c r="F570" t="n">
        <v>4130</v>
      </c>
      <c r="G570" t="n">
        <v>5688</v>
      </c>
      <c r="H570" t="n">
        <v>5344</v>
      </c>
    </row>
    <row r="571">
      <c r="A571" t="inlineStr">
        <is>
          <t>FR</t>
        </is>
      </c>
      <c r="B571" t="inlineStr">
        <is>
          <t>Dec</t>
        </is>
      </c>
      <c r="C571" t="n">
        <v>12</v>
      </c>
      <c r="E571" t="n">
        <v>3660</v>
      </c>
      <c r="F571" t="n">
        <v>2918</v>
      </c>
      <c r="G571" t="n">
        <v>4020</v>
      </c>
      <c r="H571" t="n">
        <v>3640</v>
      </c>
    </row>
    <row r="572">
      <c r="A572" t="inlineStr">
        <is>
          <t>IT</t>
        </is>
      </c>
      <c r="B572" t="inlineStr">
        <is>
          <t>Jan</t>
        </is>
      </c>
      <c r="C572" t="n">
        <v>1</v>
      </c>
      <c r="D572" t="n">
        <v>4714</v>
      </c>
      <c r="E572" t="n">
        <v>4975</v>
      </c>
      <c r="F572" t="n">
        <v>3926</v>
      </c>
      <c r="G572" t="n">
        <v>6159</v>
      </c>
      <c r="H572" t="n">
        <v>5625</v>
      </c>
    </row>
    <row r="573">
      <c r="A573" t="inlineStr">
        <is>
          <t>IT</t>
        </is>
      </c>
      <c r="B573" t="inlineStr">
        <is>
          <t>Feb</t>
        </is>
      </c>
      <c r="C573" t="n">
        <v>2</v>
      </c>
      <c r="D573" t="n">
        <v>5279</v>
      </c>
      <c r="E573" t="n">
        <v>5823</v>
      </c>
      <c r="F573" t="n">
        <v>4670</v>
      </c>
      <c r="G573" t="n">
        <v>7247</v>
      </c>
      <c r="H573" t="n">
        <v>5356</v>
      </c>
    </row>
    <row r="574">
      <c r="A574" t="inlineStr">
        <is>
          <t>IT</t>
        </is>
      </c>
      <c r="B574" t="inlineStr">
        <is>
          <t>Mar</t>
        </is>
      </c>
      <c r="C574" t="n">
        <v>3</v>
      </c>
      <c r="D574" t="n">
        <v>6499</v>
      </c>
      <c r="E574" t="n">
        <v>7181</v>
      </c>
      <c r="F574" t="n">
        <v>5621</v>
      </c>
      <c r="G574" t="n">
        <v>8701</v>
      </c>
      <c r="H574" t="n">
        <v>5563</v>
      </c>
    </row>
    <row r="575">
      <c r="A575" t="inlineStr">
        <is>
          <t>IT</t>
        </is>
      </c>
      <c r="B575" t="inlineStr">
        <is>
          <t>Apr</t>
        </is>
      </c>
      <c r="C575" t="n">
        <v>4</v>
      </c>
      <c r="E575" t="n">
        <v>5139</v>
      </c>
      <c r="F575" t="n">
        <v>4071</v>
      </c>
      <c r="G575" t="n">
        <v>6087</v>
      </c>
      <c r="H575" t="n">
        <v>5042</v>
      </c>
    </row>
    <row r="576">
      <c r="A576" t="inlineStr">
        <is>
          <t>IT</t>
        </is>
      </c>
      <c r="B576" t="inlineStr">
        <is>
          <t>May</t>
        </is>
      </c>
      <c r="C576" t="n">
        <v>5</v>
      </c>
      <c r="E576" t="n">
        <v>6315</v>
      </c>
      <c r="F576" t="n">
        <v>4991</v>
      </c>
      <c r="G576" t="n">
        <v>7080</v>
      </c>
      <c r="H576" t="n">
        <v>5353</v>
      </c>
    </row>
    <row r="577">
      <c r="A577" t="inlineStr">
        <is>
          <t>IT</t>
        </is>
      </c>
      <c r="B577" t="inlineStr">
        <is>
          <t>Jun</t>
        </is>
      </c>
      <c r="C577" t="n">
        <v>6</v>
      </c>
      <c r="E577" t="n">
        <v>4773</v>
      </c>
      <c r="F577" t="n">
        <v>3774</v>
      </c>
      <c r="G577" t="n">
        <v>5353</v>
      </c>
      <c r="H577" t="n">
        <v>4943</v>
      </c>
    </row>
    <row r="578">
      <c r="A578" t="inlineStr">
        <is>
          <t>IT</t>
        </is>
      </c>
      <c r="B578" t="inlineStr">
        <is>
          <t>Jul</t>
        </is>
      </c>
      <c r="C578" t="n">
        <v>7</v>
      </c>
      <c r="E578" t="n">
        <v>5022</v>
      </c>
      <c r="F578" t="n">
        <v>3971</v>
      </c>
      <c r="G578" t="n">
        <v>5633</v>
      </c>
      <c r="H578" t="n">
        <v>5286</v>
      </c>
    </row>
    <row r="579">
      <c r="A579" t="inlineStr">
        <is>
          <t>IT</t>
        </is>
      </c>
      <c r="B579" t="inlineStr">
        <is>
          <t>Aug</t>
        </is>
      </c>
      <c r="C579" t="n">
        <v>8</v>
      </c>
      <c r="E579" t="n">
        <v>4372</v>
      </c>
      <c r="F579" t="n">
        <v>3456</v>
      </c>
      <c r="G579" t="n">
        <v>4903</v>
      </c>
      <c r="H579" t="n">
        <v>3838</v>
      </c>
    </row>
    <row r="580">
      <c r="A580" t="inlineStr">
        <is>
          <t>IT</t>
        </is>
      </c>
      <c r="B580" t="inlineStr">
        <is>
          <t>Sep</t>
        </is>
      </c>
      <c r="C580" t="n">
        <v>9</v>
      </c>
      <c r="E580" t="n">
        <v>5479</v>
      </c>
      <c r="F580" t="n">
        <v>4329</v>
      </c>
      <c r="G580" t="n">
        <v>6141</v>
      </c>
      <c r="H580" t="n">
        <v>5881</v>
      </c>
    </row>
    <row r="581">
      <c r="A581" t="inlineStr">
        <is>
          <t>IT</t>
        </is>
      </c>
      <c r="B581" t="inlineStr">
        <is>
          <t>Oct</t>
        </is>
      </c>
      <c r="C581" t="n">
        <v>10</v>
      </c>
      <c r="E581" t="n">
        <v>6856</v>
      </c>
      <c r="F581" t="n">
        <v>5423</v>
      </c>
      <c r="G581" t="n">
        <v>7689</v>
      </c>
      <c r="H581" t="n">
        <v>6410</v>
      </c>
    </row>
    <row r="582">
      <c r="A582" t="inlineStr">
        <is>
          <t>IT</t>
        </is>
      </c>
      <c r="B582" t="inlineStr">
        <is>
          <t>Nov</t>
        </is>
      </c>
      <c r="C582" t="n">
        <v>11</v>
      </c>
      <c r="E582" t="n">
        <v>6319</v>
      </c>
      <c r="F582" t="n">
        <v>4997</v>
      </c>
      <c r="G582" t="n">
        <v>7087</v>
      </c>
      <c r="H582" t="n">
        <v>6450</v>
      </c>
    </row>
    <row r="583">
      <c r="A583" t="inlineStr">
        <is>
          <t>IT</t>
        </is>
      </c>
      <c r="B583" t="inlineStr">
        <is>
          <t>Dec</t>
        </is>
      </c>
      <c r="C583" t="n">
        <v>12</v>
      </c>
      <c r="E583" t="n">
        <v>4199</v>
      </c>
      <c r="F583" t="n">
        <v>3319</v>
      </c>
      <c r="G583" t="n">
        <v>4709</v>
      </c>
      <c r="H583" t="n">
        <v>4688</v>
      </c>
    </row>
    <row r="584">
      <c r="A584" t="inlineStr">
        <is>
          <t>ES</t>
        </is>
      </c>
      <c r="B584" t="inlineStr">
        <is>
          <t>Jan</t>
        </is>
      </c>
      <c r="C584" t="n">
        <v>1</v>
      </c>
      <c r="D584" t="n">
        <v>2240</v>
      </c>
      <c r="E584" t="n">
        <v>2601</v>
      </c>
      <c r="F584" t="n">
        <v>2018</v>
      </c>
      <c r="G584" t="n">
        <v>3197</v>
      </c>
      <c r="H584" t="n">
        <v>2540</v>
      </c>
    </row>
    <row r="585">
      <c r="A585" t="inlineStr">
        <is>
          <t>ES</t>
        </is>
      </c>
      <c r="B585" t="inlineStr">
        <is>
          <t>Feb</t>
        </is>
      </c>
      <c r="C585" t="n">
        <v>2</v>
      </c>
      <c r="D585" t="n">
        <v>2579</v>
      </c>
      <c r="E585" t="n">
        <v>2945</v>
      </c>
      <c r="F585" t="n">
        <v>2361</v>
      </c>
      <c r="G585" t="n">
        <v>3727</v>
      </c>
      <c r="H585" t="n">
        <v>2347</v>
      </c>
    </row>
    <row r="586">
      <c r="A586" t="inlineStr">
        <is>
          <t>ES</t>
        </is>
      </c>
      <c r="B586" t="inlineStr">
        <is>
          <t>Mar</t>
        </is>
      </c>
      <c r="C586" t="n">
        <v>3</v>
      </c>
      <c r="D586" t="n">
        <v>3256</v>
      </c>
      <c r="E586" t="n">
        <v>3547</v>
      </c>
      <c r="F586" t="n">
        <v>2764</v>
      </c>
      <c r="G586" t="n">
        <v>4357</v>
      </c>
      <c r="H586" t="n">
        <v>2395</v>
      </c>
    </row>
    <row r="587">
      <c r="A587" t="inlineStr">
        <is>
          <t>ES</t>
        </is>
      </c>
      <c r="B587" t="inlineStr">
        <is>
          <t>Apr</t>
        </is>
      </c>
      <c r="C587" t="n">
        <v>4</v>
      </c>
      <c r="E587" t="n">
        <v>2633</v>
      </c>
      <c r="F587" t="n">
        <v>2033</v>
      </c>
      <c r="G587" t="n">
        <v>3071</v>
      </c>
      <c r="H587" t="n">
        <v>1964</v>
      </c>
    </row>
    <row r="588">
      <c r="A588" t="inlineStr">
        <is>
          <t>ES</t>
        </is>
      </c>
      <c r="B588" t="inlineStr">
        <is>
          <t>May</t>
        </is>
      </c>
      <c r="C588" t="n">
        <v>5</v>
      </c>
      <c r="E588" t="n">
        <v>2981</v>
      </c>
      <c r="F588" t="n">
        <v>2411</v>
      </c>
      <c r="G588" t="n">
        <v>3353</v>
      </c>
      <c r="H588" t="n">
        <v>2345</v>
      </c>
    </row>
    <row r="589">
      <c r="A589" t="inlineStr">
        <is>
          <t>ES</t>
        </is>
      </c>
      <c r="B589" t="inlineStr">
        <is>
          <t>Jun</t>
        </is>
      </c>
      <c r="C589" t="n">
        <v>6</v>
      </c>
      <c r="E589" t="n">
        <v>2391</v>
      </c>
      <c r="F589" t="n">
        <v>1934</v>
      </c>
      <c r="G589" t="n">
        <v>2689</v>
      </c>
      <c r="H589" t="n">
        <v>2461</v>
      </c>
    </row>
    <row r="590">
      <c r="A590" t="inlineStr">
        <is>
          <t>ES</t>
        </is>
      </c>
      <c r="B590" t="inlineStr">
        <is>
          <t>Jul</t>
        </is>
      </c>
      <c r="C590" t="n">
        <v>7</v>
      </c>
      <c r="E590" t="n">
        <v>2553</v>
      </c>
      <c r="F590" t="n">
        <v>2066</v>
      </c>
      <c r="G590" t="n">
        <v>2871</v>
      </c>
      <c r="H590" t="n">
        <v>2618</v>
      </c>
    </row>
    <row r="591">
      <c r="A591" t="inlineStr">
        <is>
          <t>ES</t>
        </is>
      </c>
      <c r="B591" t="inlineStr">
        <is>
          <t>Aug</t>
        </is>
      </c>
      <c r="C591" t="n">
        <v>8</v>
      </c>
      <c r="E591" t="n">
        <v>2083</v>
      </c>
      <c r="F591" t="n">
        <v>1686</v>
      </c>
      <c r="G591" t="n">
        <v>2344</v>
      </c>
      <c r="H591" t="n">
        <v>1896</v>
      </c>
    </row>
    <row r="592">
      <c r="A592" t="inlineStr">
        <is>
          <t>ES</t>
        </is>
      </c>
      <c r="B592" t="inlineStr">
        <is>
          <t>Sep</t>
        </is>
      </c>
      <c r="C592" t="n">
        <v>9</v>
      </c>
      <c r="E592" t="n">
        <v>2640</v>
      </c>
      <c r="F592" t="n">
        <v>2136</v>
      </c>
      <c r="G592" t="n">
        <v>2967</v>
      </c>
      <c r="H592" t="n">
        <v>2860</v>
      </c>
    </row>
    <row r="593">
      <c r="A593" t="inlineStr">
        <is>
          <t>ES</t>
        </is>
      </c>
      <c r="B593" t="inlineStr">
        <is>
          <t>Oct</t>
        </is>
      </c>
      <c r="C593" t="n">
        <v>10</v>
      </c>
      <c r="E593" t="n">
        <v>3543</v>
      </c>
      <c r="F593" t="n">
        <v>2867</v>
      </c>
      <c r="G593" t="n">
        <v>3984</v>
      </c>
      <c r="H593" t="n">
        <v>3250</v>
      </c>
    </row>
    <row r="594">
      <c r="A594" t="inlineStr">
        <is>
          <t>ES</t>
        </is>
      </c>
      <c r="B594" t="inlineStr">
        <is>
          <t>Nov</t>
        </is>
      </c>
      <c r="C594" t="n">
        <v>11</v>
      </c>
      <c r="E594" t="n">
        <v>2991</v>
      </c>
      <c r="F594" t="n">
        <v>2419</v>
      </c>
      <c r="G594" t="n">
        <v>3362</v>
      </c>
      <c r="H594" t="n">
        <v>3386</v>
      </c>
    </row>
    <row r="595">
      <c r="A595" t="inlineStr">
        <is>
          <t>ES</t>
        </is>
      </c>
      <c r="B595" t="inlineStr">
        <is>
          <t>Dec</t>
        </is>
      </c>
      <c r="C595" t="n">
        <v>12</v>
      </c>
      <c r="E595" t="n">
        <v>2043</v>
      </c>
      <c r="F595" t="n">
        <v>1652</v>
      </c>
      <c r="G595" t="n">
        <v>2298</v>
      </c>
      <c r="H595" t="n">
        <v>1892</v>
      </c>
    </row>
    <row r="596">
      <c r="A596" t="inlineStr">
        <is>
          <t>CA</t>
        </is>
      </c>
      <c r="B596" t="inlineStr">
        <is>
          <t>Jan</t>
        </is>
      </c>
      <c r="C596" t="n">
        <v>1</v>
      </c>
      <c r="D596" t="n">
        <v>2712</v>
      </c>
      <c r="E596" t="n">
        <v>2952</v>
      </c>
      <c r="F596" t="n">
        <v>2377</v>
      </c>
      <c r="G596" t="n">
        <v>3536</v>
      </c>
      <c r="H596" t="n">
        <v>2719</v>
      </c>
    </row>
    <row r="597">
      <c r="A597" t="inlineStr">
        <is>
          <t>CA</t>
        </is>
      </c>
      <c r="B597" t="inlineStr">
        <is>
          <t>Feb</t>
        </is>
      </c>
      <c r="C597" t="n">
        <v>2</v>
      </c>
      <c r="D597" t="n">
        <v>2866</v>
      </c>
      <c r="E597" t="n">
        <v>3052</v>
      </c>
      <c r="F597" t="n">
        <v>2501</v>
      </c>
      <c r="G597" t="n">
        <v>3704</v>
      </c>
      <c r="H597" t="n">
        <v>2398</v>
      </c>
    </row>
    <row r="598">
      <c r="A598" t="inlineStr">
        <is>
          <t>CA</t>
        </is>
      </c>
      <c r="B598" t="inlineStr">
        <is>
          <t>Mar</t>
        </is>
      </c>
      <c r="C598" t="n">
        <v>3</v>
      </c>
      <c r="D598" t="n">
        <v>3524</v>
      </c>
      <c r="E598" t="n">
        <v>3597</v>
      </c>
      <c r="F598" t="n">
        <v>2888</v>
      </c>
      <c r="G598" t="n">
        <v>4275</v>
      </c>
      <c r="H598" t="n">
        <v>2592</v>
      </c>
    </row>
    <row r="599">
      <c r="A599" t="inlineStr">
        <is>
          <t>CA</t>
        </is>
      </c>
      <c r="B599" t="inlineStr">
        <is>
          <t>Apr</t>
        </is>
      </c>
      <c r="C599" t="n">
        <v>4</v>
      </c>
      <c r="E599" t="n">
        <v>2645</v>
      </c>
      <c r="F599" t="n">
        <v>2207</v>
      </c>
      <c r="G599" t="n">
        <v>3086</v>
      </c>
      <c r="H599" t="n">
        <v>2447</v>
      </c>
    </row>
    <row r="600">
      <c r="A600" t="inlineStr">
        <is>
          <t>CA</t>
        </is>
      </c>
      <c r="B600" t="inlineStr">
        <is>
          <t>May</t>
        </is>
      </c>
      <c r="C600" t="n">
        <v>5</v>
      </c>
      <c r="E600" t="n">
        <v>3359</v>
      </c>
      <c r="F600" t="n">
        <v>2857</v>
      </c>
      <c r="G600" t="n">
        <v>3795</v>
      </c>
      <c r="H600" t="n">
        <v>2720</v>
      </c>
    </row>
    <row r="601">
      <c r="A601" t="inlineStr">
        <is>
          <t>CA</t>
        </is>
      </c>
      <c r="B601" t="inlineStr">
        <is>
          <t>Jun</t>
        </is>
      </c>
      <c r="C601" t="n">
        <v>6</v>
      </c>
      <c r="E601" t="n">
        <v>2914</v>
      </c>
      <c r="F601" t="n">
        <v>2477</v>
      </c>
      <c r="G601" t="n">
        <v>3292</v>
      </c>
      <c r="H601" t="n">
        <v>2695</v>
      </c>
    </row>
    <row r="602">
      <c r="A602" t="inlineStr">
        <is>
          <t>CA</t>
        </is>
      </c>
      <c r="B602" t="inlineStr">
        <is>
          <t>Jul</t>
        </is>
      </c>
      <c r="C602" t="n">
        <v>7</v>
      </c>
      <c r="E602" t="n">
        <v>3814</v>
      </c>
      <c r="F602" t="n">
        <v>3242</v>
      </c>
      <c r="G602" t="n">
        <v>4306</v>
      </c>
      <c r="H602" t="n">
        <v>3066</v>
      </c>
    </row>
    <row r="603">
      <c r="A603" t="inlineStr">
        <is>
          <t>CA</t>
        </is>
      </c>
      <c r="B603" t="inlineStr">
        <is>
          <t>Aug</t>
        </is>
      </c>
      <c r="C603" t="n">
        <v>8</v>
      </c>
      <c r="E603" t="n">
        <v>2786</v>
      </c>
      <c r="F603" t="n">
        <v>2368</v>
      </c>
      <c r="G603" t="n">
        <v>3147</v>
      </c>
      <c r="H603" t="n">
        <v>2947</v>
      </c>
    </row>
    <row r="604">
      <c r="A604" t="inlineStr">
        <is>
          <t>CA</t>
        </is>
      </c>
      <c r="B604" t="inlineStr">
        <is>
          <t>Sep</t>
        </is>
      </c>
      <c r="C604" t="n">
        <v>9</v>
      </c>
      <c r="E604" t="n">
        <v>3036</v>
      </c>
      <c r="F604" t="n">
        <v>2582</v>
      </c>
      <c r="G604" t="n">
        <v>3429</v>
      </c>
      <c r="H604" t="n">
        <v>3296</v>
      </c>
    </row>
    <row r="605">
      <c r="A605" t="inlineStr">
        <is>
          <t>CA</t>
        </is>
      </c>
      <c r="B605" t="inlineStr">
        <is>
          <t>Oct</t>
        </is>
      </c>
      <c r="C605" t="n">
        <v>10</v>
      </c>
      <c r="E605" t="n">
        <v>3686</v>
      </c>
      <c r="F605" t="n">
        <v>3136</v>
      </c>
      <c r="G605" t="n">
        <v>4164</v>
      </c>
      <c r="H605" t="n">
        <v>3551</v>
      </c>
    </row>
    <row r="606">
      <c r="A606" t="inlineStr">
        <is>
          <t>CA</t>
        </is>
      </c>
      <c r="B606" t="inlineStr">
        <is>
          <t>Nov</t>
        </is>
      </c>
      <c r="C606" t="n">
        <v>11</v>
      </c>
      <c r="E606" t="n">
        <v>2746</v>
      </c>
      <c r="F606" t="n">
        <v>2335</v>
      </c>
      <c r="G606" t="n">
        <v>3101</v>
      </c>
      <c r="H606" t="n">
        <v>2880</v>
      </c>
    </row>
    <row r="607">
      <c r="A607" t="inlineStr">
        <is>
          <t>CA</t>
        </is>
      </c>
      <c r="B607" t="inlineStr">
        <is>
          <t>Dec</t>
        </is>
      </c>
      <c r="C607" t="n">
        <v>12</v>
      </c>
      <c r="E607" t="n">
        <v>2365</v>
      </c>
      <c r="F607" t="n">
        <v>2012</v>
      </c>
      <c r="G607" t="n">
        <v>2674</v>
      </c>
      <c r="H607" t="n">
        <v>2574</v>
      </c>
    </row>
    <row r="608">
      <c r="A608" t="inlineStr">
        <is>
          <t>JP</t>
        </is>
      </c>
      <c r="B608" t="inlineStr">
        <is>
          <t>Jan</t>
        </is>
      </c>
      <c r="C608" t="n">
        <v>1</v>
      </c>
      <c r="D608" t="n">
        <v>3308</v>
      </c>
      <c r="E608" t="n">
        <v>2283</v>
      </c>
      <c r="F608" t="n">
        <v>1346</v>
      </c>
      <c r="G608" t="n">
        <v>2921</v>
      </c>
      <c r="H608" t="n">
        <v>3005</v>
      </c>
    </row>
    <row r="609">
      <c r="A609" t="inlineStr">
        <is>
          <t>JP</t>
        </is>
      </c>
      <c r="B609" t="inlineStr">
        <is>
          <t>Feb</t>
        </is>
      </c>
      <c r="C609" t="n">
        <v>2</v>
      </c>
      <c r="D609" t="n">
        <v>2373</v>
      </c>
      <c r="E609" t="n">
        <v>2291</v>
      </c>
      <c r="F609" t="n">
        <v>1422</v>
      </c>
      <c r="G609" t="n">
        <v>3069</v>
      </c>
      <c r="H609" t="n">
        <v>2964</v>
      </c>
    </row>
    <row r="610">
      <c r="A610" t="inlineStr">
        <is>
          <t>JP</t>
        </is>
      </c>
      <c r="B610" t="inlineStr">
        <is>
          <t>Mar</t>
        </is>
      </c>
      <c r="C610" t="n">
        <v>3</v>
      </c>
      <c r="D610" t="n">
        <v>2411</v>
      </c>
      <c r="E610" t="n">
        <v>2608</v>
      </c>
      <c r="F610" t="n">
        <v>1597</v>
      </c>
      <c r="G610" t="n">
        <v>3472</v>
      </c>
      <c r="H610" t="n">
        <v>2360</v>
      </c>
    </row>
    <row r="611">
      <c r="A611" t="inlineStr">
        <is>
          <t>JP</t>
        </is>
      </c>
      <c r="B611" t="inlineStr">
        <is>
          <t>Apr</t>
        </is>
      </c>
      <c r="C611" t="n">
        <v>4</v>
      </c>
      <c r="E611" t="n">
        <v>2094</v>
      </c>
      <c r="F611" t="n">
        <v>1409</v>
      </c>
      <c r="G611" t="n">
        <v>2870</v>
      </c>
      <c r="H611" t="n">
        <v>1920</v>
      </c>
    </row>
    <row r="612">
      <c r="A612" t="inlineStr">
        <is>
          <t>JP</t>
        </is>
      </c>
      <c r="B612" t="inlineStr">
        <is>
          <t>May</t>
        </is>
      </c>
      <c r="C612" t="n">
        <v>5</v>
      </c>
      <c r="E612" t="n">
        <v>2149</v>
      </c>
      <c r="F612" t="n">
        <v>1680</v>
      </c>
      <c r="G612" t="n">
        <v>2869</v>
      </c>
      <c r="H612" t="n">
        <v>1630</v>
      </c>
    </row>
    <row r="613">
      <c r="A613" t="inlineStr">
        <is>
          <t>JP</t>
        </is>
      </c>
      <c r="B613" t="inlineStr">
        <is>
          <t>Jun</t>
        </is>
      </c>
      <c r="C613" t="n">
        <v>6</v>
      </c>
      <c r="E613" t="n">
        <v>1931</v>
      </c>
      <c r="F613" t="n">
        <v>1511</v>
      </c>
      <c r="G613" t="n">
        <v>2582</v>
      </c>
      <c r="H613" t="n">
        <v>1739</v>
      </c>
    </row>
    <row r="614">
      <c r="A614" t="inlineStr">
        <is>
          <t>JP</t>
        </is>
      </c>
      <c r="B614" t="inlineStr">
        <is>
          <t>Jul</t>
        </is>
      </c>
      <c r="C614" t="n">
        <v>7</v>
      </c>
      <c r="E614" t="n">
        <v>1970</v>
      </c>
      <c r="F614" t="n">
        <v>1537</v>
      </c>
      <c r="G614" t="n">
        <v>2628</v>
      </c>
      <c r="H614" t="n">
        <v>2083</v>
      </c>
    </row>
    <row r="615">
      <c r="A615" t="inlineStr">
        <is>
          <t>JP</t>
        </is>
      </c>
      <c r="B615" t="inlineStr">
        <is>
          <t>Aug</t>
        </is>
      </c>
      <c r="C615" t="n">
        <v>8</v>
      </c>
      <c r="E615" t="n">
        <v>2073</v>
      </c>
      <c r="F615" t="n">
        <v>1624</v>
      </c>
      <c r="G615" t="n">
        <v>2775</v>
      </c>
      <c r="H615" t="n">
        <v>1845</v>
      </c>
    </row>
    <row r="616">
      <c r="A616" t="inlineStr">
        <is>
          <t>JP</t>
        </is>
      </c>
      <c r="B616" t="inlineStr">
        <is>
          <t>Sep</t>
        </is>
      </c>
      <c r="C616" t="n">
        <v>9</v>
      </c>
      <c r="E616" t="n">
        <v>2491</v>
      </c>
      <c r="F616" t="n">
        <v>1955</v>
      </c>
      <c r="G616" t="n">
        <v>3341</v>
      </c>
      <c r="H616" t="n">
        <v>2057</v>
      </c>
    </row>
    <row r="617">
      <c r="A617" t="inlineStr">
        <is>
          <t>JP</t>
        </is>
      </c>
      <c r="B617" t="inlineStr">
        <is>
          <t>Oct</t>
        </is>
      </c>
      <c r="C617" t="n">
        <v>10</v>
      </c>
      <c r="E617" t="n">
        <v>3537</v>
      </c>
      <c r="F617" t="n">
        <v>2781</v>
      </c>
      <c r="G617" t="n">
        <v>4751</v>
      </c>
      <c r="H617" t="n">
        <v>2433</v>
      </c>
    </row>
    <row r="618">
      <c r="A618" t="inlineStr">
        <is>
          <t>JP</t>
        </is>
      </c>
      <c r="B618" t="inlineStr">
        <is>
          <t>Nov</t>
        </is>
      </c>
      <c r="C618" t="n">
        <v>11</v>
      </c>
      <c r="E618" t="n">
        <v>2701</v>
      </c>
      <c r="F618" t="n">
        <v>2123</v>
      </c>
      <c r="G618" t="n">
        <v>3625</v>
      </c>
      <c r="H618" t="n">
        <v>2713</v>
      </c>
    </row>
    <row r="619">
      <c r="A619" t="inlineStr">
        <is>
          <t>JP</t>
        </is>
      </c>
      <c r="B619" t="inlineStr">
        <is>
          <t>Dec</t>
        </is>
      </c>
      <c r="C619" t="n">
        <v>12</v>
      </c>
      <c r="E619" t="n">
        <v>2100</v>
      </c>
      <c r="F619" t="n">
        <v>1645</v>
      </c>
      <c r="G619" t="n">
        <v>2811</v>
      </c>
      <c r="H619" t="n">
        <v>1979</v>
      </c>
    </row>
    <row r="620">
      <c r="A620" t="inlineStr">
        <is>
          <t>MX</t>
        </is>
      </c>
      <c r="B620" t="inlineStr">
        <is>
          <t>Jan</t>
        </is>
      </c>
      <c r="C620" t="n">
        <v>1</v>
      </c>
      <c r="D620" t="n">
        <v>945</v>
      </c>
      <c r="E620" t="n">
        <v>854</v>
      </c>
      <c r="F620" t="n">
        <v>582</v>
      </c>
      <c r="G620" t="n">
        <v>1139</v>
      </c>
      <c r="H620" t="n">
        <v>1022</v>
      </c>
    </row>
    <row r="621">
      <c r="A621" t="inlineStr">
        <is>
          <t>MX</t>
        </is>
      </c>
      <c r="B621" t="inlineStr">
        <is>
          <t>Feb</t>
        </is>
      </c>
      <c r="C621" t="n">
        <v>2</v>
      </c>
      <c r="D621" t="n">
        <v>1067</v>
      </c>
      <c r="E621" t="n">
        <v>931</v>
      </c>
      <c r="F621" t="n">
        <v>638</v>
      </c>
      <c r="G621" t="n">
        <v>1224</v>
      </c>
      <c r="H621" t="n">
        <v>845</v>
      </c>
    </row>
    <row r="622">
      <c r="A622" t="inlineStr">
        <is>
          <t>MX</t>
        </is>
      </c>
      <c r="B622" t="inlineStr">
        <is>
          <t>Mar</t>
        </is>
      </c>
      <c r="C622" t="n">
        <v>3</v>
      </c>
      <c r="D622" t="n">
        <v>1625</v>
      </c>
      <c r="E622" t="n">
        <v>1068</v>
      </c>
      <c r="F622" t="n">
        <v>775</v>
      </c>
      <c r="G622" t="n">
        <v>1497</v>
      </c>
      <c r="H622" t="n">
        <v>859</v>
      </c>
    </row>
    <row r="623">
      <c r="A623" t="inlineStr">
        <is>
          <t>MX</t>
        </is>
      </c>
      <c r="B623" t="inlineStr">
        <is>
          <t>Apr</t>
        </is>
      </c>
      <c r="C623" t="n">
        <v>4</v>
      </c>
      <c r="E623" t="n">
        <v>965</v>
      </c>
      <c r="F623" t="n">
        <v>709</v>
      </c>
      <c r="G623" t="n">
        <v>1429</v>
      </c>
      <c r="H623" t="n">
        <v>791</v>
      </c>
    </row>
    <row r="624">
      <c r="A624" t="inlineStr">
        <is>
          <t>MX</t>
        </is>
      </c>
      <c r="B624" t="inlineStr">
        <is>
          <t>May</t>
        </is>
      </c>
      <c r="C624" t="n">
        <v>5</v>
      </c>
      <c r="E624" t="n">
        <v>1179</v>
      </c>
      <c r="F624" t="n">
        <v>1086</v>
      </c>
      <c r="G624" t="n">
        <v>2063</v>
      </c>
      <c r="H624" t="n">
        <v>985</v>
      </c>
    </row>
    <row r="625">
      <c r="A625" t="inlineStr">
        <is>
          <t>MX</t>
        </is>
      </c>
      <c r="B625" t="inlineStr">
        <is>
          <t>Jun</t>
        </is>
      </c>
      <c r="C625" t="n">
        <v>6</v>
      </c>
      <c r="E625" t="n">
        <v>852</v>
      </c>
      <c r="F625" t="n">
        <v>784</v>
      </c>
      <c r="G625" t="n">
        <v>1491</v>
      </c>
      <c r="H625" t="n">
        <v>1019</v>
      </c>
    </row>
    <row r="626">
      <c r="A626" t="inlineStr">
        <is>
          <t>MX</t>
        </is>
      </c>
      <c r="B626" t="inlineStr">
        <is>
          <t>Jul</t>
        </is>
      </c>
      <c r="C626" t="n">
        <v>7</v>
      </c>
      <c r="E626" t="n">
        <v>1045</v>
      </c>
      <c r="F626" t="n">
        <v>963</v>
      </c>
      <c r="G626" t="n">
        <v>1829</v>
      </c>
      <c r="H626" t="n">
        <v>1115</v>
      </c>
    </row>
    <row r="627">
      <c r="A627" t="inlineStr">
        <is>
          <t>MX</t>
        </is>
      </c>
      <c r="B627" t="inlineStr">
        <is>
          <t>Aug</t>
        </is>
      </c>
      <c r="C627" t="n">
        <v>8</v>
      </c>
      <c r="E627" t="n">
        <v>1049</v>
      </c>
      <c r="F627" t="n">
        <v>967</v>
      </c>
      <c r="G627" t="n">
        <v>1836</v>
      </c>
      <c r="H627" t="n">
        <v>775</v>
      </c>
    </row>
    <row r="628">
      <c r="A628" t="inlineStr">
        <is>
          <t>MX</t>
        </is>
      </c>
      <c r="B628" t="inlineStr">
        <is>
          <t>Sep</t>
        </is>
      </c>
      <c r="C628" t="n">
        <v>9</v>
      </c>
      <c r="E628" t="n">
        <v>860</v>
      </c>
      <c r="F628" t="n">
        <v>793</v>
      </c>
      <c r="G628" t="n">
        <v>1505</v>
      </c>
      <c r="H628" t="n">
        <v>621</v>
      </c>
    </row>
    <row r="629">
      <c r="A629" t="inlineStr">
        <is>
          <t>MX</t>
        </is>
      </c>
      <c r="B629" t="inlineStr">
        <is>
          <t>Oct</t>
        </is>
      </c>
      <c r="C629" t="n">
        <v>10</v>
      </c>
      <c r="E629" t="n">
        <v>1062</v>
      </c>
      <c r="F629" t="n">
        <v>980</v>
      </c>
      <c r="G629" t="n">
        <v>1862</v>
      </c>
      <c r="H629" t="n">
        <v>1158</v>
      </c>
    </row>
    <row r="630">
      <c r="A630" t="inlineStr">
        <is>
          <t>MX</t>
        </is>
      </c>
      <c r="B630" t="inlineStr">
        <is>
          <t>Nov</t>
        </is>
      </c>
      <c r="C630" t="n">
        <v>11</v>
      </c>
      <c r="E630" t="n">
        <v>898</v>
      </c>
      <c r="F630" t="n">
        <v>829</v>
      </c>
      <c r="G630" t="n">
        <v>1575</v>
      </c>
      <c r="H630" t="n">
        <v>1231</v>
      </c>
    </row>
    <row r="631">
      <c r="A631" t="inlineStr">
        <is>
          <t>MX</t>
        </is>
      </c>
      <c r="B631" t="inlineStr">
        <is>
          <t>Dec</t>
        </is>
      </c>
      <c r="C631" t="n">
        <v>12</v>
      </c>
      <c r="E631" t="n">
        <v>894</v>
      </c>
      <c r="F631" t="n">
        <v>825</v>
      </c>
      <c r="G631" t="n">
        <v>1567</v>
      </c>
      <c r="H631" t="n">
        <v>755</v>
      </c>
    </row>
    <row r="632">
      <c r="A632" t="inlineStr">
        <is>
          <t>AU</t>
        </is>
      </c>
      <c r="B632" t="inlineStr">
        <is>
          <t>Jan</t>
        </is>
      </c>
      <c r="C632" t="n">
        <v>1</v>
      </c>
      <c r="D632" t="n">
        <v>975</v>
      </c>
      <c r="E632" t="n">
        <v>1132</v>
      </c>
      <c r="F632" t="n">
        <v>862</v>
      </c>
      <c r="G632" t="n">
        <v>1456</v>
      </c>
      <c r="H632" t="n">
        <v>1140</v>
      </c>
    </row>
    <row r="633">
      <c r="A633" t="inlineStr">
        <is>
          <t>AU</t>
        </is>
      </c>
      <c r="B633" t="inlineStr">
        <is>
          <t>Feb</t>
        </is>
      </c>
      <c r="C633" t="n">
        <v>2</v>
      </c>
      <c r="D633" t="n">
        <v>1079</v>
      </c>
      <c r="E633" t="n">
        <v>1181</v>
      </c>
      <c r="F633" t="n">
        <v>911</v>
      </c>
      <c r="G633" t="n">
        <v>1510</v>
      </c>
      <c r="H633" t="n">
        <v>1110</v>
      </c>
    </row>
    <row r="634">
      <c r="A634" t="inlineStr">
        <is>
          <t>AU</t>
        </is>
      </c>
      <c r="B634" t="inlineStr">
        <is>
          <t>Mar</t>
        </is>
      </c>
      <c r="C634" t="n">
        <v>3</v>
      </c>
      <c r="D634" t="n">
        <v>1200</v>
      </c>
      <c r="E634" t="n">
        <v>1468</v>
      </c>
      <c r="F634" t="n">
        <v>1104</v>
      </c>
      <c r="G634" t="n">
        <v>1821</v>
      </c>
      <c r="H634" t="n">
        <v>1082</v>
      </c>
    </row>
    <row r="635">
      <c r="A635" t="inlineStr">
        <is>
          <t>AU</t>
        </is>
      </c>
      <c r="B635" t="inlineStr">
        <is>
          <t>Apr</t>
        </is>
      </c>
      <c r="C635" t="n">
        <v>4</v>
      </c>
      <c r="E635" t="n">
        <v>954</v>
      </c>
      <c r="F635" t="n">
        <v>667</v>
      </c>
      <c r="G635" t="n">
        <v>1179</v>
      </c>
      <c r="H635" t="n">
        <v>1071</v>
      </c>
    </row>
    <row r="636">
      <c r="A636" t="inlineStr">
        <is>
          <t>AU</t>
        </is>
      </c>
      <c r="B636" t="inlineStr">
        <is>
          <t>May</t>
        </is>
      </c>
      <c r="C636" t="n">
        <v>5</v>
      </c>
      <c r="E636" t="n">
        <v>1381</v>
      </c>
      <c r="F636" t="n">
        <v>1012</v>
      </c>
      <c r="G636" t="n">
        <v>1603</v>
      </c>
      <c r="H636" t="n">
        <v>1189</v>
      </c>
    </row>
    <row r="637">
      <c r="A637" t="inlineStr">
        <is>
          <t>AU</t>
        </is>
      </c>
      <c r="B637" t="inlineStr">
        <is>
          <t>Jun</t>
        </is>
      </c>
      <c r="C637" t="n">
        <v>6</v>
      </c>
      <c r="E637" t="n">
        <v>1161</v>
      </c>
      <c r="F637" t="n">
        <v>850</v>
      </c>
      <c r="G637" t="n">
        <v>1345</v>
      </c>
      <c r="H637" t="n">
        <v>1219</v>
      </c>
    </row>
    <row r="638">
      <c r="A638" t="inlineStr">
        <is>
          <t>AU</t>
        </is>
      </c>
      <c r="B638" t="inlineStr">
        <is>
          <t>Jul</t>
        </is>
      </c>
      <c r="C638" t="n">
        <v>7</v>
      </c>
      <c r="E638" t="n">
        <v>1431</v>
      </c>
      <c r="F638" t="n">
        <v>1049</v>
      </c>
      <c r="G638" t="n">
        <v>1662</v>
      </c>
      <c r="H638" t="n">
        <v>1105</v>
      </c>
    </row>
    <row r="639">
      <c r="A639" t="inlineStr">
        <is>
          <t>AU</t>
        </is>
      </c>
      <c r="B639" t="inlineStr">
        <is>
          <t>Aug</t>
        </is>
      </c>
      <c r="C639" t="n">
        <v>8</v>
      </c>
      <c r="E639" t="n">
        <v>1099</v>
      </c>
      <c r="F639" t="n">
        <v>805</v>
      </c>
      <c r="G639" t="n">
        <v>1276</v>
      </c>
      <c r="H639" t="n">
        <v>1062</v>
      </c>
    </row>
    <row r="640">
      <c r="A640" t="inlineStr">
        <is>
          <t>AU</t>
        </is>
      </c>
      <c r="B640" t="inlineStr">
        <is>
          <t>Sep</t>
        </is>
      </c>
      <c r="C640" t="n">
        <v>9</v>
      </c>
      <c r="E640" t="n">
        <v>1121</v>
      </c>
      <c r="F640" t="n">
        <v>822</v>
      </c>
      <c r="G640" t="n">
        <v>1302</v>
      </c>
      <c r="H640" t="n">
        <v>1071</v>
      </c>
    </row>
    <row r="641">
      <c r="A641" t="inlineStr">
        <is>
          <t>AU</t>
        </is>
      </c>
      <c r="B641" t="inlineStr">
        <is>
          <t>Oct</t>
        </is>
      </c>
      <c r="C641" t="n">
        <v>10</v>
      </c>
      <c r="E641" t="n">
        <v>1307</v>
      </c>
      <c r="F641" t="n">
        <v>957</v>
      </c>
      <c r="G641" t="n">
        <v>1516</v>
      </c>
      <c r="H641" t="n">
        <v>1083</v>
      </c>
    </row>
    <row r="642">
      <c r="A642" t="inlineStr">
        <is>
          <t>AU</t>
        </is>
      </c>
      <c r="B642" t="inlineStr">
        <is>
          <t>Nov</t>
        </is>
      </c>
      <c r="C642" t="n">
        <v>11</v>
      </c>
      <c r="E642" t="n">
        <v>1110</v>
      </c>
      <c r="F642" t="n">
        <v>815</v>
      </c>
      <c r="G642" t="n">
        <v>1288</v>
      </c>
      <c r="H642" t="n">
        <v>1006</v>
      </c>
    </row>
    <row r="643">
      <c r="A643" t="inlineStr">
        <is>
          <t>AU</t>
        </is>
      </c>
      <c r="B643" t="inlineStr">
        <is>
          <t>Dec</t>
        </is>
      </c>
      <c r="C643" t="n">
        <v>12</v>
      </c>
      <c r="E643" t="n">
        <v>861</v>
      </c>
      <c r="F643" t="n">
        <v>631</v>
      </c>
      <c r="G643" t="n">
        <v>1001</v>
      </c>
      <c r="H643" t="n">
        <v>768</v>
      </c>
    </row>
    <row r="646">
      <c r="A646">
        <f>== QUARTERLY ===</f>
        <v/>
      </c>
    </row>
    <row r="647">
      <c r="A647" t="inlineStr">
        <is>
          <t>Market</t>
        </is>
      </c>
      <c r="B647" t="inlineStr">
        <is>
          <t>Quarter</t>
        </is>
      </c>
      <c r="C647" t="inlineStr">
        <is>
          <t>Q#</t>
        </is>
      </c>
      <c r="D647" t="inlineStr">
        <is>
          <t>Actual_Regs</t>
        </is>
      </c>
      <c r="E647" t="inlineStr">
        <is>
          <t>Pred_Regs</t>
        </is>
      </c>
      <c r="F647" t="inlineStr">
        <is>
          <t>CI_Lo</t>
        </is>
      </c>
      <c r="G647" t="inlineStr">
        <is>
          <t>CI_Hi</t>
        </is>
      </c>
      <c r="H647" t="inlineStr">
        <is>
          <t>OP2_Regs</t>
        </is>
      </c>
    </row>
    <row r="648">
      <c r="A648" t="inlineStr">
        <is>
          <t>US</t>
        </is>
      </c>
      <c r="B648" t="inlineStr">
        <is>
          <t>Q1</t>
        </is>
      </c>
      <c r="C648" t="n">
        <v>1</v>
      </c>
      <c r="D648" t="n">
        <v>108742</v>
      </c>
      <c r="E648" t="n">
        <v>89734</v>
      </c>
      <c r="F648" t="n">
        <v>67743</v>
      </c>
      <c r="G648" t="n">
        <v>112784</v>
      </c>
      <c r="H648" t="n">
        <v>89275</v>
      </c>
    </row>
    <row r="649">
      <c r="A649" t="inlineStr">
        <is>
          <t>US</t>
        </is>
      </c>
      <c r="B649" t="inlineStr">
        <is>
          <t>Q2</t>
        </is>
      </c>
      <c r="C649" t="n">
        <v>2</v>
      </c>
      <c r="E649" t="n">
        <v>84833</v>
      </c>
      <c r="F649" t="n">
        <v>67421</v>
      </c>
      <c r="G649" t="n">
        <v>104986</v>
      </c>
      <c r="H649" t="n">
        <v>92003</v>
      </c>
    </row>
    <row r="650">
      <c r="A650" t="inlineStr">
        <is>
          <t>US</t>
        </is>
      </c>
      <c r="B650" t="inlineStr">
        <is>
          <t>Q3</t>
        </is>
      </c>
      <c r="C650" t="n">
        <v>3</v>
      </c>
      <c r="E650" t="n">
        <v>103037</v>
      </c>
      <c r="F650" t="n">
        <v>82974</v>
      </c>
      <c r="G650" t="n">
        <v>127287</v>
      </c>
      <c r="H650" t="n">
        <v>93454</v>
      </c>
    </row>
    <row r="651">
      <c r="A651" t="inlineStr">
        <is>
          <t>US</t>
        </is>
      </c>
      <c r="B651" t="inlineStr">
        <is>
          <t>Q4</t>
        </is>
      </c>
      <c r="C651" t="n">
        <v>4</v>
      </c>
      <c r="E651" t="n">
        <v>90025</v>
      </c>
      <c r="F651" t="n">
        <v>72501</v>
      </c>
      <c r="G651" t="n">
        <v>111220</v>
      </c>
      <c r="H651" t="n">
        <v>86101</v>
      </c>
    </row>
    <row r="652">
      <c r="A652" t="inlineStr">
        <is>
          <t>UK</t>
        </is>
      </c>
      <c r="B652" t="inlineStr">
        <is>
          <t>Q1</t>
        </is>
      </c>
      <c r="C652" t="n">
        <v>1</v>
      </c>
      <c r="D652" t="n">
        <v>18359</v>
      </c>
      <c r="E652" t="n">
        <v>15071</v>
      </c>
      <c r="F652" t="n">
        <v>9832</v>
      </c>
      <c r="G652" t="n">
        <v>20240</v>
      </c>
      <c r="H652" t="n">
        <v>14628</v>
      </c>
    </row>
    <row r="653">
      <c r="A653" t="inlineStr">
        <is>
          <t>UK</t>
        </is>
      </c>
      <c r="B653" t="inlineStr">
        <is>
          <t>Q2</t>
        </is>
      </c>
      <c r="C653" t="n">
        <v>2</v>
      </c>
      <c r="E653" t="n">
        <v>13416</v>
      </c>
      <c r="F653" t="n">
        <v>10767</v>
      </c>
      <c r="G653" t="n">
        <v>16156</v>
      </c>
      <c r="H653" t="n">
        <v>13077</v>
      </c>
    </row>
    <row r="654">
      <c r="A654" t="inlineStr">
        <is>
          <t>UK</t>
        </is>
      </c>
      <c r="B654" t="inlineStr">
        <is>
          <t>Q3</t>
        </is>
      </c>
      <c r="C654" t="n">
        <v>3</v>
      </c>
      <c r="E654" t="n">
        <v>17079</v>
      </c>
      <c r="F654" t="n">
        <v>14070</v>
      </c>
      <c r="G654" t="n">
        <v>20127</v>
      </c>
      <c r="H654" t="n">
        <v>14462</v>
      </c>
    </row>
    <row r="655">
      <c r="A655" t="inlineStr">
        <is>
          <t>UK</t>
        </is>
      </c>
      <c r="B655" t="inlineStr">
        <is>
          <t>Q4</t>
        </is>
      </c>
      <c r="C655" t="n">
        <v>4</v>
      </c>
      <c r="E655" t="n">
        <v>17393</v>
      </c>
      <c r="F655" t="n">
        <v>14323</v>
      </c>
      <c r="G655" t="n">
        <v>20492</v>
      </c>
      <c r="H655" t="n">
        <v>16521</v>
      </c>
    </row>
    <row r="656">
      <c r="A656" t="inlineStr">
        <is>
          <t>DE</t>
        </is>
      </c>
      <c r="B656" t="inlineStr">
        <is>
          <t>Q1</t>
        </is>
      </c>
      <c r="C656" t="n">
        <v>1</v>
      </c>
      <c r="D656" t="n">
        <v>18126</v>
      </c>
      <c r="E656" t="n">
        <v>16688</v>
      </c>
      <c r="F656" t="n">
        <v>13908</v>
      </c>
      <c r="G656" t="n">
        <v>19508</v>
      </c>
      <c r="H656" t="n">
        <v>18892</v>
      </c>
    </row>
    <row r="657">
      <c r="A657" t="inlineStr">
        <is>
          <t>DE</t>
        </is>
      </c>
      <c r="B657" t="inlineStr">
        <is>
          <t>Q2</t>
        </is>
      </c>
      <c r="C657" t="n">
        <v>2</v>
      </c>
      <c r="E657" t="n">
        <v>13754</v>
      </c>
      <c r="F657" t="n">
        <v>10605</v>
      </c>
      <c r="G657" t="n">
        <v>16784</v>
      </c>
      <c r="H657" t="n">
        <v>17293</v>
      </c>
    </row>
    <row r="658">
      <c r="A658" t="inlineStr">
        <is>
          <t>DE</t>
        </is>
      </c>
      <c r="B658" t="inlineStr">
        <is>
          <t>Q3</t>
        </is>
      </c>
      <c r="C658" t="n">
        <v>3</v>
      </c>
      <c r="E658" t="n">
        <v>13833</v>
      </c>
      <c r="F658" t="n">
        <v>11060</v>
      </c>
      <c r="G658" t="n">
        <v>17168</v>
      </c>
      <c r="H658" t="n">
        <v>18126</v>
      </c>
    </row>
    <row r="659">
      <c r="A659" t="inlineStr">
        <is>
          <t>DE</t>
        </is>
      </c>
      <c r="B659" t="inlineStr">
        <is>
          <t>Q4</t>
        </is>
      </c>
      <c r="C659" t="n">
        <v>4</v>
      </c>
      <c r="E659" t="n">
        <v>15292</v>
      </c>
      <c r="F659" t="n">
        <v>12226</v>
      </c>
      <c r="G659" t="n">
        <v>18978</v>
      </c>
      <c r="H659" t="n">
        <v>18665</v>
      </c>
    </row>
    <row r="660">
      <c r="A660" t="inlineStr">
        <is>
          <t>FR</t>
        </is>
      </c>
      <c r="B660" t="inlineStr">
        <is>
          <t>Q1</t>
        </is>
      </c>
      <c r="C660" t="n">
        <v>1</v>
      </c>
      <c r="D660" t="n">
        <v>13842</v>
      </c>
      <c r="E660" t="n">
        <v>15215</v>
      </c>
      <c r="F660" t="n">
        <v>12346</v>
      </c>
      <c r="G660" t="n">
        <v>18441</v>
      </c>
      <c r="H660" t="n">
        <v>14060</v>
      </c>
    </row>
    <row r="661">
      <c r="A661" t="inlineStr">
        <is>
          <t>FR</t>
        </is>
      </c>
      <c r="B661" t="inlineStr">
        <is>
          <t>Q2</t>
        </is>
      </c>
      <c r="C661" t="n">
        <v>2</v>
      </c>
      <c r="E661" t="n">
        <v>12952</v>
      </c>
      <c r="F661" t="n">
        <v>10399</v>
      </c>
      <c r="G661" t="n">
        <v>14499</v>
      </c>
      <c r="H661" t="n">
        <v>12025</v>
      </c>
    </row>
    <row r="662">
      <c r="A662" t="inlineStr">
        <is>
          <t>FR</t>
        </is>
      </c>
      <c r="B662" t="inlineStr">
        <is>
          <t>Q3</t>
        </is>
      </c>
      <c r="C662" t="n">
        <v>3</v>
      </c>
      <c r="E662" t="n">
        <v>14641</v>
      </c>
      <c r="F662" t="n">
        <v>11681</v>
      </c>
      <c r="G662" t="n">
        <v>16086</v>
      </c>
      <c r="H662" t="n">
        <v>13164</v>
      </c>
    </row>
    <row r="663">
      <c r="A663" t="inlineStr">
        <is>
          <t>FR</t>
        </is>
      </c>
      <c r="B663" t="inlineStr">
        <is>
          <t>Q4</t>
        </is>
      </c>
      <c r="C663" t="n">
        <v>4</v>
      </c>
      <c r="E663" t="n">
        <v>15293</v>
      </c>
      <c r="F663" t="n">
        <v>12195</v>
      </c>
      <c r="G663" t="n">
        <v>16797</v>
      </c>
      <c r="H663" t="n">
        <v>14207</v>
      </c>
    </row>
    <row r="664">
      <c r="A664" t="inlineStr">
        <is>
          <t>IT</t>
        </is>
      </c>
      <c r="B664" t="inlineStr">
        <is>
          <t>Q1</t>
        </is>
      </c>
      <c r="C664" t="n">
        <v>1</v>
      </c>
      <c r="D664" t="n">
        <v>16492</v>
      </c>
      <c r="E664" t="n">
        <v>17979</v>
      </c>
      <c r="F664" t="n">
        <v>14217</v>
      </c>
      <c r="G664" t="n">
        <v>22107</v>
      </c>
      <c r="H664" t="n">
        <v>16545</v>
      </c>
    </row>
    <row r="665">
      <c r="A665" t="inlineStr">
        <is>
          <t>IT</t>
        </is>
      </c>
      <c r="B665" t="inlineStr">
        <is>
          <t>Q2</t>
        </is>
      </c>
      <c r="C665" t="n">
        <v>2</v>
      </c>
      <c r="E665" t="n">
        <v>16227</v>
      </c>
      <c r="F665" t="n">
        <v>12836</v>
      </c>
      <c r="G665" t="n">
        <v>18520</v>
      </c>
      <c r="H665" t="n">
        <v>15337</v>
      </c>
    </row>
    <row r="666">
      <c r="A666" t="inlineStr">
        <is>
          <t>IT</t>
        </is>
      </c>
      <c r="B666" t="inlineStr">
        <is>
          <t>Q3</t>
        </is>
      </c>
      <c r="C666" t="n">
        <v>3</v>
      </c>
      <c r="E666" t="n">
        <v>14873</v>
      </c>
      <c r="F666" t="n">
        <v>11756</v>
      </c>
      <c r="G666" t="n">
        <v>16677</v>
      </c>
      <c r="H666" t="n">
        <v>15004</v>
      </c>
    </row>
    <row r="667">
      <c r="A667" t="inlineStr">
        <is>
          <t>IT</t>
        </is>
      </c>
      <c r="B667" t="inlineStr">
        <is>
          <t>Q4</t>
        </is>
      </c>
      <c r="C667" t="n">
        <v>4</v>
      </c>
      <c r="E667" t="n">
        <v>17374</v>
      </c>
      <c r="F667" t="n">
        <v>13739</v>
      </c>
      <c r="G667" t="n">
        <v>19485</v>
      </c>
      <c r="H667" t="n">
        <v>17548</v>
      </c>
    </row>
    <row r="668">
      <c r="A668" t="inlineStr">
        <is>
          <t>ES</t>
        </is>
      </c>
      <c r="B668" t="inlineStr">
        <is>
          <t>Q1</t>
        </is>
      </c>
      <c r="C668" t="n">
        <v>1</v>
      </c>
      <c r="D668" t="n">
        <v>8075</v>
      </c>
      <c r="E668" t="n">
        <v>9093</v>
      </c>
      <c r="F668" t="n">
        <v>7143</v>
      </c>
      <c r="G668" t="n">
        <v>11281</v>
      </c>
      <c r="H668" t="n">
        <v>7283</v>
      </c>
    </row>
    <row r="669">
      <c r="A669" t="inlineStr">
        <is>
          <t>ES</t>
        </is>
      </c>
      <c r="B669" t="inlineStr">
        <is>
          <t>Q2</t>
        </is>
      </c>
      <c r="C669" t="n">
        <v>2</v>
      </c>
      <c r="E669" t="n">
        <v>8005</v>
      </c>
      <c r="F669" t="n">
        <v>6378</v>
      </c>
      <c r="G669" t="n">
        <v>9113</v>
      </c>
      <c r="H669" t="n">
        <v>6770</v>
      </c>
    </row>
    <row r="670">
      <c r="A670" t="inlineStr">
        <is>
          <t>ES</t>
        </is>
      </c>
      <c r="B670" t="inlineStr">
        <is>
          <t>Q3</t>
        </is>
      </c>
      <c r="C670" t="n">
        <v>3</v>
      </c>
      <c r="E670" t="n">
        <v>7276</v>
      </c>
      <c r="F670" t="n">
        <v>5888</v>
      </c>
      <c r="G670" t="n">
        <v>8182</v>
      </c>
      <c r="H670" t="n">
        <v>7374</v>
      </c>
    </row>
    <row r="671">
      <c r="A671" t="inlineStr">
        <is>
          <t>ES</t>
        </is>
      </c>
      <c r="B671" t="inlineStr">
        <is>
          <t>Q4</t>
        </is>
      </c>
      <c r="C671" t="n">
        <v>4</v>
      </c>
      <c r="E671" t="n">
        <v>8577</v>
      </c>
      <c r="F671" t="n">
        <v>6938</v>
      </c>
      <c r="G671" t="n">
        <v>9644</v>
      </c>
      <c r="H671" t="n">
        <v>8528</v>
      </c>
    </row>
    <row r="672">
      <c r="A672" t="inlineStr">
        <is>
          <t>CA</t>
        </is>
      </c>
      <c r="B672" t="inlineStr">
        <is>
          <t>Q1</t>
        </is>
      </c>
      <c r="C672" t="n">
        <v>1</v>
      </c>
      <c r="D672" t="n">
        <v>9102</v>
      </c>
      <c r="E672" t="n">
        <v>9601</v>
      </c>
      <c r="F672" t="n">
        <v>7766</v>
      </c>
      <c r="G672" t="n">
        <v>11515</v>
      </c>
      <c r="H672" t="n">
        <v>7709</v>
      </c>
    </row>
    <row r="673">
      <c r="A673" t="inlineStr">
        <is>
          <t>CA</t>
        </is>
      </c>
      <c r="B673" t="inlineStr">
        <is>
          <t>Q2</t>
        </is>
      </c>
      <c r="C673" t="n">
        <v>2</v>
      </c>
      <c r="E673" t="n">
        <v>8918</v>
      </c>
      <c r="F673" t="n">
        <v>7541</v>
      </c>
      <c r="G673" t="n">
        <v>10173</v>
      </c>
      <c r="H673" t="n">
        <v>7862</v>
      </c>
    </row>
    <row r="674">
      <c r="A674" t="inlineStr">
        <is>
          <t>CA</t>
        </is>
      </c>
      <c r="B674" t="inlineStr">
        <is>
          <t>Q3</t>
        </is>
      </c>
      <c r="C674" t="n">
        <v>3</v>
      </c>
      <c r="E674" t="n">
        <v>9636</v>
      </c>
      <c r="F674" t="n">
        <v>8192</v>
      </c>
      <c r="G674" t="n">
        <v>10882</v>
      </c>
      <c r="H674" t="n">
        <v>9309</v>
      </c>
    </row>
    <row r="675">
      <c r="A675" t="inlineStr">
        <is>
          <t>CA</t>
        </is>
      </c>
      <c r="B675" t="inlineStr">
        <is>
          <t>Q4</t>
        </is>
      </c>
      <c r="C675" t="n">
        <v>4</v>
      </c>
      <c r="E675" t="n">
        <v>8797</v>
      </c>
      <c r="F675" t="n">
        <v>7483</v>
      </c>
      <c r="G675" t="n">
        <v>9939</v>
      </c>
      <c r="H675" t="n">
        <v>9006</v>
      </c>
    </row>
    <row r="676">
      <c r="A676" t="inlineStr">
        <is>
          <t>JP</t>
        </is>
      </c>
      <c r="B676" t="inlineStr">
        <is>
          <t>Q1</t>
        </is>
      </c>
      <c r="C676" t="n">
        <v>1</v>
      </c>
      <c r="D676" t="n">
        <v>8092</v>
      </c>
      <c r="E676" t="n">
        <v>7182</v>
      </c>
      <c r="F676" t="n">
        <v>4365</v>
      </c>
      <c r="G676" t="n">
        <v>9462</v>
      </c>
      <c r="H676" t="n">
        <v>8328</v>
      </c>
    </row>
    <row r="677">
      <c r="A677" t="inlineStr">
        <is>
          <t>JP</t>
        </is>
      </c>
      <c r="B677" t="inlineStr">
        <is>
          <t>Q2</t>
        </is>
      </c>
      <c r="C677" t="n">
        <v>2</v>
      </c>
      <c r="E677" t="n">
        <v>6174</v>
      </c>
      <c r="F677" t="n">
        <v>4600</v>
      </c>
      <c r="G677" t="n">
        <v>8321</v>
      </c>
      <c r="H677" t="n">
        <v>5289</v>
      </c>
    </row>
    <row r="678">
      <c r="A678" t="inlineStr">
        <is>
          <t>JP</t>
        </is>
      </c>
      <c r="B678" t="inlineStr">
        <is>
          <t>Q3</t>
        </is>
      </c>
      <c r="C678" t="n">
        <v>3</v>
      </c>
      <c r="E678" t="n">
        <v>6534</v>
      </c>
      <c r="F678" t="n">
        <v>5116</v>
      </c>
      <c r="G678" t="n">
        <v>8744</v>
      </c>
      <c r="H678" t="n">
        <v>5986</v>
      </c>
    </row>
    <row r="679">
      <c r="A679" t="inlineStr">
        <is>
          <t>JP</t>
        </is>
      </c>
      <c r="B679" t="inlineStr">
        <is>
          <t>Q4</t>
        </is>
      </c>
      <c r="C679" t="n">
        <v>4</v>
      </c>
      <c r="E679" t="n">
        <v>8338</v>
      </c>
      <c r="F679" t="n">
        <v>6549</v>
      </c>
      <c r="G679" t="n">
        <v>11187</v>
      </c>
      <c r="H679" t="n">
        <v>7125</v>
      </c>
    </row>
    <row r="680">
      <c r="A680" t="inlineStr">
        <is>
          <t>MX</t>
        </is>
      </c>
      <c r="B680" t="inlineStr">
        <is>
          <t>Q1</t>
        </is>
      </c>
      <c r="C680" t="n">
        <v>1</v>
      </c>
      <c r="D680" t="n">
        <v>3637</v>
      </c>
      <c r="E680" t="n">
        <v>2853</v>
      </c>
      <c r="F680" t="n">
        <v>1995</v>
      </c>
      <c r="G680" t="n">
        <v>3860</v>
      </c>
      <c r="H680" t="n">
        <v>2726</v>
      </c>
    </row>
    <row r="681">
      <c r="A681" t="inlineStr">
        <is>
          <t>MX</t>
        </is>
      </c>
      <c r="B681" t="inlineStr">
        <is>
          <t>Q2</t>
        </is>
      </c>
      <c r="C681" t="n">
        <v>2</v>
      </c>
      <c r="E681" t="n">
        <v>2996</v>
      </c>
      <c r="F681" t="n">
        <v>2579</v>
      </c>
      <c r="G681" t="n">
        <v>4983</v>
      </c>
      <c r="H681" t="n">
        <v>2795</v>
      </c>
    </row>
    <row r="682">
      <c r="A682" t="inlineStr">
        <is>
          <t>MX</t>
        </is>
      </c>
      <c r="B682" t="inlineStr">
        <is>
          <t>Q3</t>
        </is>
      </c>
      <c r="C682" t="n">
        <v>3</v>
      </c>
      <c r="E682" t="n">
        <v>2954</v>
      </c>
      <c r="F682" t="n">
        <v>2723</v>
      </c>
      <c r="G682" t="n">
        <v>5170</v>
      </c>
      <c r="H682" t="n">
        <v>2512</v>
      </c>
    </row>
    <row r="683">
      <c r="A683" t="inlineStr">
        <is>
          <t>MX</t>
        </is>
      </c>
      <c r="B683" t="inlineStr">
        <is>
          <t>Q4</t>
        </is>
      </c>
      <c r="C683" t="n">
        <v>4</v>
      </c>
      <c r="E683" t="n">
        <v>2854</v>
      </c>
      <c r="F683" t="n">
        <v>2634</v>
      </c>
      <c r="G683" t="n">
        <v>5004</v>
      </c>
      <c r="H683" t="n">
        <v>3145</v>
      </c>
    </row>
    <row r="684">
      <c r="A684" t="inlineStr">
        <is>
          <t>AU</t>
        </is>
      </c>
      <c r="B684" t="inlineStr">
        <is>
          <t>Q1</t>
        </is>
      </c>
      <c r="C684" t="n">
        <v>1</v>
      </c>
      <c r="D684" t="n">
        <v>3254</v>
      </c>
      <c r="E684" t="n">
        <v>3781</v>
      </c>
      <c r="F684" t="n">
        <v>2877</v>
      </c>
      <c r="G684" t="n">
        <v>4787</v>
      </c>
      <c r="H684" t="n">
        <v>3332</v>
      </c>
    </row>
    <row r="685">
      <c r="A685" t="inlineStr">
        <is>
          <t>AU</t>
        </is>
      </c>
      <c r="B685" t="inlineStr">
        <is>
          <t>Q2</t>
        </is>
      </c>
      <c r="C685" t="n">
        <v>2</v>
      </c>
      <c r="E685" t="n">
        <v>3496</v>
      </c>
      <c r="F685" t="n">
        <v>2529</v>
      </c>
      <c r="G685" t="n">
        <v>4127</v>
      </c>
      <c r="H685" t="n">
        <v>3479</v>
      </c>
    </row>
    <row r="686">
      <c r="A686" t="inlineStr">
        <is>
          <t>AU</t>
        </is>
      </c>
      <c r="B686" t="inlineStr">
        <is>
          <t>Q3</t>
        </is>
      </c>
      <c r="C686" t="n">
        <v>3</v>
      </c>
      <c r="E686" t="n">
        <v>3651</v>
      </c>
      <c r="F686" t="n">
        <v>2676</v>
      </c>
      <c r="G686" t="n">
        <v>4240</v>
      </c>
      <c r="H686" t="n">
        <v>3238</v>
      </c>
    </row>
    <row r="687">
      <c r="A687" t="inlineStr">
        <is>
          <t>AU</t>
        </is>
      </c>
      <c r="B687" t="inlineStr">
        <is>
          <t>Q4</t>
        </is>
      </c>
      <c r="C687" t="n">
        <v>4</v>
      </c>
      <c r="E687" t="n">
        <v>3278</v>
      </c>
      <c r="F687" t="n">
        <v>2403</v>
      </c>
      <c r="G687" t="n">
        <v>3805</v>
      </c>
      <c r="H687" t="n">
        <v>2857</v>
      </c>
    </row>
    <row r="690">
      <c r="A690">
        <f>== YEAR-END ===</f>
        <v/>
      </c>
    </row>
    <row r="691">
      <c r="A691" t="inlineStr">
        <is>
          <t>Market</t>
        </is>
      </c>
      <c r="B691" t="inlineStr">
        <is>
          <t>Actual_Regs</t>
        </is>
      </c>
      <c r="C691" t="inlineStr">
        <is>
          <t>Pred_Regs</t>
        </is>
      </c>
      <c r="D691" t="inlineStr">
        <is>
          <t>CI_Lo</t>
        </is>
      </c>
      <c r="E691" t="inlineStr">
        <is>
          <t>CI_Hi</t>
        </is>
      </c>
      <c r="F691" t="inlineStr">
        <is>
          <t>OP2_Regs</t>
        </is>
      </c>
    </row>
    <row r="692">
      <c r="A692" t="inlineStr">
        <is>
          <t>US</t>
        </is>
      </c>
      <c r="C692" t="n">
        <v>367629</v>
      </c>
      <c r="D692" t="n">
        <v>290639</v>
      </c>
      <c r="E692" t="n">
        <v>456277</v>
      </c>
      <c r="F692" t="n">
        <v>360833</v>
      </c>
    </row>
    <row r="693">
      <c r="A693" t="inlineStr">
        <is>
          <t>UK</t>
        </is>
      </c>
      <c r="C693" t="n">
        <v>62959</v>
      </c>
      <c r="D693" t="n">
        <v>48992</v>
      </c>
      <c r="E693" t="n">
        <v>77015</v>
      </c>
      <c r="F693" t="n">
        <v>58688</v>
      </c>
    </row>
    <row r="694">
      <c r="A694" t="inlineStr">
        <is>
          <t>DE</t>
        </is>
      </c>
      <c r="C694" t="n">
        <v>59567</v>
      </c>
      <c r="D694" t="n">
        <v>47799</v>
      </c>
      <c r="E694" t="n">
        <v>72438</v>
      </c>
      <c r="F694" t="n">
        <v>72975</v>
      </c>
    </row>
    <row r="695">
      <c r="A695" t="inlineStr">
        <is>
          <t>FR</t>
        </is>
      </c>
      <c r="C695" t="n">
        <v>58101</v>
      </c>
      <c r="D695" t="n">
        <v>46621</v>
      </c>
      <c r="E695" t="n">
        <v>65823</v>
      </c>
      <c r="F695" t="n">
        <v>53455</v>
      </c>
    </row>
    <row r="696">
      <c r="A696" t="inlineStr">
        <is>
          <t>IT</t>
        </is>
      </c>
      <c r="C696" t="n">
        <v>66453</v>
      </c>
      <c r="D696" t="n">
        <v>52548</v>
      </c>
      <c r="E696" t="n">
        <v>76789</v>
      </c>
      <c r="F696" t="n">
        <v>64434</v>
      </c>
    </row>
    <row r="697">
      <c r="A697" t="inlineStr">
        <is>
          <t>ES</t>
        </is>
      </c>
      <c r="C697" t="n">
        <v>32951</v>
      </c>
      <c r="D697" t="n">
        <v>26347</v>
      </c>
      <c r="E697" t="n">
        <v>38220</v>
      </c>
      <c r="F697" t="n">
        <v>29955</v>
      </c>
    </row>
    <row r="698">
      <c r="A698" t="inlineStr">
        <is>
          <t>CA</t>
        </is>
      </c>
      <c r="C698" t="n">
        <v>36952</v>
      </c>
      <c r="D698" t="n">
        <v>30982</v>
      </c>
      <c r="E698" t="n">
        <v>42509</v>
      </c>
      <c r="F698" t="n">
        <v>33886</v>
      </c>
    </row>
    <row r="699">
      <c r="A699" t="inlineStr">
        <is>
          <t>JP</t>
        </is>
      </c>
      <c r="C699" t="n">
        <v>28228</v>
      </c>
      <c r="D699" t="n">
        <v>20630</v>
      </c>
      <c r="E699" t="n">
        <v>37714</v>
      </c>
      <c r="F699" t="n">
        <v>26728</v>
      </c>
    </row>
    <row r="700">
      <c r="A700" t="inlineStr">
        <is>
          <t>MX</t>
        </is>
      </c>
      <c r="C700" t="n">
        <v>11657</v>
      </c>
      <c r="D700" t="n">
        <v>9931</v>
      </c>
      <c r="E700" t="n">
        <v>19017</v>
      </c>
      <c r="F700" t="n">
        <v>11178</v>
      </c>
    </row>
    <row r="701">
      <c r="A701" t="inlineStr">
        <is>
          <t>AU</t>
        </is>
      </c>
      <c r="C701" t="n">
        <v>14206</v>
      </c>
      <c r="D701" t="n">
        <v>10485</v>
      </c>
      <c r="E701" t="n">
        <v>16959</v>
      </c>
      <c r="F701" t="n">
        <v>12906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2026-04-13T20:28:00Z</dcterms:created>
  <dcterms:modified xmlns:dcterms="http://purl.org/dc/terms/" xmlns:xsi="http://www.w3.org/2001/XMLSchema-instance" xsi:type="dcterms:W3CDTF">2026-04-13T23:13:33Z</dcterms:modified>
  <cp:lastModifiedBy>Williams, Richard</cp:lastModifiedBy>
</cp:coreProperties>
</file>

<file path=docProps/custom.xml><?xml version="1.0" encoding="utf-8"?>
<Properties xmlns="http://schemas.openxmlformats.org/officeDocument/2006/custom-properties">
  <property name="MSIP_Label_19e68092-05df-4271-8e3e-b2a4c82ba797_Enabled" fmtid="{D5CDD505-2E9C-101B-9397-08002B2CF9AE}" pid="2">
    <vt:lpwstr xmlns:vt="http://schemas.openxmlformats.org/officeDocument/2006/docPropsVTypes">true</vt:lpwstr>
  </property>
  <property name="MSIP_Label_19e68092-05df-4271-8e3e-b2a4c82ba797_SetDate" fmtid="{D5CDD505-2E9C-101B-9397-08002B2CF9AE}" pid="3">
    <vt:lpwstr xmlns:vt="http://schemas.openxmlformats.org/officeDocument/2006/docPropsVTypes">2026-04-13T20:47:41Z</vt:lpwstr>
  </property>
  <property name="MSIP_Label_19e68092-05df-4271-8e3e-b2a4c82ba797_Method" fmtid="{D5CDD505-2E9C-101B-9397-08002B2CF9AE}" pid="4">
    <vt:lpwstr xmlns:vt="http://schemas.openxmlformats.org/officeDocument/2006/docPropsVTypes">Standard</vt:lpwstr>
  </property>
  <property name="MSIP_Label_19e68092-05df-4271-8e3e-b2a4c82ba797_Name" fmtid="{D5CDD505-2E9C-101B-9397-08002B2CF9AE}" pid="5">
    <vt:lpwstr xmlns:vt="http://schemas.openxmlformats.org/officeDocument/2006/docPropsVTypes">Amazon Confidential</vt:lpwstr>
  </property>
  <property name="MSIP_Label_19e68092-05df-4271-8e3e-b2a4c82ba797_SiteId" fmtid="{D5CDD505-2E9C-101B-9397-08002B2CF9AE}" pid="6">
    <vt:lpwstr xmlns:vt="http://schemas.openxmlformats.org/officeDocument/2006/docPropsVTypes">5280104a-472d-4538-9ccf-1e1d0efe8b1b</vt:lpwstr>
  </property>
  <property name="MSIP_Label_19e68092-05df-4271-8e3e-b2a4c82ba797_ActionId" fmtid="{D5CDD505-2E9C-101B-9397-08002B2CF9AE}" pid="7">
    <vt:lpwstr xmlns:vt="http://schemas.openxmlformats.org/officeDocument/2006/docPropsVTypes">b62febbb-ba0d-46b1-a606-ef10feea0a62</vt:lpwstr>
  </property>
  <property name="MSIP_Label_19e68092-05df-4271-8e3e-b2a4c82ba797_ContentBits" fmtid="{D5CDD505-2E9C-101B-9397-08002B2CF9AE}" pid="8">
    <vt:lpwstr xmlns:vt="http://schemas.openxmlformats.org/officeDocument/2006/docPropsVTypes">0</vt:lpwstr>
  </property>
  <property name="MSIP_Label_19e68092-05df-4271-8e3e-b2a4c82ba797_Tag" fmtid="{D5CDD505-2E9C-101B-9397-08002B2CF9AE}" pid="9">
    <vt:lpwstr xmlns:vt="http://schemas.openxmlformats.org/officeDocument/2006/docPropsVTypes">10, 3, 0, 2</vt:lpwstr>
  </property>
</Properties>
</file>