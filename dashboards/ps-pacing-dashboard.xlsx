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&quot;%&quot;"/>
  </numFmts>
  <fonts count="7">
    <font>
      <name val="Calibri"/>
      <family val="2"/>
      <color theme="1"/>
      <sz val="11"/>
      <scheme val="minor"/>
    </font>
    <font>
      <b val="1"/>
      <color rgb="001F4E79"/>
      <sz val="16"/>
    </font>
    <font>
      <color rgb="00666666"/>
      <sz val="11"/>
    </font>
    <font>
      <b val="1"/>
      <color rgb="00FFFFFF"/>
      <sz val="11"/>
    </font>
    <font>
      <b val="1"/>
    </font>
    <font>
      <b val="1"/>
      <color rgb="00E74C3C"/>
    </font>
    <font>
      <b val="1"/>
      <color rgb="0027AE6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5" fillId="0" borderId="1" pivotButton="0" quotePrefix="0" xfId="0"/>
    <xf numFmtId="166" fontId="6" fillId="0" borderId="1" pivotButton="0" quotePrefix="0" xfId="0"/>
    <xf numFmtId="0" fontId="0" fillId="0" borderId="1" pivotButton="0" quotePrefix="0" xfId="0"/>
    <xf numFmtId="0" fontId="4" fillId="3" borderId="1" pivotButton="0" quotePrefix="0" xfId="0"/>
    <xf numFmtId="3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166" fontId="6" fillId="3" borderId="1" pivotButton="0" quotePrefix="0" xfId="0"/>
    <xf numFmtId="0" fontId="0" fillId="3" borderId="1" pivotButton="0" quotePrefix="0" xfId="0"/>
    <xf numFmtId="166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YTD Registrations by Market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'Pacing'!B4</f>
            </strRef>
          </tx>
          <spPr>
            <a:solidFill>
              <a:srgbClr val="4A9EFF"/>
            </a:solidFill>
            <a:ln>
              <a:prstDash val="solid"/>
            </a:ln>
          </spPr>
          <cat>
            <numRef>
              <f>'Pacing'!$A$5:$A$14</f>
            </numRef>
          </cat>
          <val>
            <numRef>
              <f>'Pacing'!$B$5:$B$14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Registrations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89B4FA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Market Pacing Dashboard</t>
        </is>
      </c>
    </row>
    <row r="2">
      <c r="A2" s="2" t="inlineStr">
        <is>
          <t>2026 YTD vs OP Targets • All 10 Markets</t>
        </is>
      </c>
    </row>
    <row r="4">
      <c r="A4" s="3" t="inlineStr">
        <is>
          <t>Market</t>
        </is>
      </c>
      <c r="B4" s="3" t="inlineStr">
        <is>
          <t>YTD Regs</t>
        </is>
      </c>
      <c r="C4" s="3" t="inlineStr">
        <is>
          <t>YTD Cost</t>
        </is>
      </c>
      <c r="D4" s="3" t="inlineStr">
        <is>
          <t>Avg CPA</t>
        </is>
      </c>
      <c r="E4" s="3" t="inlineStr">
        <is>
          <t>Proj Month Regs</t>
        </is>
      </c>
      <c r="F4" s="3" t="inlineStr">
        <is>
          <t>OP2 Regs</t>
        </is>
      </c>
      <c r="G4" s="3" t="inlineStr">
        <is>
          <t>vs OP2 %</t>
        </is>
      </c>
      <c r="H4" s="3" t="inlineStr">
        <is>
          <t>Latest Wk</t>
        </is>
      </c>
      <c r="I4" s="3" t="inlineStr">
        <is>
          <t>WoW Δ</t>
        </is>
      </c>
      <c r="J4" s="3" t="inlineStr">
        <is>
          <t>Status</t>
        </is>
      </c>
    </row>
    <row r="5">
      <c r="A5" s="4" t="inlineStr">
        <is>
          <t>US</t>
        </is>
      </c>
      <c r="B5" s="5" t="n">
        <v>109168</v>
      </c>
      <c r="C5" s="6" t="n">
        <v>8188681</v>
      </c>
      <c r="D5" s="7" t="n">
        <v>75.01000000000001</v>
      </c>
      <c r="E5" s="5" t="n">
        <v>36603</v>
      </c>
      <c r="F5" s="5" t="n">
        <v>2744318</v>
      </c>
      <c r="G5" s="8" t="n">
        <v>-1</v>
      </c>
      <c r="H5" s="5" t="n">
        <v>8796</v>
      </c>
      <c r="I5" s="9" t="n">
        <v>7.6</v>
      </c>
      <c r="J5" s="10" t="inlineStr">
        <is>
          <t>On Track</t>
        </is>
      </c>
    </row>
    <row r="6">
      <c r="A6" s="11" t="inlineStr">
        <is>
          <t>UK</t>
        </is>
      </c>
      <c r="B6" s="12" t="n">
        <v>18462</v>
      </c>
      <c r="C6" s="13" t="n">
        <v>1265958</v>
      </c>
      <c r="D6" s="14" t="n">
        <v>68.56999999999999</v>
      </c>
      <c r="E6" s="12" t="n">
        <v>6220</v>
      </c>
      <c r="F6" s="12" t="n">
        <v>5174</v>
      </c>
      <c r="G6" s="15" t="n">
        <v>20.2</v>
      </c>
      <c r="H6" s="12" t="n">
        <v>1531</v>
      </c>
      <c r="I6" s="15" t="n">
        <v>14.4</v>
      </c>
      <c r="J6" s="16" t="inlineStr">
        <is>
          <t>On Track</t>
        </is>
      </c>
    </row>
    <row r="7">
      <c r="A7" s="4" t="inlineStr">
        <is>
          <t>DE</t>
        </is>
      </c>
      <c r="B7" s="5" t="n">
        <v>18204</v>
      </c>
      <c r="C7" s="6" t="n">
        <v>2160257</v>
      </c>
      <c r="D7" s="7" t="n">
        <v>118.67</v>
      </c>
      <c r="E7" s="5" t="n">
        <v>5037</v>
      </c>
      <c r="F7" s="5" t="n">
        <v>147592</v>
      </c>
      <c r="G7" s="8" t="n">
        <v>-1</v>
      </c>
      <c r="H7" s="5" t="n">
        <v>654</v>
      </c>
      <c r="I7" s="8" t="n">
        <v>-45.5</v>
      </c>
      <c r="J7" s="10" t="inlineStr">
        <is>
          <t>On Track</t>
        </is>
      </c>
    </row>
    <row r="8">
      <c r="A8" s="11" t="inlineStr">
        <is>
          <t>IT</t>
        </is>
      </c>
      <c r="B8" s="12" t="n">
        <v>16554</v>
      </c>
      <c r="C8" s="13" t="n">
        <v>1177437</v>
      </c>
      <c r="D8" s="14" t="n">
        <v>71.13</v>
      </c>
      <c r="E8" s="12" t="n">
        <v>5790</v>
      </c>
      <c r="F8" s="16" t="n"/>
      <c r="G8" s="16" t="n"/>
      <c r="H8" s="12" t="n">
        <v>1357</v>
      </c>
      <c r="I8" s="15" t="n">
        <v>8.1</v>
      </c>
      <c r="J8" s="16" t="inlineStr">
        <is>
          <t>No Target</t>
        </is>
      </c>
    </row>
    <row r="9">
      <c r="A9" s="4" t="inlineStr">
        <is>
          <t>FR</t>
        </is>
      </c>
      <c r="B9" s="5" t="n">
        <v>13883</v>
      </c>
      <c r="C9" s="6" t="n">
        <v>830841</v>
      </c>
      <c r="D9" s="7" t="n">
        <v>59.85</v>
      </c>
      <c r="E9" s="5" t="n">
        <v>5119</v>
      </c>
      <c r="F9" s="10" t="n"/>
      <c r="G9" s="10" t="n"/>
      <c r="H9" s="5" t="n">
        <v>1191</v>
      </c>
      <c r="I9" s="9" t="n">
        <v>4.1</v>
      </c>
      <c r="J9" s="10" t="inlineStr">
        <is>
          <t>No Target</t>
        </is>
      </c>
    </row>
    <row r="10">
      <c r="A10" s="11" t="inlineStr">
        <is>
          <t>CA</t>
        </is>
      </c>
      <c r="B10" s="12" t="n">
        <v>9159</v>
      </c>
      <c r="C10" s="13" t="n">
        <v>680883</v>
      </c>
      <c r="D10" s="14" t="n">
        <v>74.34</v>
      </c>
      <c r="E10" s="12" t="n">
        <v>3234</v>
      </c>
      <c r="F10" s="12" t="n">
        <v>27155</v>
      </c>
      <c r="G10" s="17" t="n">
        <v>-0.9</v>
      </c>
      <c r="H10" s="12" t="n">
        <v>812</v>
      </c>
      <c r="I10" s="15" t="n">
        <v>19.2</v>
      </c>
      <c r="J10" s="16" t="inlineStr">
        <is>
          <t>On Track</t>
        </is>
      </c>
    </row>
    <row r="11">
      <c r="A11" s="4" t="inlineStr">
        <is>
          <t>JP</t>
        </is>
      </c>
      <c r="B11" s="5" t="n">
        <v>8134</v>
      </c>
      <c r="C11" s="6" t="n">
        <v>438411</v>
      </c>
      <c r="D11" s="7" t="n">
        <v>53.9</v>
      </c>
      <c r="E11" s="5" t="n">
        <v>2274</v>
      </c>
      <c r="F11" s="5" t="n">
        <v>657549</v>
      </c>
      <c r="G11" s="8" t="n">
        <v>-1</v>
      </c>
      <c r="H11" s="5" t="n">
        <v>557</v>
      </c>
      <c r="I11" s="9" t="n">
        <v>28.9</v>
      </c>
      <c r="J11" s="10" t="inlineStr">
        <is>
          <t>On Track</t>
        </is>
      </c>
    </row>
    <row r="12">
      <c r="A12" s="11" t="inlineStr">
        <is>
          <t>ES</t>
        </is>
      </c>
      <c r="B12" s="12" t="n">
        <v>8109</v>
      </c>
      <c r="C12" s="13" t="n">
        <v>466814</v>
      </c>
      <c r="D12" s="14" t="n">
        <v>57.57</v>
      </c>
      <c r="E12" s="12" t="n">
        <v>2914</v>
      </c>
      <c r="F12" s="12" t="n">
        <v>1676863</v>
      </c>
      <c r="G12" s="17" t="n">
        <v>-1</v>
      </c>
      <c r="H12" s="12" t="n">
        <v>645</v>
      </c>
      <c r="I12" s="15" t="n">
        <v>0.2</v>
      </c>
      <c r="J12" s="16" t="inlineStr">
        <is>
          <t>On Track</t>
        </is>
      </c>
    </row>
    <row r="13">
      <c r="A13" s="4" t="inlineStr">
        <is>
          <t>MX</t>
        </is>
      </c>
      <c r="B13" s="5" t="n">
        <v>3647</v>
      </c>
      <c r="C13" s="6" t="n">
        <v>214589</v>
      </c>
      <c r="D13" s="7" t="n">
        <v>58.84</v>
      </c>
      <c r="E13" s="5" t="n">
        <v>1500</v>
      </c>
      <c r="F13" s="5" t="n">
        <v>859</v>
      </c>
      <c r="G13" s="9" t="n">
        <v>74.59999999999999</v>
      </c>
      <c r="H13" s="5" t="n">
        <v>354</v>
      </c>
      <c r="I13" s="9" t="n">
        <v>8.6</v>
      </c>
      <c r="J13" s="10" t="inlineStr">
        <is>
          <t>On Track</t>
        </is>
      </c>
    </row>
    <row r="14">
      <c r="A14" s="11" t="inlineStr">
        <is>
          <t>AU</t>
        </is>
      </c>
      <c r="B14" s="12" t="n">
        <v>3255</v>
      </c>
      <c r="C14" s="13" t="n">
        <v>424125</v>
      </c>
      <c r="D14" s="14" t="n">
        <v>130.3</v>
      </c>
      <c r="E14" s="12" t="n">
        <v>1030</v>
      </c>
      <c r="F14" s="12" t="n">
        <v>1082</v>
      </c>
      <c r="G14" s="17" t="n">
        <v>-4.8</v>
      </c>
      <c r="H14" s="12" t="n">
        <v>207</v>
      </c>
      <c r="I14" s="17" t="n">
        <v>-15.5</v>
      </c>
      <c r="J14" s="16" t="inlineStr">
        <is>
          <t>On Track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2026-04-11T13:49:56Z</dcterms:created>
  <dcterms:modified xsi:type="dcterms:W3CDTF">2026-04-11T13:49:56Z</dcterms:modified>
</cp:coreProperties>
</file>