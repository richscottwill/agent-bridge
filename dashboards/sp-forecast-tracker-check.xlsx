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DE" sheetId="4" state="visible" r:id="rId4"/>
    <sheet xmlns:r="http://schemas.openxmlformats.org/officeDocument/2006/relationships" name="FR" sheetId="5" state="visible" r:id="rId5"/>
    <sheet xmlns:r="http://schemas.openxmlformats.org/officeDocument/2006/relationships" name="IT" sheetId="6" state="visible" r:id="rId6"/>
    <sheet xmlns:r="http://schemas.openxmlformats.org/officeDocument/2006/relationships" name="ES" sheetId="7" state="visible" r:id="rId7"/>
    <sheet xmlns:r="http://schemas.openxmlformats.org/officeDocument/2006/relationships" name="CA" sheetId="8" state="visible" r:id="rId8"/>
    <sheet xmlns:r="http://schemas.openxmlformats.org/officeDocument/2006/relationships" name="JP" sheetId="9" state="visible" r:id="rId9"/>
    <sheet xmlns:r="http://schemas.openxmlformats.org/officeDocument/2006/relationships" name="MX" sheetId="10" state="visible" r:id="rId10"/>
    <sheet xmlns:r="http://schemas.openxmlformats.org/officeDocument/2006/relationships" name="AU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+0.0&quot;%&quot;;-0.0&quot;%&quot;"/>
    <numFmt numFmtId="167" formatCode="+0.0%;-0.0%"/>
    <numFmt numFmtId="168" formatCode="0.0%"/>
  </numFmts>
  <fonts count="24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95A5A6"/>
      <sz val="11"/>
    </font>
    <font>
      <name val="Calibri"/>
      <color rgb="0095A5A6"/>
      <sz val="9"/>
    </font>
    <font>
      <name val="Calibri"/>
      <b val="1"/>
      <color rgb="001F4E79"/>
      <sz val="2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27AE60"/>
    </font>
    <font>
      <name val="Calibri"/>
      <b val="1"/>
      <color rgb="00E74C3C"/>
    </font>
    <font>
      <name val="Calibri"/>
      <sz val="10"/>
    </font>
    <font>
      <name val="Calibri"/>
      <b val="1"/>
      <color rgb="00F39C12"/>
    </font>
    <font>
      <name val="Calibri"/>
      <b val="1"/>
      <color rgb="003498DB"/>
      <sz val="16"/>
    </font>
    <font>
      <name val="Calibri"/>
      <b val="1"/>
      <color rgb="001F4E79"/>
      <sz val="12"/>
    </font>
    <font>
      <name val="Calibri"/>
      <i val="1"/>
      <color rgb="00F39C12"/>
      <sz val="10"/>
    </font>
    <font>
      <name val="Calibri"/>
      <i val="1"/>
      <color rgb="0095A5A6"/>
      <sz val="9"/>
    </font>
    <font>
      <name val="Calibri"/>
      <b val="1"/>
      <color rgb="002ECC71"/>
      <sz val="16"/>
    </font>
    <font>
      <name val="Calibri"/>
      <b val="1"/>
      <color rgb="00E67E22"/>
      <sz val="16"/>
    </font>
    <font>
      <name val="Calibri"/>
      <b val="1"/>
      <color rgb="00E74C3C"/>
      <sz val="16"/>
    </font>
    <font>
      <name val="Calibri"/>
      <b val="1"/>
      <color rgb="001ABC9C"/>
      <sz val="16"/>
    </font>
    <font>
      <name val="Calibri"/>
      <b val="1"/>
      <color rgb="00C0392B"/>
      <sz val="16"/>
    </font>
    <font>
      <name val="Calibri"/>
      <b val="1"/>
      <color rgb="00F1C40F"/>
      <sz val="16"/>
    </font>
    <font>
      <name val="Calibri"/>
      <b val="1"/>
      <color rgb="009B59B6"/>
      <sz val="16"/>
    </font>
    <font>
      <name val="Calibri"/>
      <b val="1"/>
      <color rgb="00D35400"/>
      <sz val="16"/>
    </font>
    <font>
      <name val="Calibri"/>
      <b val="1"/>
      <color rgb="0016A085"/>
      <sz val="16"/>
    </font>
  </fonts>
  <fills count="16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2C3E6B"/>
        <bgColor rgb="002C3E6B"/>
      </patternFill>
    </fill>
    <fill>
      <patternFill patternType="solid">
        <fgColor rgb="00EDF2F9"/>
        <bgColor rgb="00EDF2F9"/>
      </patternFill>
    </fill>
    <fill>
      <patternFill patternType="solid">
        <fgColor rgb="003498DB"/>
        <bgColor rgb="003498DB"/>
      </patternFill>
    </fill>
    <fill>
      <patternFill patternType="solid">
        <fgColor rgb="00FFF9E6"/>
        <bgColor rgb="00FFF9E6"/>
      </patternFill>
    </fill>
    <fill>
      <patternFill patternType="solid">
        <fgColor rgb="002ECC71"/>
        <bgColor rgb="002ECC71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  <fill>
      <patternFill patternType="solid">
        <fgColor rgb="001ABC9C"/>
        <bgColor rgb="001ABC9C"/>
      </patternFill>
    </fill>
    <fill>
      <patternFill patternType="solid">
        <fgColor rgb="00C0392B"/>
        <bgColor rgb="00C0392B"/>
      </patternFill>
    </fill>
    <fill>
      <patternFill patternType="solid">
        <fgColor rgb="00F1C40F"/>
        <bgColor rgb="00F1C40F"/>
      </patternFill>
    </fill>
    <fill>
      <patternFill patternType="solid">
        <fgColor rgb="009B59B6"/>
        <bgColor rgb="009B59B6"/>
      </patternFill>
    </fill>
    <fill>
      <patternFill patternType="solid">
        <fgColor rgb="00D35400"/>
        <bgColor rgb="00D35400"/>
      </patternFill>
    </fill>
    <fill>
      <patternFill patternType="solid">
        <fgColor rgb="0016A085"/>
        <bgColor rgb="0016A085"/>
      </patternFill>
    </fill>
  </fills>
  <borders count="8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bottom style="medium">
        <color rgb="001F4E79"/>
      </bottom>
    </border>
    <border>
      <bottom style="thin">
        <color rgb="00DEE2E6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9" fillId="0" borderId="7" pivotButton="0" quotePrefix="0" xfId="0"/>
    <xf numFmtId="3" fontId="9" fillId="0" borderId="7" pivotButton="0" quotePrefix="0" xfId="0"/>
    <xf numFmtId="164" fontId="9" fillId="0" borderId="7" pivotButton="0" quotePrefix="0" xfId="0"/>
    <xf numFmtId="165" fontId="9" fillId="0" borderId="7" pivotButton="0" quotePrefix="0" xfId="0"/>
    <xf numFmtId="166" fontId="9" fillId="0" borderId="7" pivotButton="0" quotePrefix="0" xfId="0"/>
    <xf numFmtId="0" fontId="9" fillId="4" borderId="7" pivotButton="0" quotePrefix="0" xfId="0"/>
    <xf numFmtId="3" fontId="9" fillId="4" borderId="7" pivotButton="0" quotePrefix="0" xfId="0"/>
    <xf numFmtId="164" fontId="9" fillId="4" borderId="7" pivotButton="0" quotePrefix="0" xfId="0"/>
    <xf numFmtId="165" fontId="9" fillId="4" borderId="7" pivotButton="0" quotePrefix="0" xfId="0"/>
    <xf numFmtId="166" fontId="9" fillId="4" borderId="7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5" borderId="6" applyAlignment="1" pivotButton="0" quotePrefix="0" xfId="0">
      <alignment horizontal="center" vertical="center" wrapText="1"/>
    </xf>
    <xf numFmtId="0" fontId="13" fillId="6" borderId="7" pivotButton="0" quotePrefix="0" xfId="0"/>
    <xf numFmtId="3" fontId="13" fillId="6" borderId="7" pivotButton="0" quotePrefix="0" xfId="0"/>
    <xf numFmtId="167" fontId="13" fillId="6" borderId="7" pivotButton="0" quotePrefix="0" xfId="0"/>
    <xf numFmtId="168" fontId="13" fillId="6" borderId="7" pivotButton="0" quotePrefix="0" xfId="0"/>
    <xf numFmtId="9" fontId="13" fillId="6" borderId="7" pivotButton="0" quotePrefix="0" xfId="0"/>
    <xf numFmtId="167" fontId="9" fillId="0" borderId="7" pivotButton="0" quotePrefix="0" xfId="0"/>
    <xf numFmtId="168" fontId="9" fillId="0" borderId="7" pivotButton="0" quotePrefix="0" xfId="0"/>
    <xf numFmtId="9" fontId="9" fillId="0" borderId="7" pivotButton="0" quotePrefix="0" xfId="0"/>
    <xf numFmtId="167" fontId="9" fillId="4" borderId="7" pivotButton="0" quotePrefix="0" xfId="0"/>
    <xf numFmtId="168" fontId="9" fillId="4" borderId="7" pivotButton="0" quotePrefix="0" xfId="0"/>
    <xf numFmtId="9" fontId="9" fillId="4" borderId="7" pivotButton="0" quotePrefix="0" xfId="0"/>
    <xf numFmtId="0" fontId="15" fillId="0" borderId="0" pivotButton="0" quotePrefix="0" xfId="0"/>
    <xf numFmtId="0" fontId="5" fillId="7" borderId="6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8" borderId="6" applyAlignment="1" pivotButton="0" quotePrefix="0" xfId="0">
      <alignment horizontal="center" vertical="center" wrapText="1"/>
    </xf>
    <xf numFmtId="0" fontId="17" fillId="0" borderId="0" pivotButton="0" quotePrefix="0" xfId="0"/>
    <xf numFmtId="0" fontId="5" fillId="9" borderId="6" applyAlignment="1" pivotButton="0" quotePrefix="0" xfId="0">
      <alignment horizontal="center" vertical="center" wrapText="1"/>
    </xf>
    <xf numFmtId="0" fontId="18" fillId="0" borderId="0" pivotButton="0" quotePrefix="0" xfId="0"/>
    <xf numFmtId="0" fontId="5" fillId="10" borderId="6" applyAlignment="1" pivotButton="0" quotePrefix="0" xfId="0">
      <alignment horizontal="center" vertical="center" wrapText="1"/>
    </xf>
    <xf numFmtId="0" fontId="19" fillId="0" borderId="0" pivotButton="0" quotePrefix="0" xfId="0"/>
    <xf numFmtId="0" fontId="5" fillId="11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5" fillId="12" borderId="6" applyAlignment="1" pivotButton="0" quotePrefix="0" xfId="0">
      <alignment horizontal="center" vertical="center" wrapText="1"/>
    </xf>
    <xf numFmtId="0" fontId="21" fillId="0" borderId="0" pivotButton="0" quotePrefix="0" xfId="0"/>
    <xf numFmtId="0" fontId="5" fillId="13" borderId="6" applyAlignment="1" pivotButton="0" quotePrefix="0" xfId="0">
      <alignment horizontal="center" vertical="center" wrapText="1"/>
    </xf>
    <xf numFmtId="0" fontId="22" fillId="0" borderId="0" pivotButton="0" quotePrefix="0" xfId="0"/>
    <xf numFmtId="0" fontId="5" fillId="14" borderId="6" applyAlignment="1" pivotButton="0" quotePrefix="0" xfId="0">
      <alignment horizontal="center" vertical="center" wrapText="1"/>
    </xf>
    <xf numFmtId="0" fontId="23" fillId="0" borderId="0" pivotButton="0" quotePrefix="0" xfId="0"/>
    <xf numFmtId="0" fontId="5" fillId="1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Registrations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 xmlns:a="http://schemas.openxmlformats.org/drawingml/2006/main">
              <a:srgbClr val="4A9EFF"/>
            </a:solidFill>
            <a:ln xmlns:a="http://schemas.openxmlformats.org/drawingml/2006/main">
              <a:prstDash val="solid"/>
            </a:ln>
          </spPr>
          <cat>
            <numRef>
              <f>'Dashboard'!$A$10:$A$19</f>
            </numRef>
          </cat>
          <val>
            <numRef>
              <f>'Dashboard'!$B$10:$B$19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Registrations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'US'!C35</f>
            </strRef>
          </tx>
          <spPr>
            <a:ln xmlns:a="http://schemas.openxmlformats.org/drawingml/2006/main" w="28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'US'!$B$36:$B$87</f>
            </numRef>
          </cat>
          <val>
            <numRef>
              <f>'US'!$C$36:$C$87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'US'!F35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'US'!$B$36:$B$87</f>
            </numRef>
          </cat>
          <val>
            <numRef>
              <f>'US'!$F$36:$F$87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'US'!E35</f>
            </strRef>
          </tx>
          <spPr>
            <a:ln xmlns:a="http://schemas.openxmlformats.org/drawingml/2006/main" w="25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'US'!$B$36:$B$87</f>
            </numRef>
          </cat>
          <val>
            <numRef>
              <f>'US'!$E$36:$E$87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'UK'!C35</f>
            </strRef>
          </tx>
          <spPr>
            <a:ln xmlns:a="http://schemas.openxmlformats.org/drawingml/2006/main" w="28000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'UK'!$B$36:$B$87</f>
            </numRef>
          </cat>
          <val>
            <numRef>
              <f>'UK'!$C$36:$C$87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'UK'!F35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'UK'!$B$36:$B$87</f>
            </numRef>
          </cat>
          <val>
            <numRef>
              <f>'UK'!$F$36:$F$87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'UK'!E35</f>
            </strRef>
          </tx>
          <spPr>
            <a:ln xmlns:a="http://schemas.openxmlformats.org/drawingml/2006/main" w="25000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'UK'!$B$36:$B$87</f>
            </numRef>
          </cat>
          <val>
            <numRef>
              <f>'UK'!$E$36:$E$87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'DE'!C35</f>
            </strRef>
          </tx>
          <spPr>
            <a:ln xmlns:a="http://schemas.openxmlformats.org/drawingml/2006/main" w="28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'DE'!$B$36:$B$87</f>
            </numRef>
          </cat>
          <val>
            <numRef>
              <f>'DE'!$C$36:$C$87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'DE'!F35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'DE'!$B$36:$B$87</f>
            </numRef>
          </cat>
          <val>
            <numRef>
              <f>'DE'!$F$36:$F$87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'DE'!E35</f>
            </strRef>
          </tx>
          <spPr>
            <a:ln xmlns:a="http://schemas.openxmlformats.org/drawingml/2006/main" w="25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'DE'!$B$36:$B$87</f>
            </numRef>
          </cat>
          <val>
            <numRef>
              <f>'DE'!$E$36:$E$87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'FR'!C35</f>
            </strRef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'FR'!$B$36:$B$87</f>
            </numRef>
          </cat>
          <val>
            <numRef>
              <f>'FR'!$C$36:$C$87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'FR'!F35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'FR'!$B$36:$B$87</f>
            </numRef>
          </cat>
          <val>
            <numRef>
              <f>'FR'!$F$36:$F$87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'FR'!E35</f>
            </strRef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'FR'!$B$36:$B$87</f>
            </numRef>
          </cat>
          <val>
            <numRef>
              <f>'FR'!$E$36:$E$87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'IT'!C35</f>
            </strRef>
          </tx>
          <spPr>
            <a:ln xmlns:a="http://schemas.openxmlformats.org/drawingml/2006/main" w="28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'IT'!$B$36:$B$87</f>
            </numRef>
          </cat>
          <val>
            <numRef>
              <f>'IT'!$C$36:$C$87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'IT'!F35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'IT'!$B$36:$B$87</f>
            </numRef>
          </cat>
          <val>
            <numRef>
              <f>'IT'!$F$36:$F$87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'IT'!E35</f>
            </strRef>
          </tx>
          <spPr>
            <a:ln xmlns:a="http://schemas.openxmlformats.org/drawingml/2006/main" w="25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'IT'!$B$36:$B$87</f>
            </numRef>
          </cat>
          <val>
            <numRef>
              <f>'IT'!$E$36:$E$87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'ES'!C35</f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'ES'!$B$36:$B$87</f>
            </numRef>
          </cat>
          <val>
            <numRef>
              <f>'ES'!$C$36:$C$87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'ES'!F35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'ES'!$B$36:$B$87</f>
            </numRef>
          </cat>
          <val>
            <numRef>
              <f>'ES'!$F$36:$F$87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'ES'!E35</f>
            </strRef>
          </tx>
          <spPr>
            <a:ln xmlns:a="http://schemas.openxmlformats.org/drawingml/2006/main" w="25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'ES'!$B$36:$B$87</f>
            </numRef>
          </cat>
          <val>
            <numRef>
              <f>'ES'!$E$36:$E$87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'CA'!C35</f>
            </strRef>
          </tx>
          <spPr>
            <a:ln xmlns:a="http://schemas.openxmlformats.org/drawingml/2006/main" w="28000">
              <a:solidFill>
                <a:srgbClr val="F1C40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'CA'!$B$36:$B$87</f>
            </numRef>
          </cat>
          <val>
            <numRef>
              <f>'CA'!$C$36:$C$87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'CA'!F35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'CA'!$B$36:$B$87</f>
            </numRef>
          </cat>
          <val>
            <numRef>
              <f>'CA'!$F$36:$F$87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'CA'!E35</f>
            </strRef>
          </tx>
          <spPr>
            <a:ln xmlns:a="http://schemas.openxmlformats.org/drawingml/2006/main" w="25000">
              <a:solidFill>
                <a:srgbClr val="F1C40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'CA'!$B$36:$B$87</f>
            </numRef>
          </cat>
          <val>
            <numRef>
              <f>'CA'!$E$36:$E$87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'JP'!C35</f>
            </strRef>
          </tx>
          <spPr>
            <a:ln xmlns:a="http://schemas.openxmlformats.org/drawingml/2006/main" w="28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'JP'!$B$36:$B$87</f>
            </numRef>
          </cat>
          <val>
            <numRef>
              <f>'JP'!$C$36:$C$87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'JP'!F35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'JP'!$B$36:$B$87</f>
            </numRef>
          </cat>
          <val>
            <numRef>
              <f>'JP'!$F$36:$F$87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'JP'!E35</f>
            </strRef>
          </tx>
          <spPr>
            <a:ln xmlns:a="http://schemas.openxmlformats.org/drawingml/2006/main" w="25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'JP'!$B$36:$B$87</f>
            </numRef>
          </cat>
          <val>
            <numRef>
              <f>'JP'!$E$36:$E$87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'MX'!C35</f>
            </strRef>
          </tx>
          <spPr>
            <a:ln xmlns:a="http://schemas.openxmlformats.org/drawingml/2006/main" w="28000">
              <a:solidFill>
                <a:srgbClr val="D35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'MX'!$B$36:$B$87</f>
            </numRef>
          </cat>
          <val>
            <numRef>
              <f>'MX'!$C$36:$C$87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'MX'!F35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'MX'!$B$36:$B$87</f>
            </numRef>
          </cat>
          <val>
            <numRef>
              <f>'MX'!$F$36:$F$87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'MX'!E35</f>
            </strRef>
          </tx>
          <spPr>
            <a:ln xmlns:a="http://schemas.openxmlformats.org/drawingml/2006/main" w="25000">
              <a:solidFill>
                <a:srgbClr val="D35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'MX'!$B$36:$B$87</f>
            </numRef>
          </cat>
          <val>
            <numRef>
              <f>'MX'!$E$36:$E$87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 — Actual vs Predicted Registrations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'AU'!C35</f>
            </strRef>
          </tx>
          <spPr>
            <a:ln xmlns:a="http://schemas.openxmlformats.org/drawingml/2006/main" w="28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'AU'!$B$36:$B$87</f>
            </numRef>
          </cat>
          <val>
            <numRef>
              <f>'AU'!$C$36:$C$87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'AU'!F35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'AU'!$B$36:$B$87</f>
            </numRef>
          </cat>
          <val>
            <numRef>
              <f>'AU'!$F$36:$F$87</f>
            </numRef>
          </val>
          <smooth val="0"/>
        </ser>
        <axId val="10"/>
        <axId val="2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Regs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 — Actual vs Predicted CPA (W1–W52)</a:t>
            </a:r>
          </a:p>
        </rich>
      </tx>
    </title>
    <plotArea>
      <lineChart>
        <grouping val="standard"/>
        <ser>
          <idx val="0"/>
          <order val="0"/>
          <tx>
            <strRef>
              <f>'AU'!E35</f>
            </strRef>
          </tx>
          <spPr>
            <a:ln xmlns:a="http://schemas.openxmlformats.org/drawingml/2006/main" w="25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'AU'!$B$36:$B$87</f>
            </numRef>
          </cat>
          <val>
            <numRef>
              <f>'AU'!$E$36:$E$87</f>
            </numRef>
          </val>
          <smooth val="0"/>
        </ser>
        <axId val="10"/>
        <axId val="100"/>
      </lineChart>
      <catAx>
        <axId val="10"/>
        <scaling>
          <orientation val="minMax"/>
          <max val="52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Number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CPA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6" customWidth="1" min="8" max="8"/>
    <col width="12" customWidth="1" min="9" max="9"/>
    <col width="14" customWidth="1" min="10" max="10"/>
  </cols>
  <sheetData>
    <row r="1" ht="36" customHeight="1">
      <c r="A1" s="1" t="inlineStr">
        <is>
          <t>📊 PS Forecast Tracker — 2026</t>
        </is>
      </c>
    </row>
    <row r="2">
      <c r="A2" s="2" t="inlineStr">
        <is>
          <t>Year-End → Quarterly → Monthly → Weekly • Predictions + Actuals + Error Tracking</t>
        </is>
      </c>
    </row>
    <row r="4">
      <c r="A4" s="3" t="inlineStr">
        <is>
          <t>WW YTD REGS</t>
        </is>
      </c>
      <c r="B4" s="4" t="n"/>
      <c r="C4" s="5" t="n"/>
      <c r="D4" s="3" t="inlineStr">
        <is>
          <t>WW YTD SPEND</t>
        </is>
      </c>
      <c r="E4" s="4" t="n"/>
      <c r="F4" s="5" t="n"/>
      <c r="G4" s="3" t="inlineStr">
        <is>
          <t>WW AVG CPA</t>
        </is>
      </c>
      <c r="H4" s="5" t="n"/>
      <c r="I4" s="3" t="inlineStr">
        <is>
          <t>MARKETS</t>
        </is>
      </c>
      <c r="J4" s="5" t="n"/>
    </row>
    <row r="5">
      <c r="A5" s="6" t="inlineStr">
        <is>
          <t>238,962</t>
        </is>
      </c>
      <c r="B5" s="4" t="n"/>
      <c r="C5" s="5" t="n"/>
      <c r="D5" s="6" t="inlineStr">
        <is>
          <t>$18,263,775</t>
        </is>
      </c>
      <c r="E5" s="4" t="n"/>
      <c r="F5" s="5" t="n"/>
      <c r="G5" s="6" t="inlineStr">
        <is>
          <t>$76.43</t>
        </is>
      </c>
      <c r="H5" s="5" t="n"/>
      <c r="I5" s="6" t="inlineStr">
        <is>
          <t>10</t>
        </is>
      </c>
      <c r="J5" s="5" t="n"/>
    </row>
    <row r="6">
      <c r="A6" s="3" t="inlineStr">
        <is>
          <t>W1–W15</t>
        </is>
      </c>
      <c r="B6" s="4" t="n"/>
      <c r="C6" s="5" t="n"/>
      <c r="D6" s="7" t="n"/>
      <c r="E6" s="7" t="n"/>
      <c r="F6" s="7" t="n"/>
      <c r="G6" s="7" t="n"/>
      <c r="H6" s="7" t="n"/>
      <c r="I6" s="3" t="inlineStr">
        <is>
          <t>150 data points</t>
        </is>
      </c>
      <c r="J6" s="5" t="n"/>
    </row>
    <row r="9">
      <c r="A9" s="8" t="inlineStr">
        <is>
          <t>Market</t>
        </is>
      </c>
      <c r="B9" s="8" t="inlineStr">
        <is>
          <t>YTD Regs</t>
        </is>
      </c>
      <c r="C9" s="8" t="inlineStr">
        <is>
          <t>YTD Spend</t>
        </is>
      </c>
      <c r="D9" s="8" t="inlineStr">
        <is>
          <t>Avg CPA</t>
        </is>
      </c>
      <c r="E9" s="8" t="inlineStr">
        <is>
          <t>Avg Wk Regs</t>
        </is>
      </c>
      <c r="F9" s="8" t="inlineStr">
        <is>
          <t>Latest Wk</t>
        </is>
      </c>
      <c r="G9" s="8" t="inlineStr">
        <is>
          <t>WoW Δ%</t>
        </is>
      </c>
      <c r="H9" s="8" t="inlineStr">
        <is>
          <t>Proj Mo Regs</t>
        </is>
      </c>
      <c r="I9" s="8" t="inlineStr">
        <is>
          <t>vs OP2 %</t>
        </is>
      </c>
      <c r="J9" s="8" t="inlineStr">
        <is>
          <t>Source</t>
        </is>
      </c>
    </row>
    <row r="10">
      <c r="A10" s="9" t="inlineStr">
        <is>
          <t>US</t>
        </is>
      </c>
      <c r="B10" s="10" t="n">
        <v>125537</v>
      </c>
      <c r="C10" s="11" t="n">
        <v>9534695</v>
      </c>
      <c r="D10" s="12" t="n">
        <v>75.95</v>
      </c>
      <c r="E10" s="10" t="n">
        <v>8369</v>
      </c>
      <c r="F10" s="10" t="n">
        <v>9236</v>
      </c>
      <c r="G10" s="13" t="n">
        <v>22.2</v>
      </c>
      <c r="H10" s="10" t="n">
        <v>384625</v>
      </c>
      <c r="I10" s="13" t="n">
        <v>-41.83661121844698</v>
      </c>
      <c r="J10" s="9" t="inlineStr">
        <is>
          <t>bayesian</t>
        </is>
      </c>
    </row>
    <row r="11">
      <c r="A11" s="14" t="inlineStr">
        <is>
          <t>UK</t>
        </is>
      </c>
      <c r="B11" s="15" t="n">
        <v>21270</v>
      </c>
      <c r="C11" s="16" t="n">
        <v>1442080</v>
      </c>
      <c r="D11" s="17" t="n">
        <v>67.8</v>
      </c>
      <c r="E11" s="15" t="n">
        <v>1418</v>
      </c>
      <c r="F11" s="15" t="n">
        <v>1453</v>
      </c>
      <c r="G11" s="18" t="n">
        <v>-0.3</v>
      </c>
      <c r="H11" s="15" t="n">
        <v>64618</v>
      </c>
      <c r="I11" s="18" t="n">
        <v>-38.45456331271765</v>
      </c>
      <c r="J11" s="14" t="inlineStr">
        <is>
          <t>bayesian</t>
        </is>
      </c>
    </row>
    <row r="12">
      <c r="A12" s="9" t="inlineStr">
        <is>
          <t>DE</t>
        </is>
      </c>
      <c r="B12" s="10" t="n">
        <v>20651</v>
      </c>
      <c r="C12" s="11" t="n">
        <v>2375324</v>
      </c>
      <c r="D12" s="12" t="n">
        <v>115.02</v>
      </c>
      <c r="E12" s="10" t="n">
        <v>1377</v>
      </c>
      <c r="F12" s="10" t="n">
        <v>1210</v>
      </c>
      <c r="G12" s="13" t="n">
        <v>-8</v>
      </c>
      <c r="H12" s="10" t="n">
        <v>65529</v>
      </c>
      <c r="I12" s="13" t="n">
        <v>-51.15042759496534</v>
      </c>
      <c r="J12" s="9" t="inlineStr">
        <is>
          <t>bayesian</t>
        </is>
      </c>
    </row>
    <row r="13">
      <c r="A13" s="14" t="inlineStr">
        <is>
          <t>FR</t>
        </is>
      </c>
      <c r="B13" s="15" t="n">
        <v>15876</v>
      </c>
      <c r="C13" s="16" t="n">
        <v>957874</v>
      </c>
      <c r="D13" s="17" t="n">
        <v>60.33</v>
      </c>
      <c r="E13" s="15" t="n">
        <v>1058</v>
      </c>
      <c r="F13" s="15" t="n">
        <v>886</v>
      </c>
      <c r="G13" s="18" t="n">
        <v>-22.8</v>
      </c>
      <c r="H13" s="15" t="n">
        <v>59348</v>
      </c>
      <c r="I13" s="18" t="n">
        <v>-44.1340838462738</v>
      </c>
      <c r="J13" s="14" t="inlineStr">
        <is>
          <t>bayesian</t>
        </is>
      </c>
    </row>
    <row r="14">
      <c r="A14" s="9" t="inlineStr">
        <is>
          <t>IT</t>
        </is>
      </c>
      <c r="B14" s="10" t="n">
        <v>18802</v>
      </c>
      <c r="C14" s="11" t="n">
        <v>1372130</v>
      </c>
      <c r="D14" s="12" t="n">
        <v>72.98</v>
      </c>
      <c r="E14" s="10" t="n">
        <v>1253</v>
      </c>
      <c r="F14" s="10" t="n">
        <v>990</v>
      </c>
      <c r="G14" s="13" t="n">
        <v>-25</v>
      </c>
      <c r="H14" s="10" t="n">
        <v>68957</v>
      </c>
      <c r="I14" s="13" t="n">
        <v>-50.369079839067</v>
      </c>
      <c r="J14" s="9" t="inlineStr">
        <is>
          <t>bayesian</t>
        </is>
      </c>
    </row>
    <row r="15">
      <c r="A15" s="14" t="inlineStr">
        <is>
          <t>ES</t>
        </is>
      </c>
      <c r="B15" s="15" t="n">
        <v>9148</v>
      </c>
      <c r="C15" s="16" t="n">
        <v>537379</v>
      </c>
      <c r="D15" s="17" t="n">
        <v>58.74</v>
      </c>
      <c r="E15" s="15" t="n">
        <v>610</v>
      </c>
      <c r="F15" s="15" t="n">
        <v>599</v>
      </c>
      <c r="G15" s="18" t="n">
        <v>26.4</v>
      </c>
      <c r="H15" s="15" t="n">
        <v>35234</v>
      </c>
      <c r="I15" s="18" t="n">
        <v>-41.98077924858</v>
      </c>
      <c r="J15" s="14" t="inlineStr">
        <is>
          <t>bayesian</t>
        </is>
      </c>
    </row>
    <row r="16">
      <c r="A16" s="9" t="inlineStr">
        <is>
          <t>CA</t>
        </is>
      </c>
      <c r="B16" s="10" t="n">
        <v>10416</v>
      </c>
      <c r="C16" s="11" t="n">
        <v>788081</v>
      </c>
      <c r="D16" s="12" t="n">
        <v>75.66</v>
      </c>
      <c r="E16" s="10" t="n">
        <v>694</v>
      </c>
      <c r="F16" s="10" t="n">
        <v>680</v>
      </c>
      <c r="G16" s="13" t="n">
        <v>7.3</v>
      </c>
      <c r="H16" s="10" t="n">
        <v>37695</v>
      </c>
      <c r="I16" s="13" t="n">
        <v>-50.37787374182015</v>
      </c>
      <c r="J16" s="9" t="inlineStr">
        <is>
          <t>bayesian</t>
        </is>
      </c>
    </row>
    <row r="17">
      <c r="A17" s="14" t="inlineStr">
        <is>
          <t>JP</t>
        </is>
      </c>
      <c r="B17" s="15" t="n">
        <v>9293</v>
      </c>
      <c r="C17" s="16" t="n">
        <v>524734</v>
      </c>
      <c r="D17" s="17" t="n">
        <v>56.47</v>
      </c>
      <c r="E17" s="15" t="n">
        <v>620</v>
      </c>
      <c r="F17" s="15" t="n">
        <v>595</v>
      </c>
      <c r="G17" s="18" t="n">
        <v>-1.8</v>
      </c>
      <c r="H17" s="15" t="n">
        <v>27292</v>
      </c>
      <c r="I17" s="18" t="n">
        <v>-48.7172400199448</v>
      </c>
      <c r="J17" s="14" t="inlineStr">
        <is>
          <t>bayesian</t>
        </is>
      </c>
    </row>
    <row r="18">
      <c r="A18" s="9" t="inlineStr">
        <is>
          <t>MX</t>
        </is>
      </c>
      <c r="B18" s="10" t="n">
        <v>4379</v>
      </c>
      <c r="C18" s="11" t="n">
        <v>259451</v>
      </c>
      <c r="D18" s="12" t="n">
        <v>59.25</v>
      </c>
      <c r="E18" s="10" t="n">
        <v>292</v>
      </c>
      <c r="F18" s="10" t="n">
        <v>504</v>
      </c>
      <c r="G18" s="13" t="n">
        <v>111.8</v>
      </c>
      <c r="H18" s="10" t="n">
        <v>13089</v>
      </c>
      <c r="I18" s="13" t="n">
        <v>-42.9235664144033</v>
      </c>
      <c r="J18" s="9" t="inlineStr">
        <is>
          <t>bayesian</t>
        </is>
      </c>
    </row>
    <row r="19">
      <c r="A19" s="14" t="inlineStr">
        <is>
          <t>AU</t>
        </is>
      </c>
      <c r="B19" s="15" t="n">
        <v>3590</v>
      </c>
      <c r="C19" s="16" t="n">
        <v>472027</v>
      </c>
      <c r="D19" s="17" t="n">
        <v>131.48</v>
      </c>
      <c r="E19" s="15" t="n">
        <v>239</v>
      </c>
      <c r="F19" s="15" t="n">
        <v>166</v>
      </c>
      <c r="G19" s="18" t="n">
        <v>-2.4</v>
      </c>
      <c r="H19" s="15" t="n">
        <v>14247</v>
      </c>
      <c r="I19" s="18" t="n">
        <v>-17.38729111713061</v>
      </c>
      <c r="J19" s="14" t="inlineStr">
        <is>
          <t>bayesian</t>
        </is>
      </c>
    </row>
  </sheetData>
  <mergeCells count="12">
    <mergeCell ref="G4:H4"/>
    <mergeCell ref="A2:L2"/>
    <mergeCell ref="I4:J4"/>
    <mergeCell ref="I6:J6"/>
    <mergeCell ref="D5:F5"/>
    <mergeCell ref="A5:C5"/>
    <mergeCell ref="A1:L1"/>
    <mergeCell ref="A6:C6"/>
    <mergeCell ref="D4:F4"/>
    <mergeCell ref="G5:H5"/>
    <mergeCell ref="I5:J5"/>
    <mergeCell ref="A4:C4"/>
  </mergeCells>
  <conditionalFormatting sqref="B10:B19">
    <cfRule type="dataBar" priority="1">
      <dataBar showValue="1">
        <cfvo type="min"/>
        <cfvo type="max"/>
        <color rgb="004A9EFF"/>
      </dataBar>
    </cfRule>
  </conditionalFormatting>
  <conditionalFormatting sqref="D10:D19">
    <cfRule type="colorScale" priority="2">
      <colorScale>
        <cfvo type="min"/>
        <cfvo type="percentile" val="50"/>
        <cfvo type="max"/>
        <color rgb="0027AE60"/>
        <color rgb="00FFFFFF"/>
        <color rgb="00E74C3C"/>
      </colorScale>
    </cfRule>
  </conditionalFormatting>
  <conditionalFormatting sqref="G10:G19">
    <cfRule type="iconSet" priority="3">
      <iconSet iconSet="3Arrows" showValue="1">
        <cfvo type="num" val="-5"/>
        <cfvo type="num" val="0"/>
        <cfvo type="num" val="5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9" t="inlineStr">
        <is>
          <t>US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125,537</t>
        </is>
      </c>
      <c r="B4" s="5" t="n"/>
      <c r="C4" s="6" t="inlineStr">
        <is>
          <t>$9,534,695</t>
        </is>
      </c>
      <c r="D4" s="5" t="n"/>
      <c r="E4" s="6" t="inlineStr">
        <is>
          <t>$75.95</t>
        </is>
      </c>
      <c r="F4" s="5" t="n"/>
      <c r="G4" s="6" t="inlineStr">
        <is>
          <t>-41.8%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21" t="inlineStr">
        <is>
          <t>Period</t>
        </is>
      </c>
      <c r="B9" s="21" t="inlineStr">
        <is>
          <t>Actual Regs</t>
        </is>
      </c>
      <c r="C9" s="21" t="inlineStr">
        <is>
          <t>Pred Regs</t>
        </is>
      </c>
      <c r="D9" s="21" t="inlineStr">
        <is>
          <t>CI Low</t>
        </is>
      </c>
      <c r="E9" s="21" t="inlineStr">
        <is>
          <t>CI High</t>
        </is>
      </c>
      <c r="F9" s="21" t="inlineStr">
        <is>
          <t>OP2 Target</t>
        </is>
      </c>
      <c r="G9" s="21" t="inlineStr">
        <is>
          <t>vs OP2 %</t>
        </is>
      </c>
      <c r="H9" s="21" t="inlineStr">
        <is>
          <t>Error %</t>
        </is>
      </c>
      <c r="I9" s="21" t="inlineStr">
        <is>
          <t>Confidence</t>
        </is>
      </c>
      <c r="J9" s="21" t="inlineStr">
        <is>
          <t>Score</t>
        </is>
      </c>
      <c r="K9" s="21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360832.76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21" t="inlineStr">
        <is>
          <t>Period</t>
        </is>
      </c>
      <c r="B13" s="21" t="inlineStr">
        <is>
          <t>Actual Regs</t>
        </is>
      </c>
      <c r="C13" s="21" t="inlineStr">
        <is>
          <t>Pred Regs</t>
        </is>
      </c>
      <c r="D13" s="21" t="inlineStr">
        <is>
          <t>CI Low</t>
        </is>
      </c>
      <c r="E13" s="21" t="inlineStr">
        <is>
          <t>CI High</t>
        </is>
      </c>
      <c r="F13" s="21" t="inlineStr">
        <is>
          <t>OP2 Target</t>
        </is>
      </c>
      <c r="G13" s="21" t="inlineStr">
        <is>
          <t>vs OP2 %</t>
        </is>
      </c>
      <c r="H13" s="21" t="inlineStr">
        <is>
          <t>Error %</t>
        </is>
      </c>
      <c r="I13" s="21" t="inlineStr">
        <is>
          <t>Confidence</t>
        </is>
      </c>
      <c r="J13" s="21" t="inlineStr">
        <is>
          <t>Score</t>
        </is>
      </c>
      <c r="K13" s="21" t="inlineStr">
        <is>
          <t>Notes</t>
        </is>
      </c>
    </row>
    <row r="14">
      <c r="A14" s="9" t="inlineStr">
        <is>
          <t>Q1</t>
        </is>
      </c>
      <c r="B14" s="10" t="n">
        <v>108742</v>
      </c>
      <c r="C14" s="10" t="n"/>
      <c r="D14" s="10" t="n"/>
      <c r="E14" s="10" t="n"/>
      <c r="F14" s="10" t="n">
        <v>89274.52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92003.05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93453.91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86101.28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21" t="inlineStr">
        <is>
          <t>Period</t>
        </is>
      </c>
      <c r="B20" s="21" t="inlineStr">
        <is>
          <t>Actual Regs</t>
        </is>
      </c>
      <c r="C20" s="21" t="inlineStr">
        <is>
          <t>Pred Regs</t>
        </is>
      </c>
      <c r="D20" s="21" t="inlineStr">
        <is>
          <t>CI Low</t>
        </is>
      </c>
      <c r="E20" s="21" t="inlineStr">
        <is>
          <t>CI High</t>
        </is>
      </c>
      <c r="F20" s="21" t="inlineStr">
        <is>
          <t>OP2 Target</t>
        </is>
      </c>
      <c r="G20" s="21" t="inlineStr">
        <is>
          <t>vs OP2 %</t>
        </is>
      </c>
      <c r="H20" s="21" t="inlineStr">
        <is>
          <t>Error %</t>
        </is>
      </c>
      <c r="I20" s="21" t="inlineStr">
        <is>
          <t>Confidence</t>
        </is>
      </c>
      <c r="J20" s="21" t="inlineStr">
        <is>
          <t>Score</t>
        </is>
      </c>
      <c r="K20" s="21" t="inlineStr">
        <is>
          <t>Notes</t>
        </is>
      </c>
    </row>
    <row r="21">
      <c r="A21" s="9" t="inlineStr">
        <is>
          <t>Jan</t>
        </is>
      </c>
      <c r="B21" s="10" t="n">
        <v>34817</v>
      </c>
      <c r="C21" s="10" t="n"/>
      <c r="D21" s="10" t="n"/>
      <c r="E21" s="10" t="n"/>
      <c r="F21" s="10" t="n">
        <v>30434.87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33354</v>
      </c>
      <c r="C22" s="15" t="n"/>
      <c r="D22" s="15" t="n"/>
      <c r="E22" s="15" t="n"/>
      <c r="F22" s="15" t="n">
        <v>28322.84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40571</v>
      </c>
      <c r="C23" s="10" t="n"/>
      <c r="D23" s="10" t="n"/>
      <c r="E23" s="10" t="n"/>
      <c r="F23" s="10" t="n">
        <v>30516.81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31075.56</v>
      </c>
      <c r="D24" s="23" t="n">
        <v>26414</v>
      </c>
      <c r="E24" s="23" t="n">
        <v>35737</v>
      </c>
      <c r="F24" s="23" t="n">
        <v>31075.56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31036.21</v>
      </c>
      <c r="D25" s="23" t="n">
        <v>26381</v>
      </c>
      <c r="E25" s="23" t="n">
        <v>35692</v>
      </c>
      <c r="F25" s="23" t="n">
        <v>31036.21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29891.28</v>
      </c>
      <c r="D26" s="23" t="n">
        <v>25408</v>
      </c>
      <c r="E26" s="23" t="n">
        <v>34375</v>
      </c>
      <c r="F26" s="23" t="n">
        <v>29891.28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32161.67</v>
      </c>
      <c r="D27" s="23" t="n">
        <v>27337</v>
      </c>
      <c r="E27" s="23" t="n">
        <v>36986</v>
      </c>
      <c r="F27" s="23" t="n">
        <v>32161.67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30832.28</v>
      </c>
      <c r="D28" s="23" t="n">
        <v>26207</v>
      </c>
      <c r="E28" s="23" t="n">
        <v>35457</v>
      </c>
      <c r="F28" s="23" t="n">
        <v>30832.28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30459.96</v>
      </c>
      <c r="D29" s="23" t="n">
        <v>25891</v>
      </c>
      <c r="E29" s="23" t="n">
        <v>35029</v>
      </c>
      <c r="F29" s="23" t="n">
        <v>30459.96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32616.84</v>
      </c>
      <c r="D30" s="23" t="n">
        <v>27724</v>
      </c>
      <c r="E30" s="23" t="n">
        <v>37509</v>
      </c>
      <c r="F30" s="23" t="n">
        <v>32616.84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26780.15</v>
      </c>
      <c r="D31" s="23" t="n">
        <v>22763</v>
      </c>
      <c r="E31" s="23" t="n">
        <v>30797</v>
      </c>
      <c r="F31" s="23" t="n">
        <v>26780.15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26704.29</v>
      </c>
      <c r="D32" s="23" t="n">
        <v>22699</v>
      </c>
      <c r="E32" s="23" t="n">
        <v>30710</v>
      </c>
      <c r="F32" s="23" t="n">
        <v>26704.29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21" t="inlineStr">
        <is>
          <t>Week</t>
        </is>
      </c>
      <c r="B35" s="21" t="inlineStr">
        <is>
          <t>Wk#</t>
        </is>
      </c>
      <c r="C35" s="21" t="inlineStr">
        <is>
          <t>Actual Regs</t>
        </is>
      </c>
      <c r="D35" s="21" t="inlineStr">
        <is>
          <t>Actual Cost</t>
        </is>
      </c>
      <c r="E35" s="21" t="inlineStr">
        <is>
          <t>Actual CPA</t>
        </is>
      </c>
      <c r="F35" s="21" t="inlineStr">
        <is>
          <t>Pred Regs</t>
        </is>
      </c>
      <c r="G35" s="21" t="inlineStr">
        <is>
          <t>CI Low</t>
        </is>
      </c>
      <c r="H35" s="21" t="inlineStr">
        <is>
          <t>CI High</t>
        </is>
      </c>
      <c r="I35" s="21" t="inlineStr">
        <is>
          <t>Confidence</t>
        </is>
      </c>
      <c r="J35" s="21" t="inlineStr">
        <is>
          <t>Error %</t>
        </is>
      </c>
      <c r="K35" s="21" t="inlineStr">
        <is>
          <t>Within CI</t>
        </is>
      </c>
      <c r="L35" s="21" t="inlineStr">
        <is>
          <t>WoW Δ%</t>
        </is>
      </c>
      <c r="M35" s="21" t="inlineStr">
        <is>
          <t>Brand Regs</t>
        </is>
      </c>
      <c r="N35" s="21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8107</v>
      </c>
      <c r="D36" s="11" t="n">
        <v>559432</v>
      </c>
      <c r="E36" s="12" t="n">
        <v>69.01000000000001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2373</v>
      </c>
      <c r="N36" s="10" t="n">
        <v>5734</v>
      </c>
    </row>
    <row r="37">
      <c r="A37" s="14" t="inlineStr">
        <is>
          <t>2026 W2</t>
        </is>
      </c>
      <c r="B37" s="14" t="n">
        <v>2</v>
      </c>
      <c r="C37" s="15" t="n">
        <v>9060</v>
      </c>
      <c r="D37" s="16" t="n">
        <v>639407</v>
      </c>
      <c r="E37" s="17" t="n">
        <v>70.56999999999999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2957</v>
      </c>
      <c r="N37" s="15" t="n">
        <v>6103</v>
      </c>
    </row>
    <row r="38">
      <c r="A38" s="9" t="inlineStr">
        <is>
          <t>2026 W3</t>
        </is>
      </c>
      <c r="B38" s="9" t="n">
        <v>3</v>
      </c>
      <c r="C38" s="10" t="n">
        <v>9133</v>
      </c>
      <c r="D38" s="11" t="n">
        <v>615693</v>
      </c>
      <c r="E38" s="12" t="n">
        <v>67.41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2995</v>
      </c>
      <c r="N38" s="10" t="n">
        <v>6138</v>
      </c>
    </row>
    <row r="39">
      <c r="A39" s="14" t="inlineStr">
        <is>
          <t>2026 W4</t>
        </is>
      </c>
      <c r="B39" s="14" t="n">
        <v>4</v>
      </c>
      <c r="C39" s="15" t="n">
        <v>8517</v>
      </c>
      <c r="D39" s="16" t="n">
        <v>598992</v>
      </c>
      <c r="E39" s="17" t="n">
        <v>70.33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2734</v>
      </c>
      <c r="N39" s="15" t="n">
        <v>5783</v>
      </c>
    </row>
    <row r="40">
      <c r="A40" s="9" t="inlineStr">
        <is>
          <t>2026 W5</t>
        </is>
      </c>
      <c r="B40" s="9" t="n">
        <v>5</v>
      </c>
      <c r="C40" s="10" t="n">
        <v>8827</v>
      </c>
      <c r="D40" s="11" t="n">
        <v>606584</v>
      </c>
      <c r="E40" s="12" t="n">
        <v>68.72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2895</v>
      </c>
      <c r="N40" s="10" t="n">
        <v>5932</v>
      </c>
    </row>
    <row r="41">
      <c r="A41" s="14" t="inlineStr">
        <is>
          <t>2026 W6</t>
        </is>
      </c>
      <c r="B41" s="14" t="n">
        <v>6</v>
      </c>
      <c r="C41" s="15" t="n">
        <v>8852</v>
      </c>
      <c r="D41" s="16" t="n">
        <v>701435</v>
      </c>
      <c r="E41" s="17" t="n">
        <v>79.23999999999999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2867</v>
      </c>
      <c r="N41" s="15" t="n">
        <v>5985</v>
      </c>
    </row>
    <row r="42">
      <c r="A42" s="9" t="inlineStr">
        <is>
          <t>2026 W7</t>
        </is>
      </c>
      <c r="B42" s="9" t="n">
        <v>7</v>
      </c>
      <c r="C42" s="10" t="n">
        <v>7727</v>
      </c>
      <c r="D42" s="11" t="n">
        <v>718117</v>
      </c>
      <c r="E42" s="12" t="n">
        <v>92.94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2490</v>
      </c>
      <c r="N42" s="10" t="n">
        <v>5237</v>
      </c>
    </row>
    <row r="43">
      <c r="A43" s="14" t="inlineStr">
        <is>
          <t>2026 W8</t>
        </is>
      </c>
      <c r="B43" s="14" t="n">
        <v>8</v>
      </c>
      <c r="C43" s="15" t="n">
        <v>7948</v>
      </c>
      <c r="D43" s="16" t="n">
        <v>666881</v>
      </c>
      <c r="E43" s="17" t="n">
        <v>83.91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2582</v>
      </c>
      <c r="N43" s="15" t="n">
        <v>5366</v>
      </c>
    </row>
    <row r="44">
      <c r="A44" s="9" t="inlineStr">
        <is>
          <t>2026 W9</t>
        </is>
      </c>
      <c r="B44" s="9" t="n">
        <v>9</v>
      </c>
      <c r="C44" s="10" t="n">
        <v>8007</v>
      </c>
      <c r="D44" s="11" t="n">
        <v>655795</v>
      </c>
      <c r="E44" s="12" t="n">
        <v>81.90000000000001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2476</v>
      </c>
      <c r="N44" s="10" t="n">
        <v>5531</v>
      </c>
    </row>
    <row r="45">
      <c r="A45" s="14" t="inlineStr">
        <is>
          <t>2026 W10</t>
        </is>
      </c>
      <c r="B45" s="14" t="n">
        <v>10</v>
      </c>
      <c r="C45" s="15" t="n">
        <v>7535</v>
      </c>
      <c r="D45" s="16" t="n">
        <v>599583</v>
      </c>
      <c r="E45" s="17" t="n">
        <v>79.56999999999999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2420</v>
      </c>
      <c r="N45" s="15" t="n">
        <v>5115</v>
      </c>
    </row>
    <row r="46">
      <c r="A46" s="9" t="inlineStr">
        <is>
          <t>2026 W11</t>
        </is>
      </c>
      <c r="B46" s="9" t="n">
        <v>11</v>
      </c>
      <c r="C46" s="10" t="n">
        <v>8281</v>
      </c>
      <c r="D46" s="11" t="n">
        <v>645300</v>
      </c>
      <c r="E46" s="12" t="n">
        <v>77.93000000000001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2497</v>
      </c>
      <c r="N46" s="10" t="n">
        <v>5784</v>
      </c>
    </row>
    <row r="47">
      <c r="A47" s="14" t="inlineStr">
        <is>
          <t>2026 W12</t>
        </is>
      </c>
      <c r="B47" s="14" t="n">
        <v>12</v>
      </c>
      <c r="C47" s="15" t="n">
        <v>8129</v>
      </c>
      <c r="D47" s="16" t="n">
        <v>598574</v>
      </c>
      <c r="E47" s="17" t="n">
        <v>73.63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2504</v>
      </c>
      <c r="N47" s="15" t="n">
        <v>5625</v>
      </c>
    </row>
    <row r="48">
      <c r="A48" s="9" t="inlineStr">
        <is>
          <t>2026 W13</t>
        </is>
      </c>
      <c r="B48" s="9" t="n">
        <v>13</v>
      </c>
      <c r="C48" s="10" t="n">
        <v>8619</v>
      </c>
      <c r="D48" s="11" t="n">
        <v>582890</v>
      </c>
      <c r="E48" s="12" t="n">
        <v>67.63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2639</v>
      </c>
      <c r="N48" s="10" t="n">
        <v>5980</v>
      </c>
    </row>
    <row r="49">
      <c r="A49" s="14" t="inlineStr">
        <is>
          <t>2026 W14</t>
        </is>
      </c>
      <c r="B49" s="14" t="n">
        <v>14</v>
      </c>
      <c r="C49" s="15" t="n">
        <v>7559</v>
      </c>
      <c r="D49" s="16" t="n">
        <v>667731</v>
      </c>
      <c r="E49" s="17" t="n">
        <v>88.34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2091</v>
      </c>
      <c r="N49" s="15" t="n">
        <v>5468</v>
      </c>
    </row>
    <row r="50">
      <c r="A50" s="9" t="inlineStr">
        <is>
          <t>2026 W15</t>
        </is>
      </c>
      <c r="B50" s="9" t="n">
        <v>15</v>
      </c>
      <c r="C50" s="10" t="n">
        <v>9236</v>
      </c>
      <c r="D50" s="11" t="n">
        <v>678282</v>
      </c>
      <c r="E50" s="12" t="n">
        <v>73.44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2696</v>
      </c>
      <c r="N50" s="10" t="n">
        <v>6540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7769</v>
      </c>
      <c r="G51" s="23" t="n">
        <v>6215</v>
      </c>
      <c r="H51" s="23" t="n">
        <v>9323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7769</v>
      </c>
      <c r="G52" s="23" t="n">
        <v>6215</v>
      </c>
      <c r="H52" s="23" t="n">
        <v>9323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6207</v>
      </c>
      <c r="G53" s="23" t="n">
        <v>4966</v>
      </c>
      <c r="H53" s="23" t="n">
        <v>7448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6207</v>
      </c>
      <c r="G54" s="23" t="n">
        <v>4966</v>
      </c>
      <c r="H54" s="23" t="n">
        <v>7448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6207</v>
      </c>
      <c r="G55" s="23" t="n">
        <v>4966</v>
      </c>
      <c r="H55" s="23" t="n">
        <v>7448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6207</v>
      </c>
      <c r="G56" s="23" t="n">
        <v>4966</v>
      </c>
      <c r="H56" s="23" t="n">
        <v>7448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6207</v>
      </c>
      <c r="G57" s="23" t="n">
        <v>4966</v>
      </c>
      <c r="H57" s="23" t="n">
        <v>7448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7473</v>
      </c>
      <c r="G58" s="23" t="n">
        <v>5978</v>
      </c>
      <c r="H58" s="23" t="n">
        <v>8968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7473</v>
      </c>
      <c r="G59" s="23" t="n">
        <v>5978</v>
      </c>
      <c r="H59" s="23" t="n">
        <v>8968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7473</v>
      </c>
      <c r="G60" s="23" t="n">
        <v>5978</v>
      </c>
      <c r="H60" s="23" t="n">
        <v>8968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7473</v>
      </c>
      <c r="G61" s="23" t="n">
        <v>5978</v>
      </c>
      <c r="H61" s="23" t="n">
        <v>8968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6432</v>
      </c>
      <c r="G62" s="23" t="n">
        <v>5146</v>
      </c>
      <c r="H62" s="23" t="n">
        <v>7718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6432</v>
      </c>
      <c r="G63" s="23" t="n">
        <v>5146</v>
      </c>
      <c r="H63" s="23" t="n">
        <v>7718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6432</v>
      </c>
      <c r="G64" s="23" t="n">
        <v>5146</v>
      </c>
      <c r="H64" s="23" t="n">
        <v>7718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6432</v>
      </c>
      <c r="G65" s="23" t="n">
        <v>5146</v>
      </c>
      <c r="H65" s="23" t="n">
        <v>7718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6432</v>
      </c>
      <c r="G66" s="23" t="n">
        <v>5146</v>
      </c>
      <c r="H66" s="23" t="n">
        <v>7718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7708</v>
      </c>
      <c r="G67" s="23" t="n">
        <v>6166</v>
      </c>
      <c r="H67" s="23" t="n">
        <v>9250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7708</v>
      </c>
      <c r="G68" s="23" t="n">
        <v>6166</v>
      </c>
      <c r="H68" s="23" t="n">
        <v>9250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7708</v>
      </c>
      <c r="G69" s="23" t="n">
        <v>6166</v>
      </c>
      <c r="H69" s="23" t="n">
        <v>9250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7708</v>
      </c>
      <c r="G70" s="23" t="n">
        <v>6166</v>
      </c>
      <c r="H70" s="23" t="n">
        <v>9250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7615</v>
      </c>
      <c r="G71" s="23" t="n">
        <v>6092</v>
      </c>
      <c r="H71" s="23" t="n">
        <v>9138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7615</v>
      </c>
      <c r="G72" s="23" t="n">
        <v>6092</v>
      </c>
      <c r="H72" s="23" t="n">
        <v>9138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7615</v>
      </c>
      <c r="G73" s="23" t="n">
        <v>6092</v>
      </c>
      <c r="H73" s="23" t="n">
        <v>9138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7615</v>
      </c>
      <c r="G74" s="23" t="n">
        <v>6092</v>
      </c>
      <c r="H74" s="23" t="n">
        <v>9138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6523</v>
      </c>
      <c r="G75" s="23" t="n">
        <v>5218</v>
      </c>
      <c r="H75" s="23" t="n">
        <v>7828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6523</v>
      </c>
      <c r="G76" s="23" t="n">
        <v>5218</v>
      </c>
      <c r="H76" s="23" t="n">
        <v>7828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6523</v>
      </c>
      <c r="G77" s="23" t="n">
        <v>5218</v>
      </c>
      <c r="H77" s="23" t="n">
        <v>7828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6523</v>
      </c>
      <c r="G78" s="23" t="n">
        <v>5218</v>
      </c>
      <c r="H78" s="23" t="n">
        <v>7828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6523</v>
      </c>
      <c r="G79" s="23" t="n">
        <v>5218</v>
      </c>
      <c r="H79" s="23" t="n">
        <v>7828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6695</v>
      </c>
      <c r="G80" s="23" t="n">
        <v>5356</v>
      </c>
      <c r="H80" s="23" t="n">
        <v>8034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6695</v>
      </c>
      <c r="G81" s="23" t="n">
        <v>5356</v>
      </c>
      <c r="H81" s="23" t="n">
        <v>8034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6695</v>
      </c>
      <c r="G82" s="23" t="n">
        <v>5356</v>
      </c>
      <c r="H82" s="23" t="n">
        <v>8034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6695</v>
      </c>
      <c r="G83" s="23" t="n">
        <v>5356</v>
      </c>
      <c r="H83" s="23" t="n">
        <v>8034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6676</v>
      </c>
      <c r="G84" s="23" t="n">
        <v>5341</v>
      </c>
      <c r="H84" s="23" t="n">
        <v>8011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6676</v>
      </c>
      <c r="G85" s="23" t="n">
        <v>5341</v>
      </c>
      <c r="H85" s="23" t="n">
        <v>8011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6676</v>
      </c>
      <c r="G86" s="23" t="n">
        <v>5341</v>
      </c>
      <c r="H86" s="23" t="n">
        <v>8011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6676</v>
      </c>
      <c r="G87" s="23" t="n">
        <v>5341</v>
      </c>
      <c r="H87" s="23" t="n">
        <v>8011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3498DB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33" t="inlineStr">
        <is>
          <t>UK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21,270</t>
        </is>
      </c>
      <c r="B4" s="5" t="n"/>
      <c r="C4" s="6" t="inlineStr">
        <is>
          <t>$1,442,080</t>
        </is>
      </c>
      <c r="D4" s="5" t="n"/>
      <c r="E4" s="6" t="inlineStr">
        <is>
          <t>$67.80</t>
        </is>
      </c>
      <c r="F4" s="5" t="n"/>
      <c r="G4" s="6" t="inlineStr">
        <is>
          <t>-38.5%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34" t="inlineStr">
        <is>
          <t>Period</t>
        </is>
      </c>
      <c r="B9" s="34" t="inlineStr">
        <is>
          <t>Actual Regs</t>
        </is>
      </c>
      <c r="C9" s="34" t="inlineStr">
        <is>
          <t>Pred Regs</t>
        </is>
      </c>
      <c r="D9" s="34" t="inlineStr">
        <is>
          <t>CI Low</t>
        </is>
      </c>
      <c r="E9" s="34" t="inlineStr">
        <is>
          <t>CI High</t>
        </is>
      </c>
      <c r="F9" s="34" t="inlineStr">
        <is>
          <t>OP2 Target</t>
        </is>
      </c>
      <c r="G9" s="34" t="inlineStr">
        <is>
          <t>vs OP2 %</t>
        </is>
      </c>
      <c r="H9" s="34" t="inlineStr">
        <is>
          <t>Error %</t>
        </is>
      </c>
      <c r="I9" s="34" t="inlineStr">
        <is>
          <t>Confidence</t>
        </is>
      </c>
      <c r="J9" s="34" t="inlineStr">
        <is>
          <t>Score</t>
        </is>
      </c>
      <c r="K9" s="34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58687.67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34" t="inlineStr">
        <is>
          <t>Period</t>
        </is>
      </c>
      <c r="B13" s="34" t="inlineStr">
        <is>
          <t>Actual Regs</t>
        </is>
      </c>
      <c r="C13" s="34" t="inlineStr">
        <is>
          <t>Pred Regs</t>
        </is>
      </c>
      <c r="D13" s="34" t="inlineStr">
        <is>
          <t>CI Low</t>
        </is>
      </c>
      <c r="E13" s="34" t="inlineStr">
        <is>
          <t>CI High</t>
        </is>
      </c>
      <c r="F13" s="34" t="inlineStr">
        <is>
          <t>OP2 Target</t>
        </is>
      </c>
      <c r="G13" s="34" t="inlineStr">
        <is>
          <t>vs OP2 %</t>
        </is>
      </c>
      <c r="H13" s="34" t="inlineStr">
        <is>
          <t>Error %</t>
        </is>
      </c>
      <c r="I13" s="34" t="inlineStr">
        <is>
          <t>Confidence</t>
        </is>
      </c>
      <c r="J13" s="34" t="inlineStr">
        <is>
          <t>Score</t>
        </is>
      </c>
      <c r="K13" s="34" t="inlineStr">
        <is>
          <t>Notes</t>
        </is>
      </c>
    </row>
    <row r="14">
      <c r="A14" s="9" t="inlineStr">
        <is>
          <t>Q1</t>
        </is>
      </c>
      <c r="B14" s="10" t="n">
        <v>18359</v>
      </c>
      <c r="C14" s="10" t="n"/>
      <c r="D14" s="10" t="n"/>
      <c r="E14" s="10" t="n"/>
      <c r="F14" s="10" t="n">
        <v>14627.55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13077.41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14461.74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16520.97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34" t="inlineStr">
        <is>
          <t>Period</t>
        </is>
      </c>
      <c r="B20" s="34" t="inlineStr">
        <is>
          <t>Actual Regs</t>
        </is>
      </c>
      <c r="C20" s="34" t="inlineStr">
        <is>
          <t>Pred Regs</t>
        </is>
      </c>
      <c r="D20" s="34" t="inlineStr">
        <is>
          <t>CI Low</t>
        </is>
      </c>
      <c r="E20" s="34" t="inlineStr">
        <is>
          <t>CI High</t>
        </is>
      </c>
      <c r="F20" s="34" t="inlineStr">
        <is>
          <t>OP2 Target</t>
        </is>
      </c>
      <c r="G20" s="34" t="inlineStr">
        <is>
          <t>vs OP2 %</t>
        </is>
      </c>
      <c r="H20" s="34" t="inlineStr">
        <is>
          <t>Error %</t>
        </is>
      </c>
      <c r="I20" s="34" t="inlineStr">
        <is>
          <t>Confidence</t>
        </is>
      </c>
      <c r="J20" s="34" t="inlineStr">
        <is>
          <t>Score</t>
        </is>
      </c>
      <c r="K20" s="34" t="inlineStr">
        <is>
          <t>Notes</t>
        </is>
      </c>
    </row>
    <row r="21">
      <c r="A21" s="9" t="inlineStr">
        <is>
          <t>Jan</t>
        </is>
      </c>
      <c r="B21" s="10" t="n">
        <v>5912</v>
      </c>
      <c r="C21" s="10" t="n"/>
      <c r="D21" s="10" t="n"/>
      <c r="E21" s="10" t="n"/>
      <c r="F21" s="10" t="n">
        <v>4861.59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5445</v>
      </c>
      <c r="C22" s="15" t="n"/>
      <c r="D22" s="15" t="n"/>
      <c r="E22" s="15" t="n"/>
      <c r="F22" s="15" t="n">
        <v>4591.5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7002</v>
      </c>
      <c r="C23" s="10" t="n"/>
      <c r="D23" s="10" t="n"/>
      <c r="E23" s="10" t="n"/>
      <c r="F23" s="10" t="n">
        <v>5174.46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4491.8</v>
      </c>
      <c r="D24" s="23" t="n">
        <v>3818</v>
      </c>
      <c r="E24" s="23" t="n">
        <v>5166</v>
      </c>
      <c r="F24" s="23" t="n">
        <v>4491.8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4359.44</v>
      </c>
      <c r="D25" s="23" t="n">
        <v>3706</v>
      </c>
      <c r="E25" s="23" t="n">
        <v>5013</v>
      </c>
      <c r="F25" s="23" t="n">
        <v>4359.44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4226.17</v>
      </c>
      <c r="D26" s="23" t="n">
        <v>3592</v>
      </c>
      <c r="E26" s="23" t="n">
        <v>4860</v>
      </c>
      <c r="F26" s="23" t="n">
        <v>4226.17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4743.49</v>
      </c>
      <c r="D27" s="23" t="n">
        <v>4032</v>
      </c>
      <c r="E27" s="23" t="n">
        <v>5455</v>
      </c>
      <c r="F27" s="23" t="n">
        <v>4743.49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4136</v>
      </c>
      <c r="D28" s="23" t="n">
        <v>3516</v>
      </c>
      <c r="E28" s="23" t="n">
        <v>4756</v>
      </c>
      <c r="F28" s="23" t="n">
        <v>4136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5582.25</v>
      </c>
      <c r="D29" s="23" t="n">
        <v>4745</v>
      </c>
      <c r="E29" s="23" t="n">
        <v>6420</v>
      </c>
      <c r="F29" s="23" t="n">
        <v>5582.25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6273.4</v>
      </c>
      <c r="D30" s="23" t="n">
        <v>5332</v>
      </c>
      <c r="E30" s="23" t="n">
        <v>7214</v>
      </c>
      <c r="F30" s="23" t="n">
        <v>6273.4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6231.04</v>
      </c>
      <c r="D31" s="23" t="n">
        <v>5296</v>
      </c>
      <c r="E31" s="23" t="n">
        <v>7166</v>
      </c>
      <c r="F31" s="23" t="n">
        <v>6231.04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4016.53</v>
      </c>
      <c r="D32" s="23" t="n">
        <v>3414</v>
      </c>
      <c r="E32" s="23" t="n">
        <v>4619</v>
      </c>
      <c r="F32" s="23" t="n">
        <v>4016.53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34" t="inlineStr">
        <is>
          <t>Week</t>
        </is>
      </c>
      <c r="B35" s="34" t="inlineStr">
        <is>
          <t>Wk#</t>
        </is>
      </c>
      <c r="C35" s="34" t="inlineStr">
        <is>
          <t>Actual Regs</t>
        </is>
      </c>
      <c r="D35" s="34" t="inlineStr">
        <is>
          <t>Actual Cost</t>
        </is>
      </c>
      <c r="E35" s="34" t="inlineStr">
        <is>
          <t>Actual CPA</t>
        </is>
      </c>
      <c r="F35" s="34" t="inlineStr">
        <is>
          <t>Pred Regs</t>
        </is>
      </c>
      <c r="G35" s="34" t="inlineStr">
        <is>
          <t>CI Low</t>
        </is>
      </c>
      <c r="H35" s="34" t="inlineStr">
        <is>
          <t>CI High</t>
        </is>
      </c>
      <c r="I35" s="34" t="inlineStr">
        <is>
          <t>Confidence</t>
        </is>
      </c>
      <c r="J35" s="34" t="inlineStr">
        <is>
          <t>Error %</t>
        </is>
      </c>
      <c r="K35" s="34" t="inlineStr">
        <is>
          <t>Within CI</t>
        </is>
      </c>
      <c r="L35" s="34" t="inlineStr">
        <is>
          <t>WoW Δ%</t>
        </is>
      </c>
      <c r="M35" s="34" t="inlineStr">
        <is>
          <t>Brand Regs</t>
        </is>
      </c>
      <c r="N35" s="34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1005</v>
      </c>
      <c r="D36" s="11" t="n">
        <v>60466</v>
      </c>
      <c r="E36" s="12" t="n">
        <v>60.17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301</v>
      </c>
      <c r="N36" s="10" t="n">
        <v>704</v>
      </c>
    </row>
    <row r="37">
      <c r="A37" s="14" t="inlineStr">
        <is>
          <t>2026 W2</t>
        </is>
      </c>
      <c r="B37" s="14" t="n">
        <v>2</v>
      </c>
      <c r="C37" s="15" t="n">
        <v>1540</v>
      </c>
      <c r="D37" s="16" t="n">
        <v>117937</v>
      </c>
      <c r="E37" s="17" t="n">
        <v>76.58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608</v>
      </c>
      <c r="N37" s="15" t="n">
        <v>932</v>
      </c>
    </row>
    <row r="38">
      <c r="A38" s="9" t="inlineStr">
        <is>
          <t>2026 W3</t>
        </is>
      </c>
      <c r="B38" s="9" t="n">
        <v>3</v>
      </c>
      <c r="C38" s="10" t="n">
        <v>1769</v>
      </c>
      <c r="D38" s="11" t="n">
        <v>141384</v>
      </c>
      <c r="E38" s="12" t="n">
        <v>79.92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571</v>
      </c>
      <c r="N38" s="10" t="n">
        <v>1198</v>
      </c>
    </row>
    <row r="39">
      <c r="A39" s="14" t="inlineStr">
        <is>
          <t>2026 W4</t>
        </is>
      </c>
      <c r="B39" s="14" t="n">
        <v>4</v>
      </c>
      <c r="C39" s="15" t="n">
        <v>1598</v>
      </c>
      <c r="D39" s="16" t="n">
        <v>123497</v>
      </c>
      <c r="E39" s="17" t="n">
        <v>77.28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582</v>
      </c>
      <c r="N39" s="15" t="n">
        <v>1016</v>
      </c>
    </row>
    <row r="40">
      <c r="A40" s="9" t="inlineStr">
        <is>
          <t>2026 W5</t>
        </is>
      </c>
      <c r="B40" s="9" t="n">
        <v>5</v>
      </c>
      <c r="C40" s="10" t="n">
        <v>1325</v>
      </c>
      <c r="D40" s="11" t="n">
        <v>78918</v>
      </c>
      <c r="E40" s="12" t="n">
        <v>59.56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605</v>
      </c>
      <c r="N40" s="10" t="n">
        <v>720</v>
      </c>
    </row>
    <row r="41">
      <c r="A41" s="14" t="inlineStr">
        <is>
          <t>2026 W6</t>
        </is>
      </c>
      <c r="B41" s="14" t="n">
        <v>6</v>
      </c>
      <c r="C41" s="15" t="n">
        <v>1422</v>
      </c>
      <c r="D41" s="16" t="n">
        <v>90065</v>
      </c>
      <c r="E41" s="17" t="n">
        <v>63.34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577</v>
      </c>
      <c r="N41" s="15" t="n">
        <v>845</v>
      </c>
    </row>
    <row r="42">
      <c r="A42" s="9" t="inlineStr">
        <is>
          <t>2026 W7</t>
        </is>
      </c>
      <c r="B42" s="9" t="n">
        <v>7</v>
      </c>
      <c r="C42" s="10" t="n">
        <v>1369</v>
      </c>
      <c r="D42" s="11" t="n">
        <v>94473</v>
      </c>
      <c r="E42" s="12" t="n">
        <v>69.01000000000001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523</v>
      </c>
      <c r="N42" s="10" t="n">
        <v>846</v>
      </c>
    </row>
    <row r="43">
      <c r="A43" s="14" t="inlineStr">
        <is>
          <t>2026 W8</t>
        </is>
      </c>
      <c r="B43" s="14" t="n">
        <v>8</v>
      </c>
      <c r="C43" s="15" t="n">
        <v>1329</v>
      </c>
      <c r="D43" s="16" t="n">
        <v>95850</v>
      </c>
      <c r="E43" s="17" t="n">
        <v>72.12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501</v>
      </c>
      <c r="N43" s="15" t="n">
        <v>828</v>
      </c>
    </row>
    <row r="44">
      <c r="A44" s="9" t="inlineStr">
        <is>
          <t>2026 W9</t>
        </is>
      </c>
      <c r="B44" s="9" t="n">
        <v>9</v>
      </c>
      <c r="C44" s="10" t="n">
        <v>1457</v>
      </c>
      <c r="D44" s="11" t="n">
        <v>104596</v>
      </c>
      <c r="E44" s="12" t="n">
        <v>71.79000000000001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559</v>
      </c>
      <c r="N44" s="10" t="n">
        <v>898</v>
      </c>
    </row>
    <row r="45">
      <c r="A45" s="14" t="inlineStr">
        <is>
          <t>2026 W10</t>
        </is>
      </c>
      <c r="B45" s="14" t="n">
        <v>10</v>
      </c>
      <c r="C45" s="15" t="n">
        <v>1388</v>
      </c>
      <c r="D45" s="16" t="n">
        <v>95498</v>
      </c>
      <c r="E45" s="17" t="n">
        <v>68.8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524</v>
      </c>
      <c r="N45" s="15" t="n">
        <v>864</v>
      </c>
    </row>
    <row r="46">
      <c r="A46" s="9" t="inlineStr">
        <is>
          <t>2026 W11</t>
        </is>
      </c>
      <c r="B46" s="9" t="n">
        <v>11</v>
      </c>
      <c r="C46" s="10" t="n">
        <v>1351</v>
      </c>
      <c r="D46" s="11" t="n">
        <v>87797</v>
      </c>
      <c r="E46" s="12" t="n">
        <v>64.98999999999999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533</v>
      </c>
      <c r="N46" s="10" t="n">
        <v>818</v>
      </c>
    </row>
    <row r="47">
      <c r="A47" s="14" t="inlineStr">
        <is>
          <t>2026 W12</t>
        </is>
      </c>
      <c r="B47" s="14" t="n">
        <v>12</v>
      </c>
      <c r="C47" s="15" t="n">
        <v>1326</v>
      </c>
      <c r="D47" s="16" t="n">
        <v>89886</v>
      </c>
      <c r="E47" s="17" t="n">
        <v>67.79000000000001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434</v>
      </c>
      <c r="N47" s="15" t="n">
        <v>892</v>
      </c>
    </row>
    <row r="48">
      <c r="A48" s="9" t="inlineStr">
        <is>
          <t>2026 W13</t>
        </is>
      </c>
      <c r="B48" s="9" t="n">
        <v>13</v>
      </c>
      <c r="C48" s="10" t="n">
        <v>1480</v>
      </c>
      <c r="D48" s="11" t="n">
        <v>85595</v>
      </c>
      <c r="E48" s="12" t="n">
        <v>57.83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542</v>
      </c>
      <c r="N48" s="10" t="n">
        <v>938</v>
      </c>
    </row>
    <row r="49">
      <c r="A49" s="14" t="inlineStr">
        <is>
          <t>2026 W14</t>
        </is>
      </c>
      <c r="B49" s="14" t="n">
        <v>14</v>
      </c>
      <c r="C49" s="15" t="n">
        <v>1458</v>
      </c>
      <c r="D49" s="16" t="n">
        <v>85243</v>
      </c>
      <c r="E49" s="17" t="n">
        <v>58.47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473</v>
      </c>
      <c r="N49" s="15" t="n">
        <v>985</v>
      </c>
    </row>
    <row r="50">
      <c r="A50" s="9" t="inlineStr">
        <is>
          <t>2026 W15</t>
        </is>
      </c>
      <c r="B50" s="9" t="n">
        <v>15</v>
      </c>
      <c r="C50" s="10" t="n">
        <v>1453</v>
      </c>
      <c r="D50" s="11" t="n">
        <v>90876</v>
      </c>
      <c r="E50" s="12" t="n">
        <v>62.54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473</v>
      </c>
      <c r="N50" s="10" t="n">
        <v>980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1123</v>
      </c>
      <c r="G51" s="23" t="n">
        <v>898</v>
      </c>
      <c r="H51" s="23" t="n">
        <v>1348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1123</v>
      </c>
      <c r="G52" s="23" t="n">
        <v>898</v>
      </c>
      <c r="H52" s="23" t="n">
        <v>1348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872</v>
      </c>
      <c r="G53" s="23" t="n">
        <v>698</v>
      </c>
      <c r="H53" s="23" t="n">
        <v>1046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872</v>
      </c>
      <c r="G54" s="23" t="n">
        <v>698</v>
      </c>
      <c r="H54" s="23" t="n">
        <v>1046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872</v>
      </c>
      <c r="G55" s="23" t="n">
        <v>698</v>
      </c>
      <c r="H55" s="23" t="n">
        <v>1046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872</v>
      </c>
      <c r="G56" s="23" t="n">
        <v>698</v>
      </c>
      <c r="H56" s="23" t="n">
        <v>1046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872</v>
      </c>
      <c r="G57" s="23" t="n">
        <v>698</v>
      </c>
      <c r="H57" s="23" t="n">
        <v>1046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1057</v>
      </c>
      <c r="G58" s="23" t="n">
        <v>846</v>
      </c>
      <c r="H58" s="23" t="n">
        <v>1268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1057</v>
      </c>
      <c r="G59" s="23" t="n">
        <v>846</v>
      </c>
      <c r="H59" s="23" t="n">
        <v>1268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1057</v>
      </c>
      <c r="G60" s="23" t="n">
        <v>846</v>
      </c>
      <c r="H60" s="23" t="n">
        <v>1268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1057</v>
      </c>
      <c r="G61" s="23" t="n">
        <v>846</v>
      </c>
      <c r="H61" s="23" t="n">
        <v>1268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949</v>
      </c>
      <c r="G62" s="23" t="n">
        <v>759</v>
      </c>
      <c r="H62" s="23" t="n">
        <v>1139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949</v>
      </c>
      <c r="G63" s="23" t="n">
        <v>759</v>
      </c>
      <c r="H63" s="23" t="n">
        <v>1139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949</v>
      </c>
      <c r="G64" s="23" t="n">
        <v>759</v>
      </c>
      <c r="H64" s="23" t="n">
        <v>1139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949</v>
      </c>
      <c r="G65" s="23" t="n">
        <v>759</v>
      </c>
      <c r="H65" s="23" t="n">
        <v>1139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949</v>
      </c>
      <c r="G66" s="23" t="n">
        <v>759</v>
      </c>
      <c r="H66" s="23" t="n">
        <v>1139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1034</v>
      </c>
      <c r="G67" s="23" t="n">
        <v>827</v>
      </c>
      <c r="H67" s="23" t="n">
        <v>1241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1034</v>
      </c>
      <c r="G68" s="23" t="n">
        <v>827</v>
      </c>
      <c r="H68" s="23" t="n">
        <v>1241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1034</v>
      </c>
      <c r="G69" s="23" t="n">
        <v>827</v>
      </c>
      <c r="H69" s="23" t="n">
        <v>1241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1034</v>
      </c>
      <c r="G70" s="23" t="n">
        <v>827</v>
      </c>
      <c r="H70" s="23" t="n">
        <v>1241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1396</v>
      </c>
      <c r="G71" s="23" t="n">
        <v>1117</v>
      </c>
      <c r="H71" s="23" t="n">
        <v>1675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1396</v>
      </c>
      <c r="G72" s="23" t="n">
        <v>1117</v>
      </c>
      <c r="H72" s="23" t="n">
        <v>1675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1396</v>
      </c>
      <c r="G73" s="23" t="n">
        <v>1117</v>
      </c>
      <c r="H73" s="23" t="n">
        <v>1675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1396</v>
      </c>
      <c r="G74" s="23" t="n">
        <v>1117</v>
      </c>
      <c r="H74" s="23" t="n">
        <v>1675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1255</v>
      </c>
      <c r="G75" s="23" t="n">
        <v>1004</v>
      </c>
      <c r="H75" s="23" t="n">
        <v>1506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1255</v>
      </c>
      <c r="G76" s="23" t="n">
        <v>1004</v>
      </c>
      <c r="H76" s="23" t="n">
        <v>1506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1255</v>
      </c>
      <c r="G77" s="23" t="n">
        <v>1004</v>
      </c>
      <c r="H77" s="23" t="n">
        <v>1506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1255</v>
      </c>
      <c r="G78" s="23" t="n">
        <v>1004</v>
      </c>
      <c r="H78" s="23" t="n">
        <v>1506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1255</v>
      </c>
      <c r="G79" s="23" t="n">
        <v>1004</v>
      </c>
      <c r="H79" s="23" t="n">
        <v>1506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1558</v>
      </c>
      <c r="G80" s="23" t="n">
        <v>1246</v>
      </c>
      <c r="H80" s="23" t="n">
        <v>1870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1558</v>
      </c>
      <c r="G81" s="23" t="n">
        <v>1246</v>
      </c>
      <c r="H81" s="23" t="n">
        <v>1870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1558</v>
      </c>
      <c r="G82" s="23" t="n">
        <v>1246</v>
      </c>
      <c r="H82" s="23" t="n">
        <v>1870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1558</v>
      </c>
      <c r="G83" s="23" t="n">
        <v>1246</v>
      </c>
      <c r="H83" s="23" t="n">
        <v>1870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1004</v>
      </c>
      <c r="G84" s="23" t="n">
        <v>803</v>
      </c>
      <c r="H84" s="23" t="n">
        <v>1205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1004</v>
      </c>
      <c r="G85" s="23" t="n">
        <v>803</v>
      </c>
      <c r="H85" s="23" t="n">
        <v>1205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1004</v>
      </c>
      <c r="G86" s="23" t="n">
        <v>803</v>
      </c>
      <c r="H86" s="23" t="n">
        <v>1205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1004</v>
      </c>
      <c r="G87" s="23" t="n">
        <v>803</v>
      </c>
      <c r="H87" s="23" t="n">
        <v>1205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2ECC71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35" t="inlineStr">
        <is>
          <t>DE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20,651</t>
        </is>
      </c>
      <c r="B4" s="5" t="n"/>
      <c r="C4" s="6" t="inlineStr">
        <is>
          <t>$2,375,324</t>
        </is>
      </c>
      <c r="D4" s="5" t="n"/>
      <c r="E4" s="6" t="inlineStr">
        <is>
          <t>$115.02</t>
        </is>
      </c>
      <c r="F4" s="5" t="n"/>
      <c r="G4" s="6" t="inlineStr">
        <is>
          <t>-51.2%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36" t="inlineStr">
        <is>
          <t>Period</t>
        </is>
      </c>
      <c r="B9" s="36" t="inlineStr">
        <is>
          <t>Actual Regs</t>
        </is>
      </c>
      <c r="C9" s="36" t="inlineStr">
        <is>
          <t>Pred Regs</t>
        </is>
      </c>
      <c r="D9" s="36" t="inlineStr">
        <is>
          <t>CI Low</t>
        </is>
      </c>
      <c r="E9" s="36" t="inlineStr">
        <is>
          <t>CI High</t>
        </is>
      </c>
      <c r="F9" s="36" t="inlineStr">
        <is>
          <t>OP2 Target</t>
        </is>
      </c>
      <c r="G9" s="36" t="inlineStr">
        <is>
          <t>vs OP2 %</t>
        </is>
      </c>
      <c r="H9" s="36" t="inlineStr">
        <is>
          <t>Error %</t>
        </is>
      </c>
      <c r="I9" s="36" t="inlineStr">
        <is>
          <t>Confidence</t>
        </is>
      </c>
      <c r="J9" s="36" t="inlineStr">
        <is>
          <t>Score</t>
        </is>
      </c>
      <c r="K9" s="36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72975.47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36" t="inlineStr">
        <is>
          <t>Period</t>
        </is>
      </c>
      <c r="B13" s="36" t="inlineStr">
        <is>
          <t>Actual Regs</t>
        </is>
      </c>
      <c r="C13" s="36" t="inlineStr">
        <is>
          <t>Pred Regs</t>
        </is>
      </c>
      <c r="D13" s="36" t="inlineStr">
        <is>
          <t>CI Low</t>
        </is>
      </c>
      <c r="E13" s="36" t="inlineStr">
        <is>
          <t>CI High</t>
        </is>
      </c>
      <c r="F13" s="36" t="inlineStr">
        <is>
          <t>OP2 Target</t>
        </is>
      </c>
      <c r="G13" s="36" t="inlineStr">
        <is>
          <t>vs OP2 %</t>
        </is>
      </c>
      <c r="H13" s="36" t="inlineStr">
        <is>
          <t>Error %</t>
        </is>
      </c>
      <c r="I13" s="36" t="inlineStr">
        <is>
          <t>Confidence</t>
        </is>
      </c>
      <c r="J13" s="36" t="inlineStr">
        <is>
          <t>Score</t>
        </is>
      </c>
      <c r="K13" s="36" t="inlineStr">
        <is>
          <t>Notes</t>
        </is>
      </c>
    </row>
    <row r="14">
      <c r="A14" s="9" t="inlineStr">
        <is>
          <t>Q1</t>
        </is>
      </c>
      <c r="B14" s="10" t="n">
        <v>18126</v>
      </c>
      <c r="C14" s="10" t="n"/>
      <c r="D14" s="10" t="n"/>
      <c r="E14" s="10" t="n"/>
      <c r="F14" s="10" t="n">
        <v>18891.81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17292.58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18126.32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18664.76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36" t="inlineStr">
        <is>
          <t>Period</t>
        </is>
      </c>
      <c r="B20" s="36" t="inlineStr">
        <is>
          <t>Actual Regs</t>
        </is>
      </c>
      <c r="C20" s="36" t="inlineStr">
        <is>
          <t>Pred Regs</t>
        </is>
      </c>
      <c r="D20" s="36" t="inlineStr">
        <is>
          <t>CI Low</t>
        </is>
      </c>
      <c r="E20" s="36" t="inlineStr">
        <is>
          <t>CI High</t>
        </is>
      </c>
      <c r="F20" s="36" t="inlineStr">
        <is>
          <t>OP2 Target</t>
        </is>
      </c>
      <c r="G20" s="36" t="inlineStr">
        <is>
          <t>vs OP2 %</t>
        </is>
      </c>
      <c r="H20" s="36" t="inlineStr">
        <is>
          <t>Error %</t>
        </is>
      </c>
      <c r="I20" s="36" t="inlineStr">
        <is>
          <t>Confidence</t>
        </is>
      </c>
      <c r="J20" s="36" t="inlineStr">
        <is>
          <t>Score</t>
        </is>
      </c>
      <c r="K20" s="36" t="inlineStr">
        <is>
          <t>Notes</t>
        </is>
      </c>
    </row>
    <row r="21">
      <c r="A21" s="9" t="inlineStr">
        <is>
          <t>Jan</t>
        </is>
      </c>
      <c r="B21" s="10" t="n">
        <v>6226</v>
      </c>
      <c r="C21" s="10" t="n"/>
      <c r="D21" s="10" t="n"/>
      <c r="E21" s="10" t="n"/>
      <c r="F21" s="10" t="n">
        <v>6656.09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5824</v>
      </c>
      <c r="C22" s="15" t="n"/>
      <c r="D22" s="15" t="n"/>
      <c r="E22" s="15" t="n"/>
      <c r="F22" s="15" t="n">
        <v>6106.8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6076</v>
      </c>
      <c r="C23" s="10" t="n"/>
      <c r="D23" s="10" t="n"/>
      <c r="E23" s="10" t="n"/>
      <c r="F23" s="10" t="n">
        <v>6128.92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5747.36</v>
      </c>
      <c r="D24" s="23" t="n">
        <v>4885</v>
      </c>
      <c r="E24" s="23" t="n">
        <v>6609</v>
      </c>
      <c r="F24" s="23" t="n">
        <v>5747.36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5733.79</v>
      </c>
      <c r="D25" s="23" t="n">
        <v>4874</v>
      </c>
      <c r="E25" s="23" t="n">
        <v>6594</v>
      </c>
      <c r="F25" s="23" t="n">
        <v>5733.79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5811.43</v>
      </c>
      <c r="D26" s="23" t="n">
        <v>4940</v>
      </c>
      <c r="E26" s="23" t="n">
        <v>6683</v>
      </c>
      <c r="F26" s="23" t="n">
        <v>5811.43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6825.53</v>
      </c>
      <c r="D27" s="23" t="n">
        <v>5802</v>
      </c>
      <c r="E27" s="23" t="n">
        <v>7849</v>
      </c>
      <c r="F27" s="23" t="n">
        <v>6825.53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5056.12</v>
      </c>
      <c r="D28" s="23" t="n">
        <v>4298</v>
      </c>
      <c r="E28" s="23" t="n">
        <v>5815</v>
      </c>
      <c r="F28" s="23" t="n">
        <v>5056.12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6244.67</v>
      </c>
      <c r="D29" s="23" t="n">
        <v>5308</v>
      </c>
      <c r="E29" s="23" t="n">
        <v>7181</v>
      </c>
      <c r="F29" s="23" t="n">
        <v>6244.67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6758.48</v>
      </c>
      <c r="D30" s="23" t="n">
        <v>5745</v>
      </c>
      <c r="E30" s="23" t="n">
        <v>7772</v>
      </c>
      <c r="F30" s="23" t="n">
        <v>6758.48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6976.97</v>
      </c>
      <c r="D31" s="23" t="n">
        <v>5930</v>
      </c>
      <c r="E31" s="23" t="n">
        <v>8024</v>
      </c>
      <c r="F31" s="23" t="n">
        <v>6976.97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4929.31</v>
      </c>
      <c r="D32" s="23" t="n">
        <v>4190</v>
      </c>
      <c r="E32" s="23" t="n">
        <v>5669</v>
      </c>
      <c r="F32" s="23" t="n">
        <v>4929.31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36" t="inlineStr">
        <is>
          <t>Week</t>
        </is>
      </c>
      <c r="B35" s="36" t="inlineStr">
        <is>
          <t>Wk#</t>
        </is>
      </c>
      <c r="C35" s="36" t="inlineStr">
        <is>
          <t>Actual Regs</t>
        </is>
      </c>
      <c r="D35" s="36" t="inlineStr">
        <is>
          <t>Actual Cost</t>
        </is>
      </c>
      <c r="E35" s="36" t="inlineStr">
        <is>
          <t>Actual CPA</t>
        </is>
      </c>
      <c r="F35" s="36" t="inlineStr">
        <is>
          <t>Pred Regs</t>
        </is>
      </c>
      <c r="G35" s="36" t="inlineStr">
        <is>
          <t>CI Low</t>
        </is>
      </c>
      <c r="H35" s="36" t="inlineStr">
        <is>
          <t>CI High</t>
        </is>
      </c>
      <c r="I35" s="36" t="inlineStr">
        <is>
          <t>Confidence</t>
        </is>
      </c>
      <c r="J35" s="36" t="inlineStr">
        <is>
          <t>Error %</t>
        </is>
      </c>
      <c r="K35" s="36" t="inlineStr">
        <is>
          <t>Within CI</t>
        </is>
      </c>
      <c r="L35" s="36" t="inlineStr">
        <is>
          <t>WoW Δ%</t>
        </is>
      </c>
      <c r="M35" s="36" t="inlineStr">
        <is>
          <t>Brand Regs</t>
        </is>
      </c>
      <c r="N35" s="36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1079</v>
      </c>
      <c r="D36" s="11" t="n">
        <v>113543</v>
      </c>
      <c r="E36" s="12" t="n">
        <v>105.23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572</v>
      </c>
      <c r="N36" s="10" t="n">
        <v>507</v>
      </c>
    </row>
    <row r="37">
      <c r="A37" s="14" t="inlineStr">
        <is>
          <t>2026 W2</t>
        </is>
      </c>
      <c r="B37" s="14" t="n">
        <v>2</v>
      </c>
      <c r="C37" s="15" t="n">
        <v>1686</v>
      </c>
      <c r="D37" s="16" t="n">
        <v>194725</v>
      </c>
      <c r="E37" s="17" t="n">
        <v>115.5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998</v>
      </c>
      <c r="N37" s="15" t="n">
        <v>688</v>
      </c>
    </row>
    <row r="38">
      <c r="A38" s="9" t="inlineStr">
        <is>
          <t>2026 W3</t>
        </is>
      </c>
      <c r="B38" s="9" t="n">
        <v>3</v>
      </c>
      <c r="C38" s="10" t="n">
        <v>1717</v>
      </c>
      <c r="D38" s="11" t="n">
        <v>245075</v>
      </c>
      <c r="E38" s="12" t="n">
        <v>142.73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973</v>
      </c>
      <c r="N38" s="10" t="n">
        <v>744</v>
      </c>
    </row>
    <row r="39">
      <c r="A39" s="14" t="inlineStr">
        <is>
          <t>2026 W4</t>
        </is>
      </c>
      <c r="B39" s="14" t="n">
        <v>4</v>
      </c>
      <c r="C39" s="15" t="n">
        <v>1744</v>
      </c>
      <c r="D39" s="16" t="n">
        <v>235631</v>
      </c>
      <c r="E39" s="17" t="n">
        <v>135.11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973</v>
      </c>
      <c r="N39" s="15" t="n">
        <v>771</v>
      </c>
    </row>
    <row r="40">
      <c r="A40" s="9" t="inlineStr">
        <is>
          <t>2026 W5</t>
        </is>
      </c>
      <c r="B40" s="9" t="n">
        <v>5</v>
      </c>
      <c r="C40" s="10" t="n">
        <v>1430</v>
      </c>
      <c r="D40" s="11" t="n">
        <v>126820</v>
      </c>
      <c r="E40" s="12" t="n">
        <v>88.69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905</v>
      </c>
      <c r="N40" s="10" t="n">
        <v>525</v>
      </c>
    </row>
    <row r="41">
      <c r="A41" s="14" t="inlineStr">
        <is>
          <t>2026 W6</t>
        </is>
      </c>
      <c r="B41" s="14" t="n">
        <v>6</v>
      </c>
      <c r="C41" s="15" t="n">
        <v>1478</v>
      </c>
      <c r="D41" s="16" t="n">
        <v>154689</v>
      </c>
      <c r="E41" s="17" t="n">
        <v>104.66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918</v>
      </c>
      <c r="N41" s="15" t="n">
        <v>560</v>
      </c>
    </row>
    <row r="42">
      <c r="A42" s="9" t="inlineStr">
        <is>
          <t>2026 W7</t>
        </is>
      </c>
      <c r="B42" s="9" t="n">
        <v>7</v>
      </c>
      <c r="C42" s="10" t="n">
        <v>1504</v>
      </c>
      <c r="D42" s="11" t="n">
        <v>159905</v>
      </c>
      <c r="E42" s="12" t="n">
        <v>106.32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944</v>
      </c>
      <c r="N42" s="10" t="n">
        <v>560</v>
      </c>
    </row>
    <row r="43">
      <c r="A43" s="14" t="inlineStr">
        <is>
          <t>2026 W8</t>
        </is>
      </c>
      <c r="B43" s="14" t="n">
        <v>8</v>
      </c>
      <c r="C43" s="15" t="n">
        <v>1412</v>
      </c>
      <c r="D43" s="16" t="n">
        <v>162082</v>
      </c>
      <c r="E43" s="17" t="n">
        <v>114.79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799</v>
      </c>
      <c r="N43" s="15" t="n">
        <v>613</v>
      </c>
    </row>
    <row r="44">
      <c r="A44" s="9" t="inlineStr">
        <is>
          <t>2026 W9</t>
        </is>
      </c>
      <c r="B44" s="9" t="n">
        <v>9</v>
      </c>
      <c r="C44" s="10" t="n">
        <v>1364</v>
      </c>
      <c r="D44" s="11" t="n">
        <v>191460</v>
      </c>
      <c r="E44" s="12" t="n">
        <v>140.37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755</v>
      </c>
      <c r="N44" s="10" t="n">
        <v>609</v>
      </c>
    </row>
    <row r="45">
      <c r="A45" s="14" t="inlineStr">
        <is>
          <t>2026 W10</t>
        </is>
      </c>
      <c r="B45" s="14" t="n">
        <v>10</v>
      </c>
      <c r="C45" s="15" t="n">
        <v>1393</v>
      </c>
      <c r="D45" s="16" t="n">
        <v>157915</v>
      </c>
      <c r="E45" s="17" t="n">
        <v>113.36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848</v>
      </c>
      <c r="N45" s="15" t="n">
        <v>545</v>
      </c>
    </row>
    <row r="46">
      <c r="A46" s="9" t="inlineStr">
        <is>
          <t>2026 W11</t>
        </is>
      </c>
      <c r="B46" s="9" t="n">
        <v>11</v>
      </c>
      <c r="C46" s="10" t="n">
        <v>1493</v>
      </c>
      <c r="D46" s="11" t="n">
        <v>170477</v>
      </c>
      <c r="E46" s="12" t="n">
        <v>114.18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891</v>
      </c>
      <c r="N46" s="10" t="n">
        <v>602</v>
      </c>
    </row>
    <row r="47">
      <c r="A47" s="14" t="inlineStr">
        <is>
          <t>2026 W12</t>
        </is>
      </c>
      <c r="B47" s="14" t="n">
        <v>12</v>
      </c>
      <c r="C47" s="15" t="n">
        <v>1192</v>
      </c>
      <c r="D47" s="16" t="n">
        <v>138333</v>
      </c>
      <c r="E47" s="17" t="n">
        <v>116.05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674</v>
      </c>
      <c r="N47" s="15" t="n">
        <v>518</v>
      </c>
    </row>
    <row r="48">
      <c r="A48" s="9" t="inlineStr">
        <is>
          <t>2026 W13</t>
        </is>
      </c>
      <c r="B48" s="9" t="n">
        <v>13</v>
      </c>
      <c r="C48" s="10" t="n">
        <v>634</v>
      </c>
      <c r="D48" s="11" t="n">
        <v>109617</v>
      </c>
      <c r="E48" s="12" t="n">
        <v>172.9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346</v>
      </c>
      <c r="N48" s="10" t="n">
        <v>288</v>
      </c>
    </row>
    <row r="49">
      <c r="A49" s="14" t="inlineStr">
        <is>
          <t>2026 W14</t>
        </is>
      </c>
      <c r="B49" s="14" t="n">
        <v>14</v>
      </c>
      <c r="C49" s="15" t="n">
        <v>1315</v>
      </c>
      <c r="D49" s="16" t="n">
        <v>102418</v>
      </c>
      <c r="E49" s="17" t="n">
        <v>77.88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779</v>
      </c>
      <c r="N49" s="15" t="n">
        <v>536</v>
      </c>
    </row>
    <row r="50">
      <c r="A50" s="9" t="inlineStr">
        <is>
          <t>2026 W15</t>
        </is>
      </c>
      <c r="B50" s="9" t="n">
        <v>15</v>
      </c>
      <c r="C50" s="10" t="n">
        <v>1210</v>
      </c>
      <c r="D50" s="11" t="n">
        <v>112634</v>
      </c>
      <c r="E50" s="12" t="n">
        <v>93.09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650</v>
      </c>
      <c r="N50" s="10" t="n">
        <v>560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1437</v>
      </c>
      <c r="G51" s="23" t="n">
        <v>1150</v>
      </c>
      <c r="H51" s="23" t="n">
        <v>1724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1437</v>
      </c>
      <c r="G52" s="23" t="n">
        <v>1150</v>
      </c>
      <c r="H52" s="23" t="n">
        <v>1724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1147</v>
      </c>
      <c r="G53" s="23" t="n">
        <v>918</v>
      </c>
      <c r="H53" s="23" t="n">
        <v>1376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1147</v>
      </c>
      <c r="G54" s="23" t="n">
        <v>918</v>
      </c>
      <c r="H54" s="23" t="n">
        <v>1376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1147</v>
      </c>
      <c r="G55" s="23" t="n">
        <v>918</v>
      </c>
      <c r="H55" s="23" t="n">
        <v>1376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1147</v>
      </c>
      <c r="G56" s="23" t="n">
        <v>918</v>
      </c>
      <c r="H56" s="23" t="n">
        <v>1376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1147</v>
      </c>
      <c r="G57" s="23" t="n">
        <v>918</v>
      </c>
      <c r="H57" s="23" t="n">
        <v>1376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1453</v>
      </c>
      <c r="G58" s="23" t="n">
        <v>1162</v>
      </c>
      <c r="H58" s="23" t="n">
        <v>1744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1453</v>
      </c>
      <c r="G59" s="23" t="n">
        <v>1162</v>
      </c>
      <c r="H59" s="23" t="n">
        <v>1744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1453</v>
      </c>
      <c r="G60" s="23" t="n">
        <v>1162</v>
      </c>
      <c r="H60" s="23" t="n">
        <v>1744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1453</v>
      </c>
      <c r="G61" s="23" t="n">
        <v>1162</v>
      </c>
      <c r="H61" s="23" t="n">
        <v>1744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1365</v>
      </c>
      <c r="G62" s="23" t="n">
        <v>1092</v>
      </c>
      <c r="H62" s="23" t="n">
        <v>1638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1365</v>
      </c>
      <c r="G63" s="23" t="n">
        <v>1092</v>
      </c>
      <c r="H63" s="23" t="n">
        <v>1638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1365</v>
      </c>
      <c r="G64" s="23" t="n">
        <v>1092</v>
      </c>
      <c r="H64" s="23" t="n">
        <v>1638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1365</v>
      </c>
      <c r="G65" s="23" t="n">
        <v>1092</v>
      </c>
      <c r="H65" s="23" t="n">
        <v>1638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1365</v>
      </c>
      <c r="G66" s="23" t="n">
        <v>1092</v>
      </c>
      <c r="H66" s="23" t="n">
        <v>1638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1264</v>
      </c>
      <c r="G67" s="23" t="n">
        <v>1011</v>
      </c>
      <c r="H67" s="23" t="n">
        <v>1517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1264</v>
      </c>
      <c r="G68" s="23" t="n">
        <v>1011</v>
      </c>
      <c r="H68" s="23" t="n">
        <v>1517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1264</v>
      </c>
      <c r="G69" s="23" t="n">
        <v>1011</v>
      </c>
      <c r="H69" s="23" t="n">
        <v>1517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1264</v>
      </c>
      <c r="G70" s="23" t="n">
        <v>1011</v>
      </c>
      <c r="H70" s="23" t="n">
        <v>1517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1561</v>
      </c>
      <c r="G71" s="23" t="n">
        <v>1249</v>
      </c>
      <c r="H71" s="23" t="n">
        <v>1873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1561</v>
      </c>
      <c r="G72" s="23" t="n">
        <v>1249</v>
      </c>
      <c r="H72" s="23" t="n">
        <v>1873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1561</v>
      </c>
      <c r="G73" s="23" t="n">
        <v>1249</v>
      </c>
      <c r="H73" s="23" t="n">
        <v>1873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1561</v>
      </c>
      <c r="G74" s="23" t="n">
        <v>1249</v>
      </c>
      <c r="H74" s="23" t="n">
        <v>1873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1352</v>
      </c>
      <c r="G75" s="23" t="n">
        <v>1082</v>
      </c>
      <c r="H75" s="23" t="n">
        <v>1622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1352</v>
      </c>
      <c r="G76" s="23" t="n">
        <v>1082</v>
      </c>
      <c r="H76" s="23" t="n">
        <v>1622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1352</v>
      </c>
      <c r="G77" s="23" t="n">
        <v>1082</v>
      </c>
      <c r="H77" s="23" t="n">
        <v>1622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1352</v>
      </c>
      <c r="G78" s="23" t="n">
        <v>1082</v>
      </c>
      <c r="H78" s="23" t="n">
        <v>1622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1352</v>
      </c>
      <c r="G79" s="23" t="n">
        <v>1082</v>
      </c>
      <c r="H79" s="23" t="n">
        <v>1622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1744</v>
      </c>
      <c r="G80" s="23" t="n">
        <v>1395</v>
      </c>
      <c r="H80" s="23" t="n">
        <v>2093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1744</v>
      </c>
      <c r="G81" s="23" t="n">
        <v>1395</v>
      </c>
      <c r="H81" s="23" t="n">
        <v>2093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1744</v>
      </c>
      <c r="G82" s="23" t="n">
        <v>1395</v>
      </c>
      <c r="H82" s="23" t="n">
        <v>2093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1744</v>
      </c>
      <c r="G83" s="23" t="n">
        <v>1395</v>
      </c>
      <c r="H83" s="23" t="n">
        <v>2093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1232</v>
      </c>
      <c r="G84" s="23" t="n">
        <v>986</v>
      </c>
      <c r="H84" s="23" t="n">
        <v>1478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1232</v>
      </c>
      <c r="G85" s="23" t="n">
        <v>986</v>
      </c>
      <c r="H85" s="23" t="n">
        <v>1478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1232</v>
      </c>
      <c r="G86" s="23" t="n">
        <v>986</v>
      </c>
      <c r="H86" s="23" t="n">
        <v>1478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1232</v>
      </c>
      <c r="G87" s="23" t="n">
        <v>986</v>
      </c>
      <c r="H87" s="23" t="n">
        <v>1478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E67E22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37" t="inlineStr">
        <is>
          <t>FR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15,876</t>
        </is>
      </c>
      <c r="B4" s="5" t="n"/>
      <c r="C4" s="6" t="inlineStr">
        <is>
          <t>$957,874</t>
        </is>
      </c>
      <c r="D4" s="5" t="n"/>
      <c r="E4" s="6" t="inlineStr">
        <is>
          <t>$60.33</t>
        </is>
      </c>
      <c r="F4" s="5" t="n"/>
      <c r="G4" s="6" t="inlineStr">
        <is>
          <t>-44.1%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38" t="inlineStr">
        <is>
          <t>Period</t>
        </is>
      </c>
      <c r="B9" s="38" t="inlineStr">
        <is>
          <t>Actual Regs</t>
        </is>
      </c>
      <c r="C9" s="38" t="inlineStr">
        <is>
          <t>Pred Regs</t>
        </is>
      </c>
      <c r="D9" s="38" t="inlineStr">
        <is>
          <t>CI Low</t>
        </is>
      </c>
      <c r="E9" s="38" t="inlineStr">
        <is>
          <t>CI High</t>
        </is>
      </c>
      <c r="F9" s="38" t="inlineStr">
        <is>
          <t>OP2 Target</t>
        </is>
      </c>
      <c r="G9" s="38" t="inlineStr">
        <is>
          <t>vs OP2 %</t>
        </is>
      </c>
      <c r="H9" s="38" t="inlineStr">
        <is>
          <t>Error %</t>
        </is>
      </c>
      <c r="I9" s="38" t="inlineStr">
        <is>
          <t>Confidence</t>
        </is>
      </c>
      <c r="J9" s="38" t="inlineStr">
        <is>
          <t>Score</t>
        </is>
      </c>
      <c r="K9" s="38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53455.27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38" t="inlineStr">
        <is>
          <t>Period</t>
        </is>
      </c>
      <c r="B13" s="38" t="inlineStr">
        <is>
          <t>Actual Regs</t>
        </is>
      </c>
      <c r="C13" s="38" t="inlineStr">
        <is>
          <t>Pred Regs</t>
        </is>
      </c>
      <c r="D13" s="38" t="inlineStr">
        <is>
          <t>CI Low</t>
        </is>
      </c>
      <c r="E13" s="38" t="inlineStr">
        <is>
          <t>CI High</t>
        </is>
      </c>
      <c r="F13" s="38" t="inlineStr">
        <is>
          <t>OP2 Target</t>
        </is>
      </c>
      <c r="G13" s="38" t="inlineStr">
        <is>
          <t>vs OP2 %</t>
        </is>
      </c>
      <c r="H13" s="38" t="inlineStr">
        <is>
          <t>Error %</t>
        </is>
      </c>
      <c r="I13" s="38" t="inlineStr">
        <is>
          <t>Confidence</t>
        </is>
      </c>
      <c r="J13" s="38" t="inlineStr">
        <is>
          <t>Score</t>
        </is>
      </c>
      <c r="K13" s="38" t="inlineStr">
        <is>
          <t>Notes</t>
        </is>
      </c>
    </row>
    <row r="14">
      <c r="A14" s="9" t="inlineStr">
        <is>
          <t>Q1</t>
        </is>
      </c>
      <c r="B14" s="10" t="n">
        <v>13842</v>
      </c>
      <c r="C14" s="10" t="n"/>
      <c r="D14" s="10" t="n"/>
      <c r="E14" s="10" t="n"/>
      <c r="F14" s="10" t="n">
        <v>14059.81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12024.61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13164.33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14206.52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38" t="inlineStr">
        <is>
          <t>Period</t>
        </is>
      </c>
      <c r="B20" s="38" t="inlineStr">
        <is>
          <t>Actual Regs</t>
        </is>
      </c>
      <c r="C20" s="38" t="inlineStr">
        <is>
          <t>Pred Regs</t>
        </is>
      </c>
      <c r="D20" s="38" t="inlineStr">
        <is>
          <t>CI Low</t>
        </is>
      </c>
      <c r="E20" s="38" t="inlineStr">
        <is>
          <t>CI High</t>
        </is>
      </c>
      <c r="F20" s="38" t="inlineStr">
        <is>
          <t>OP2 Target</t>
        </is>
      </c>
      <c r="G20" s="38" t="inlineStr">
        <is>
          <t>vs OP2 %</t>
        </is>
      </c>
      <c r="H20" s="38" t="inlineStr">
        <is>
          <t>Error %</t>
        </is>
      </c>
      <c r="I20" s="38" t="inlineStr">
        <is>
          <t>Confidence</t>
        </is>
      </c>
      <c r="J20" s="38" t="inlineStr">
        <is>
          <t>Score</t>
        </is>
      </c>
      <c r="K20" s="38" t="inlineStr">
        <is>
          <t>Notes</t>
        </is>
      </c>
    </row>
    <row r="21">
      <c r="A21" s="9" t="inlineStr">
        <is>
          <t>Jan</t>
        </is>
      </c>
      <c r="B21" s="10" t="n">
        <v>3899</v>
      </c>
      <c r="C21" s="10" t="n"/>
      <c r="D21" s="10" t="n"/>
      <c r="E21" s="10" t="n"/>
      <c r="F21" s="10" t="n">
        <v>5014.08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4268</v>
      </c>
      <c r="C22" s="15" t="n"/>
      <c r="D22" s="15" t="n"/>
      <c r="E22" s="15" t="n"/>
      <c r="F22" s="15" t="n">
        <v>4351.31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5675</v>
      </c>
      <c r="C23" s="10" t="n"/>
      <c r="D23" s="10" t="n"/>
      <c r="E23" s="10" t="n"/>
      <c r="F23" s="10" t="n">
        <v>4694.42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4116.79</v>
      </c>
      <c r="D24" s="23" t="n">
        <v>3499</v>
      </c>
      <c r="E24" s="23" t="n">
        <v>4734</v>
      </c>
      <c r="F24" s="23" t="n">
        <v>4116.79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3771.42</v>
      </c>
      <c r="D25" s="23" t="n">
        <v>3206</v>
      </c>
      <c r="E25" s="23" t="n">
        <v>4337</v>
      </c>
      <c r="F25" s="23" t="n">
        <v>3771.42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4136.4</v>
      </c>
      <c r="D26" s="23" t="n">
        <v>3516</v>
      </c>
      <c r="E26" s="23" t="n">
        <v>4757</v>
      </c>
      <c r="F26" s="23" t="n">
        <v>4136.4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4284.65</v>
      </c>
      <c r="D27" s="23" t="n">
        <v>3642</v>
      </c>
      <c r="E27" s="23" t="n">
        <v>4927</v>
      </c>
      <c r="F27" s="23" t="n">
        <v>4284.65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3669.39</v>
      </c>
      <c r="D28" s="23" t="n">
        <v>3119</v>
      </c>
      <c r="E28" s="23" t="n">
        <v>4220</v>
      </c>
      <c r="F28" s="23" t="n">
        <v>3669.39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5210.29</v>
      </c>
      <c r="D29" s="23" t="n">
        <v>4429</v>
      </c>
      <c r="E29" s="23" t="n">
        <v>5992</v>
      </c>
      <c r="F29" s="23" t="n">
        <v>5210.29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5222.59</v>
      </c>
      <c r="D30" s="23" t="n">
        <v>4439</v>
      </c>
      <c r="E30" s="23" t="n">
        <v>6006</v>
      </c>
      <c r="F30" s="23" t="n">
        <v>5222.59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5344.39</v>
      </c>
      <c r="D31" s="23" t="n">
        <v>4543</v>
      </c>
      <c r="E31" s="23" t="n">
        <v>6146</v>
      </c>
      <c r="F31" s="23" t="n">
        <v>5344.39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3639.54</v>
      </c>
      <c r="D32" s="23" t="n">
        <v>3094</v>
      </c>
      <c r="E32" s="23" t="n">
        <v>4185</v>
      </c>
      <c r="F32" s="23" t="n">
        <v>3639.54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38" t="inlineStr">
        <is>
          <t>Week</t>
        </is>
      </c>
      <c r="B35" s="38" t="inlineStr">
        <is>
          <t>Wk#</t>
        </is>
      </c>
      <c r="C35" s="38" t="inlineStr">
        <is>
          <t>Actual Regs</t>
        </is>
      </c>
      <c r="D35" s="38" t="inlineStr">
        <is>
          <t>Actual Cost</t>
        </is>
      </c>
      <c r="E35" s="38" t="inlineStr">
        <is>
          <t>Actual CPA</t>
        </is>
      </c>
      <c r="F35" s="38" t="inlineStr">
        <is>
          <t>Pred Regs</t>
        </is>
      </c>
      <c r="G35" s="38" t="inlineStr">
        <is>
          <t>CI Low</t>
        </is>
      </c>
      <c r="H35" s="38" t="inlineStr">
        <is>
          <t>CI High</t>
        </is>
      </c>
      <c r="I35" s="38" t="inlineStr">
        <is>
          <t>Confidence</t>
        </is>
      </c>
      <c r="J35" s="38" t="inlineStr">
        <is>
          <t>Error %</t>
        </is>
      </c>
      <c r="K35" s="38" t="inlineStr">
        <is>
          <t>Within CI</t>
        </is>
      </c>
      <c r="L35" s="38" t="inlineStr">
        <is>
          <t>WoW Δ%</t>
        </is>
      </c>
      <c r="M35" s="38" t="inlineStr">
        <is>
          <t>Brand Regs</t>
        </is>
      </c>
      <c r="N35" s="38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657</v>
      </c>
      <c r="D36" s="11" t="n">
        <v>30250</v>
      </c>
      <c r="E36" s="12" t="n">
        <v>46.04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259</v>
      </c>
      <c r="N36" s="10" t="n">
        <v>398</v>
      </c>
    </row>
    <row r="37">
      <c r="A37" s="14" t="inlineStr">
        <is>
          <t>2026 W2</t>
        </is>
      </c>
      <c r="B37" s="14" t="n">
        <v>2</v>
      </c>
      <c r="C37" s="15" t="n">
        <v>1116</v>
      </c>
      <c r="D37" s="16" t="n">
        <v>47676</v>
      </c>
      <c r="E37" s="17" t="n">
        <v>42.72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500</v>
      </c>
      <c r="N37" s="15" t="n">
        <v>616</v>
      </c>
    </row>
    <row r="38">
      <c r="A38" s="9" t="inlineStr">
        <is>
          <t>2026 W3</t>
        </is>
      </c>
      <c r="B38" s="9" t="n">
        <v>3</v>
      </c>
      <c r="C38" s="10" t="n">
        <v>1051</v>
      </c>
      <c r="D38" s="11" t="n">
        <v>70671</v>
      </c>
      <c r="E38" s="12" t="n">
        <v>67.23999999999999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469</v>
      </c>
      <c r="N38" s="10" t="n">
        <v>582</v>
      </c>
    </row>
    <row r="39">
      <c r="A39" s="14" t="inlineStr">
        <is>
          <t>2026 W4</t>
        </is>
      </c>
      <c r="B39" s="14" t="n">
        <v>4</v>
      </c>
      <c r="C39" s="15" t="n">
        <v>1075</v>
      </c>
      <c r="D39" s="16" t="n">
        <v>69957</v>
      </c>
      <c r="E39" s="17" t="n">
        <v>65.08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485</v>
      </c>
      <c r="N39" s="15" t="n">
        <v>590</v>
      </c>
    </row>
    <row r="40">
      <c r="A40" s="9" t="inlineStr">
        <is>
          <t>2026 W5</t>
        </is>
      </c>
      <c r="B40" s="9" t="n">
        <v>5</v>
      </c>
      <c r="C40" s="10" t="n">
        <v>1051</v>
      </c>
      <c r="D40" s="11" t="n">
        <v>64417</v>
      </c>
      <c r="E40" s="12" t="n">
        <v>61.29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460</v>
      </c>
      <c r="N40" s="10" t="n">
        <v>591</v>
      </c>
    </row>
    <row r="41">
      <c r="A41" s="14" t="inlineStr">
        <is>
          <t>2026 W6</t>
        </is>
      </c>
      <c r="B41" s="14" t="n">
        <v>6</v>
      </c>
      <c r="C41" s="15" t="n">
        <v>1013</v>
      </c>
      <c r="D41" s="16" t="n">
        <v>57855</v>
      </c>
      <c r="E41" s="17" t="n">
        <v>57.11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415</v>
      </c>
      <c r="N41" s="15" t="n">
        <v>598</v>
      </c>
    </row>
    <row r="42">
      <c r="A42" s="9" t="inlineStr">
        <is>
          <t>2026 W7</t>
        </is>
      </c>
      <c r="B42" s="9" t="n">
        <v>7</v>
      </c>
      <c r="C42" s="10" t="n">
        <v>1083</v>
      </c>
      <c r="D42" s="11" t="n">
        <v>62194</v>
      </c>
      <c r="E42" s="12" t="n">
        <v>57.43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510</v>
      </c>
      <c r="N42" s="10" t="n">
        <v>573</v>
      </c>
    </row>
    <row r="43">
      <c r="A43" s="14" t="inlineStr">
        <is>
          <t>2026 W8</t>
        </is>
      </c>
      <c r="B43" s="14" t="n">
        <v>8</v>
      </c>
      <c r="C43" s="15" t="n">
        <v>1121</v>
      </c>
      <c r="D43" s="16" t="n">
        <v>69766</v>
      </c>
      <c r="E43" s="17" t="n">
        <v>62.24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439</v>
      </c>
      <c r="N43" s="15" t="n">
        <v>682</v>
      </c>
    </row>
    <row r="44">
      <c r="A44" s="9" t="inlineStr">
        <is>
          <t>2026 W9</t>
        </is>
      </c>
      <c r="B44" s="9" t="n">
        <v>9</v>
      </c>
      <c r="C44" s="10" t="n">
        <v>1095</v>
      </c>
      <c r="D44" s="11" t="n">
        <v>77374</v>
      </c>
      <c r="E44" s="12" t="n">
        <v>70.66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440</v>
      </c>
      <c r="N44" s="10" t="n">
        <v>655</v>
      </c>
    </row>
    <row r="45">
      <c r="A45" s="14" t="inlineStr">
        <is>
          <t>2026 W10</t>
        </is>
      </c>
      <c r="B45" s="14" t="n">
        <v>10</v>
      </c>
      <c r="C45" s="15" t="n">
        <v>1075</v>
      </c>
      <c r="D45" s="16" t="n">
        <v>78871</v>
      </c>
      <c r="E45" s="17" t="n">
        <v>73.37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476</v>
      </c>
      <c r="N45" s="15" t="n">
        <v>599</v>
      </c>
    </row>
    <row r="46">
      <c r="A46" s="9" t="inlineStr">
        <is>
          <t>2026 W11</t>
        </is>
      </c>
      <c r="B46" s="9" t="n">
        <v>11</v>
      </c>
      <c r="C46" s="10" t="n">
        <v>1195</v>
      </c>
      <c r="D46" s="11" t="n">
        <v>71668</v>
      </c>
      <c r="E46" s="12" t="n">
        <v>59.97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549</v>
      </c>
      <c r="N46" s="10" t="n">
        <v>646</v>
      </c>
    </row>
    <row r="47">
      <c r="A47" s="14" t="inlineStr">
        <is>
          <t>2026 W12</t>
        </is>
      </c>
      <c r="B47" s="14" t="n">
        <v>12</v>
      </c>
      <c r="C47" s="15" t="n">
        <v>1140</v>
      </c>
      <c r="D47" s="16" t="n">
        <v>60811</v>
      </c>
      <c r="E47" s="17" t="n">
        <v>53.34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479</v>
      </c>
      <c r="N47" s="15" t="n">
        <v>661</v>
      </c>
    </row>
    <row r="48">
      <c r="A48" s="9" t="inlineStr">
        <is>
          <t>2026 W13</t>
        </is>
      </c>
      <c r="B48" s="9" t="n">
        <v>13</v>
      </c>
      <c r="C48" s="10" t="n">
        <v>1170</v>
      </c>
      <c r="D48" s="11" t="n">
        <v>69335</v>
      </c>
      <c r="E48" s="12" t="n">
        <v>59.26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474</v>
      </c>
      <c r="N48" s="10" t="n">
        <v>696</v>
      </c>
    </row>
    <row r="49">
      <c r="A49" s="14" t="inlineStr">
        <is>
          <t>2026 W14</t>
        </is>
      </c>
      <c r="B49" s="14" t="n">
        <v>14</v>
      </c>
      <c r="C49" s="15" t="n">
        <v>1148</v>
      </c>
      <c r="D49" s="16" t="n">
        <v>66262</v>
      </c>
      <c r="E49" s="17" t="n">
        <v>57.72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465</v>
      </c>
      <c r="N49" s="15" t="n">
        <v>683</v>
      </c>
    </row>
    <row r="50">
      <c r="A50" s="9" t="inlineStr">
        <is>
          <t>2026 W15</t>
        </is>
      </c>
      <c r="B50" s="9" t="n">
        <v>15</v>
      </c>
      <c r="C50" s="10" t="n">
        <v>886</v>
      </c>
      <c r="D50" s="11" t="n">
        <v>60766</v>
      </c>
      <c r="E50" s="12" t="n">
        <v>68.59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359</v>
      </c>
      <c r="N50" s="10" t="n">
        <v>527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1029</v>
      </c>
      <c r="G51" s="23" t="n">
        <v>823</v>
      </c>
      <c r="H51" s="23" t="n">
        <v>1235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1029</v>
      </c>
      <c r="G52" s="23" t="n">
        <v>823</v>
      </c>
      <c r="H52" s="23" t="n">
        <v>1235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754</v>
      </c>
      <c r="G53" s="23" t="n">
        <v>603</v>
      </c>
      <c r="H53" s="23" t="n">
        <v>905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754</v>
      </c>
      <c r="G54" s="23" t="n">
        <v>603</v>
      </c>
      <c r="H54" s="23" t="n">
        <v>905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754</v>
      </c>
      <c r="G55" s="23" t="n">
        <v>603</v>
      </c>
      <c r="H55" s="23" t="n">
        <v>905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754</v>
      </c>
      <c r="G56" s="23" t="n">
        <v>603</v>
      </c>
      <c r="H56" s="23" t="n">
        <v>905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754</v>
      </c>
      <c r="G57" s="23" t="n">
        <v>603</v>
      </c>
      <c r="H57" s="23" t="n">
        <v>905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1034</v>
      </c>
      <c r="G58" s="23" t="n">
        <v>827</v>
      </c>
      <c r="H58" s="23" t="n">
        <v>1241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1034</v>
      </c>
      <c r="G59" s="23" t="n">
        <v>827</v>
      </c>
      <c r="H59" s="23" t="n">
        <v>1241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1034</v>
      </c>
      <c r="G60" s="23" t="n">
        <v>827</v>
      </c>
      <c r="H60" s="23" t="n">
        <v>1241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1034</v>
      </c>
      <c r="G61" s="23" t="n">
        <v>827</v>
      </c>
      <c r="H61" s="23" t="n">
        <v>1241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857</v>
      </c>
      <c r="G62" s="23" t="n">
        <v>686</v>
      </c>
      <c r="H62" s="23" t="n">
        <v>1028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857</v>
      </c>
      <c r="G63" s="23" t="n">
        <v>686</v>
      </c>
      <c r="H63" s="23" t="n">
        <v>1028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857</v>
      </c>
      <c r="G64" s="23" t="n">
        <v>686</v>
      </c>
      <c r="H64" s="23" t="n">
        <v>1028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857</v>
      </c>
      <c r="G65" s="23" t="n">
        <v>686</v>
      </c>
      <c r="H65" s="23" t="n">
        <v>1028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857</v>
      </c>
      <c r="G66" s="23" t="n">
        <v>686</v>
      </c>
      <c r="H66" s="23" t="n">
        <v>1028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917</v>
      </c>
      <c r="G67" s="23" t="n">
        <v>734</v>
      </c>
      <c r="H67" s="23" t="n">
        <v>1100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917</v>
      </c>
      <c r="G68" s="23" t="n">
        <v>734</v>
      </c>
      <c r="H68" s="23" t="n">
        <v>1100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917</v>
      </c>
      <c r="G69" s="23" t="n">
        <v>734</v>
      </c>
      <c r="H69" s="23" t="n">
        <v>1100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917</v>
      </c>
      <c r="G70" s="23" t="n">
        <v>734</v>
      </c>
      <c r="H70" s="23" t="n">
        <v>1100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1303</v>
      </c>
      <c r="G71" s="23" t="n">
        <v>1042</v>
      </c>
      <c r="H71" s="23" t="n">
        <v>1564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1303</v>
      </c>
      <c r="G72" s="23" t="n">
        <v>1042</v>
      </c>
      <c r="H72" s="23" t="n">
        <v>1564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1303</v>
      </c>
      <c r="G73" s="23" t="n">
        <v>1042</v>
      </c>
      <c r="H73" s="23" t="n">
        <v>1564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1303</v>
      </c>
      <c r="G74" s="23" t="n">
        <v>1042</v>
      </c>
      <c r="H74" s="23" t="n">
        <v>1564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1045</v>
      </c>
      <c r="G75" s="23" t="n">
        <v>836</v>
      </c>
      <c r="H75" s="23" t="n">
        <v>1254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1045</v>
      </c>
      <c r="G76" s="23" t="n">
        <v>836</v>
      </c>
      <c r="H76" s="23" t="n">
        <v>1254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1045</v>
      </c>
      <c r="G77" s="23" t="n">
        <v>836</v>
      </c>
      <c r="H77" s="23" t="n">
        <v>1254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1045</v>
      </c>
      <c r="G78" s="23" t="n">
        <v>836</v>
      </c>
      <c r="H78" s="23" t="n">
        <v>1254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1045</v>
      </c>
      <c r="G79" s="23" t="n">
        <v>836</v>
      </c>
      <c r="H79" s="23" t="n">
        <v>1254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1336</v>
      </c>
      <c r="G80" s="23" t="n">
        <v>1069</v>
      </c>
      <c r="H80" s="23" t="n">
        <v>1603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1336</v>
      </c>
      <c r="G81" s="23" t="n">
        <v>1069</v>
      </c>
      <c r="H81" s="23" t="n">
        <v>1603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1336</v>
      </c>
      <c r="G82" s="23" t="n">
        <v>1069</v>
      </c>
      <c r="H82" s="23" t="n">
        <v>1603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1336</v>
      </c>
      <c r="G83" s="23" t="n">
        <v>1069</v>
      </c>
      <c r="H83" s="23" t="n">
        <v>1603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910</v>
      </c>
      <c r="G84" s="23" t="n">
        <v>728</v>
      </c>
      <c r="H84" s="23" t="n">
        <v>1092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910</v>
      </c>
      <c r="G85" s="23" t="n">
        <v>728</v>
      </c>
      <c r="H85" s="23" t="n">
        <v>1092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910</v>
      </c>
      <c r="G86" s="23" t="n">
        <v>728</v>
      </c>
      <c r="H86" s="23" t="n">
        <v>1092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910</v>
      </c>
      <c r="G87" s="23" t="n">
        <v>728</v>
      </c>
      <c r="H87" s="23" t="n">
        <v>1092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E74C3C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39" t="inlineStr">
        <is>
          <t>IT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18,802</t>
        </is>
      </c>
      <c r="B4" s="5" t="n"/>
      <c r="C4" s="6" t="inlineStr">
        <is>
          <t>$1,372,130</t>
        </is>
      </c>
      <c r="D4" s="5" t="n"/>
      <c r="E4" s="6" t="inlineStr">
        <is>
          <t>$72.98</t>
        </is>
      </c>
      <c r="F4" s="5" t="n"/>
      <c r="G4" s="6" t="inlineStr">
        <is>
          <t>-50.4%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40" t="inlineStr">
        <is>
          <t>Period</t>
        </is>
      </c>
      <c r="B9" s="40" t="inlineStr">
        <is>
          <t>Actual Regs</t>
        </is>
      </c>
      <c r="C9" s="40" t="inlineStr">
        <is>
          <t>Pred Regs</t>
        </is>
      </c>
      <c r="D9" s="40" t="inlineStr">
        <is>
          <t>CI Low</t>
        </is>
      </c>
      <c r="E9" s="40" t="inlineStr">
        <is>
          <t>CI High</t>
        </is>
      </c>
      <c r="F9" s="40" t="inlineStr">
        <is>
          <t>OP2 Target</t>
        </is>
      </c>
      <c r="G9" s="40" t="inlineStr">
        <is>
          <t>vs OP2 %</t>
        </is>
      </c>
      <c r="H9" s="40" t="inlineStr">
        <is>
          <t>Error %</t>
        </is>
      </c>
      <c r="I9" s="40" t="inlineStr">
        <is>
          <t>Confidence</t>
        </is>
      </c>
      <c r="J9" s="40" t="inlineStr">
        <is>
          <t>Score</t>
        </is>
      </c>
      <c r="K9" s="40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64434.44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40" t="inlineStr">
        <is>
          <t>Period</t>
        </is>
      </c>
      <c r="B13" s="40" t="inlineStr">
        <is>
          <t>Actual Regs</t>
        </is>
      </c>
      <c r="C13" s="40" t="inlineStr">
        <is>
          <t>Pred Regs</t>
        </is>
      </c>
      <c r="D13" s="40" t="inlineStr">
        <is>
          <t>CI Low</t>
        </is>
      </c>
      <c r="E13" s="40" t="inlineStr">
        <is>
          <t>CI High</t>
        </is>
      </c>
      <c r="F13" s="40" t="inlineStr">
        <is>
          <t>OP2 Target</t>
        </is>
      </c>
      <c r="G13" s="40" t="inlineStr">
        <is>
          <t>vs OP2 %</t>
        </is>
      </c>
      <c r="H13" s="40" t="inlineStr">
        <is>
          <t>Error %</t>
        </is>
      </c>
      <c r="I13" s="40" t="inlineStr">
        <is>
          <t>Confidence</t>
        </is>
      </c>
      <c r="J13" s="40" t="inlineStr">
        <is>
          <t>Score</t>
        </is>
      </c>
      <c r="K13" s="40" t="inlineStr">
        <is>
          <t>Notes</t>
        </is>
      </c>
    </row>
    <row r="14">
      <c r="A14" s="9" t="inlineStr">
        <is>
          <t>Q1</t>
        </is>
      </c>
      <c r="B14" s="10" t="n">
        <v>16492</v>
      </c>
      <c r="C14" s="10" t="n"/>
      <c r="D14" s="10" t="n"/>
      <c r="E14" s="10" t="n"/>
      <c r="F14" s="10" t="n">
        <v>16544.69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15337.48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15004.41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17547.86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40" t="inlineStr">
        <is>
          <t>Period</t>
        </is>
      </c>
      <c r="B20" s="40" t="inlineStr">
        <is>
          <t>Actual Regs</t>
        </is>
      </c>
      <c r="C20" s="40" t="inlineStr">
        <is>
          <t>Pred Regs</t>
        </is>
      </c>
      <c r="D20" s="40" t="inlineStr">
        <is>
          <t>CI Low</t>
        </is>
      </c>
      <c r="E20" s="40" t="inlineStr">
        <is>
          <t>CI High</t>
        </is>
      </c>
      <c r="F20" s="40" t="inlineStr">
        <is>
          <t>OP2 Target</t>
        </is>
      </c>
      <c r="G20" s="40" t="inlineStr">
        <is>
          <t>vs OP2 %</t>
        </is>
      </c>
      <c r="H20" s="40" t="inlineStr">
        <is>
          <t>Error %</t>
        </is>
      </c>
      <c r="I20" s="40" t="inlineStr">
        <is>
          <t>Confidence</t>
        </is>
      </c>
      <c r="J20" s="40" t="inlineStr">
        <is>
          <t>Score</t>
        </is>
      </c>
      <c r="K20" s="40" t="inlineStr">
        <is>
          <t>Notes</t>
        </is>
      </c>
    </row>
    <row r="21">
      <c r="A21" s="9" t="inlineStr">
        <is>
          <t>Jan</t>
        </is>
      </c>
      <c r="B21" s="10" t="n">
        <v>4714</v>
      </c>
      <c r="C21" s="10" t="n"/>
      <c r="D21" s="10" t="n"/>
      <c r="E21" s="10" t="n"/>
      <c r="F21" s="10" t="n">
        <v>5625.25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5279</v>
      </c>
      <c r="C22" s="15" t="n"/>
      <c r="D22" s="15" t="n"/>
      <c r="E22" s="15" t="n"/>
      <c r="F22" s="15" t="n">
        <v>5355.99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6499</v>
      </c>
      <c r="C23" s="10" t="n"/>
      <c r="D23" s="10" t="n"/>
      <c r="E23" s="10" t="n"/>
      <c r="F23" s="10" t="n">
        <v>5563.45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5041.84</v>
      </c>
      <c r="D24" s="23" t="n">
        <v>4286</v>
      </c>
      <c r="E24" s="23" t="n">
        <v>5798</v>
      </c>
      <c r="F24" s="23" t="n">
        <v>5041.84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5352.72</v>
      </c>
      <c r="D25" s="23" t="n">
        <v>4550</v>
      </c>
      <c r="E25" s="23" t="n">
        <v>6156</v>
      </c>
      <c r="F25" s="23" t="n">
        <v>5352.72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4942.92</v>
      </c>
      <c r="D26" s="23" t="n">
        <v>4201</v>
      </c>
      <c r="E26" s="23" t="n">
        <v>5684</v>
      </c>
      <c r="F26" s="23" t="n">
        <v>4942.92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5285.77</v>
      </c>
      <c r="D27" s="23" t="n">
        <v>4493</v>
      </c>
      <c r="E27" s="23" t="n">
        <v>6079</v>
      </c>
      <c r="F27" s="23" t="n">
        <v>5285.77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3838</v>
      </c>
      <c r="D28" s="23" t="n">
        <v>3262</v>
      </c>
      <c r="E28" s="23" t="n">
        <v>4414</v>
      </c>
      <c r="F28" s="23" t="n">
        <v>3838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5880.64</v>
      </c>
      <c r="D29" s="23" t="n">
        <v>4999</v>
      </c>
      <c r="E29" s="23" t="n">
        <v>6763</v>
      </c>
      <c r="F29" s="23" t="n">
        <v>5880.64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6410.28</v>
      </c>
      <c r="D30" s="23" t="n">
        <v>5449</v>
      </c>
      <c r="E30" s="23" t="n">
        <v>7372</v>
      </c>
      <c r="F30" s="23" t="n">
        <v>6410.28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6449.8</v>
      </c>
      <c r="D31" s="23" t="n">
        <v>5482</v>
      </c>
      <c r="E31" s="23" t="n">
        <v>7417</v>
      </c>
      <c r="F31" s="23" t="n">
        <v>6449.8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4687.78</v>
      </c>
      <c r="D32" s="23" t="n">
        <v>3985</v>
      </c>
      <c r="E32" s="23" t="n">
        <v>5391</v>
      </c>
      <c r="F32" s="23" t="n">
        <v>4687.78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40" t="inlineStr">
        <is>
          <t>Week</t>
        </is>
      </c>
      <c r="B35" s="40" t="inlineStr">
        <is>
          <t>Wk#</t>
        </is>
      </c>
      <c r="C35" s="40" t="inlineStr">
        <is>
          <t>Actual Regs</t>
        </is>
      </c>
      <c r="D35" s="40" t="inlineStr">
        <is>
          <t>Actual Cost</t>
        </is>
      </c>
      <c r="E35" s="40" t="inlineStr">
        <is>
          <t>Actual CPA</t>
        </is>
      </c>
      <c r="F35" s="40" t="inlineStr">
        <is>
          <t>Pred Regs</t>
        </is>
      </c>
      <c r="G35" s="40" t="inlineStr">
        <is>
          <t>CI Low</t>
        </is>
      </c>
      <c r="H35" s="40" t="inlineStr">
        <is>
          <t>CI High</t>
        </is>
      </c>
      <c r="I35" s="40" t="inlineStr">
        <is>
          <t>Confidence</t>
        </is>
      </c>
      <c r="J35" s="40" t="inlineStr">
        <is>
          <t>Error %</t>
        </is>
      </c>
      <c r="K35" s="40" t="inlineStr">
        <is>
          <t>Within CI</t>
        </is>
      </c>
      <c r="L35" s="40" t="inlineStr">
        <is>
          <t>WoW Δ%</t>
        </is>
      </c>
      <c r="M35" s="40" t="inlineStr">
        <is>
          <t>Brand Regs</t>
        </is>
      </c>
      <c r="N35" s="40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722</v>
      </c>
      <c r="D36" s="11" t="n">
        <v>40763</v>
      </c>
      <c r="E36" s="12" t="n">
        <v>56.46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505</v>
      </c>
      <c r="N36" s="10" t="n">
        <v>217</v>
      </c>
    </row>
    <row r="37">
      <c r="A37" s="14" t="inlineStr">
        <is>
          <t>2026 W2</t>
        </is>
      </c>
      <c r="B37" s="14" t="n">
        <v>2</v>
      </c>
      <c r="C37" s="15" t="n">
        <v>1301</v>
      </c>
      <c r="D37" s="16" t="n">
        <v>76620</v>
      </c>
      <c r="E37" s="17" t="n">
        <v>58.89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978</v>
      </c>
      <c r="N37" s="15" t="n">
        <v>323</v>
      </c>
    </row>
    <row r="38">
      <c r="A38" s="9" t="inlineStr">
        <is>
          <t>2026 W3</t>
        </is>
      </c>
      <c r="B38" s="9" t="n">
        <v>3</v>
      </c>
      <c r="C38" s="10" t="n">
        <v>1372</v>
      </c>
      <c r="D38" s="11" t="n">
        <v>120319</v>
      </c>
      <c r="E38" s="12" t="n">
        <v>87.7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1024</v>
      </c>
      <c r="N38" s="10" t="n">
        <v>348</v>
      </c>
    </row>
    <row r="39">
      <c r="A39" s="14" t="inlineStr">
        <is>
          <t>2026 W4</t>
        </is>
      </c>
      <c r="B39" s="14" t="n">
        <v>4</v>
      </c>
      <c r="C39" s="15" t="n">
        <v>1319</v>
      </c>
      <c r="D39" s="16" t="n">
        <v>115803</v>
      </c>
      <c r="E39" s="17" t="n">
        <v>87.8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975</v>
      </c>
      <c r="N39" s="15" t="n">
        <v>344</v>
      </c>
    </row>
    <row r="40">
      <c r="A40" s="9" t="inlineStr">
        <is>
          <t>2026 W5</t>
        </is>
      </c>
      <c r="B40" s="9" t="n">
        <v>5</v>
      </c>
      <c r="C40" s="10" t="n">
        <v>1365</v>
      </c>
      <c r="D40" s="11" t="n">
        <v>83525</v>
      </c>
      <c r="E40" s="12" t="n">
        <v>61.19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1053</v>
      </c>
      <c r="N40" s="10" t="n">
        <v>312</v>
      </c>
    </row>
    <row r="41">
      <c r="A41" s="14" t="inlineStr">
        <is>
          <t>2026 W6</t>
        </is>
      </c>
      <c r="B41" s="14" t="n">
        <v>6</v>
      </c>
      <c r="C41" s="15" t="n">
        <v>1340</v>
      </c>
      <c r="D41" s="16" t="n">
        <v>77304</v>
      </c>
      <c r="E41" s="17" t="n">
        <v>57.69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1047</v>
      </c>
      <c r="N41" s="15" t="n">
        <v>293</v>
      </c>
    </row>
    <row r="42">
      <c r="A42" s="9" t="inlineStr">
        <is>
          <t>2026 W7</t>
        </is>
      </c>
      <c r="B42" s="9" t="n">
        <v>7</v>
      </c>
      <c r="C42" s="10" t="n">
        <v>1271</v>
      </c>
      <c r="D42" s="11" t="n">
        <v>95006</v>
      </c>
      <c r="E42" s="12" t="n">
        <v>74.75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903</v>
      </c>
      <c r="N42" s="10" t="n">
        <v>368</v>
      </c>
    </row>
    <row r="43">
      <c r="A43" s="14" t="inlineStr">
        <is>
          <t>2026 W8</t>
        </is>
      </c>
      <c r="B43" s="14" t="n">
        <v>8</v>
      </c>
      <c r="C43" s="15" t="n">
        <v>1303</v>
      </c>
      <c r="D43" s="16" t="n">
        <v>102678</v>
      </c>
      <c r="E43" s="17" t="n">
        <v>78.8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951</v>
      </c>
      <c r="N43" s="15" t="n">
        <v>352</v>
      </c>
    </row>
    <row r="44">
      <c r="A44" s="9" t="inlineStr">
        <is>
          <t>2026 W9</t>
        </is>
      </c>
      <c r="B44" s="9" t="n">
        <v>9</v>
      </c>
      <c r="C44" s="10" t="n">
        <v>1327</v>
      </c>
      <c r="D44" s="11" t="n">
        <v>98316</v>
      </c>
      <c r="E44" s="12" t="n">
        <v>74.09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951</v>
      </c>
      <c r="N44" s="10" t="n">
        <v>376</v>
      </c>
    </row>
    <row r="45">
      <c r="A45" s="14" t="inlineStr">
        <is>
          <t>2026 W10</t>
        </is>
      </c>
      <c r="B45" s="14" t="n">
        <v>10</v>
      </c>
      <c r="C45" s="15" t="n">
        <v>1150</v>
      </c>
      <c r="D45" s="16" t="n">
        <v>98845</v>
      </c>
      <c r="E45" s="17" t="n">
        <v>85.95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802</v>
      </c>
      <c r="N45" s="15" t="n">
        <v>348</v>
      </c>
    </row>
    <row r="46">
      <c r="A46" s="9" t="inlineStr">
        <is>
          <t>2026 W11</t>
        </is>
      </c>
      <c r="B46" s="9" t="n">
        <v>11</v>
      </c>
      <c r="C46" s="10" t="n">
        <v>1439</v>
      </c>
      <c r="D46" s="11" t="n">
        <v>93470</v>
      </c>
      <c r="E46" s="12" t="n">
        <v>64.95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1024</v>
      </c>
      <c r="N46" s="10" t="n">
        <v>415</v>
      </c>
    </row>
    <row r="47">
      <c r="A47" s="14" t="inlineStr">
        <is>
          <t>2026 W12</t>
        </is>
      </c>
      <c r="B47" s="14" t="n">
        <v>12</v>
      </c>
      <c r="C47" s="15" t="n">
        <v>1244</v>
      </c>
      <c r="D47" s="16" t="n">
        <v>77673</v>
      </c>
      <c r="E47" s="17" t="n">
        <v>62.44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899</v>
      </c>
      <c r="N47" s="15" t="n">
        <v>345</v>
      </c>
    </row>
    <row r="48">
      <c r="A48" s="9" t="inlineStr">
        <is>
          <t>2026 W13</t>
        </is>
      </c>
      <c r="B48" s="9" t="n">
        <v>13</v>
      </c>
      <c r="C48" s="10" t="n">
        <v>1339</v>
      </c>
      <c r="D48" s="11" t="n">
        <v>97115</v>
      </c>
      <c r="E48" s="12" t="n">
        <v>72.53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920</v>
      </c>
      <c r="N48" s="10" t="n">
        <v>419</v>
      </c>
    </row>
    <row r="49">
      <c r="A49" s="14" t="inlineStr">
        <is>
          <t>2026 W14</t>
        </is>
      </c>
      <c r="B49" s="14" t="n">
        <v>14</v>
      </c>
      <c r="C49" s="15" t="n">
        <v>1320</v>
      </c>
      <c r="D49" s="16" t="n">
        <v>95028</v>
      </c>
      <c r="E49" s="17" t="n">
        <v>71.98999999999999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868</v>
      </c>
      <c r="N49" s="15" t="n">
        <v>452</v>
      </c>
    </row>
    <row r="50">
      <c r="A50" s="9" t="inlineStr">
        <is>
          <t>2026 W15</t>
        </is>
      </c>
      <c r="B50" s="9" t="n">
        <v>15</v>
      </c>
      <c r="C50" s="10" t="n">
        <v>990</v>
      </c>
      <c r="D50" s="11" t="n">
        <v>99666</v>
      </c>
      <c r="E50" s="12" t="n">
        <v>100.67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675</v>
      </c>
      <c r="N50" s="10" t="n">
        <v>315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1260</v>
      </c>
      <c r="G51" s="23" t="n">
        <v>1008</v>
      </c>
      <c r="H51" s="23" t="n">
        <v>1512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1260</v>
      </c>
      <c r="G52" s="23" t="n">
        <v>1008</v>
      </c>
      <c r="H52" s="23" t="n">
        <v>1512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1071</v>
      </c>
      <c r="G53" s="23" t="n">
        <v>857</v>
      </c>
      <c r="H53" s="23" t="n">
        <v>1285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1071</v>
      </c>
      <c r="G54" s="23" t="n">
        <v>857</v>
      </c>
      <c r="H54" s="23" t="n">
        <v>1285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1071</v>
      </c>
      <c r="G55" s="23" t="n">
        <v>857</v>
      </c>
      <c r="H55" s="23" t="n">
        <v>1285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1071</v>
      </c>
      <c r="G56" s="23" t="n">
        <v>857</v>
      </c>
      <c r="H56" s="23" t="n">
        <v>1285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1071</v>
      </c>
      <c r="G57" s="23" t="n">
        <v>857</v>
      </c>
      <c r="H57" s="23" t="n">
        <v>1285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1236</v>
      </c>
      <c r="G58" s="23" t="n">
        <v>989</v>
      </c>
      <c r="H58" s="23" t="n">
        <v>1483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1236</v>
      </c>
      <c r="G59" s="23" t="n">
        <v>989</v>
      </c>
      <c r="H59" s="23" t="n">
        <v>1483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1236</v>
      </c>
      <c r="G60" s="23" t="n">
        <v>989</v>
      </c>
      <c r="H60" s="23" t="n">
        <v>1483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1236</v>
      </c>
      <c r="G61" s="23" t="n">
        <v>989</v>
      </c>
      <c r="H61" s="23" t="n">
        <v>1483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1057</v>
      </c>
      <c r="G62" s="23" t="n">
        <v>846</v>
      </c>
      <c r="H62" s="23" t="n">
        <v>1268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1057</v>
      </c>
      <c r="G63" s="23" t="n">
        <v>846</v>
      </c>
      <c r="H63" s="23" t="n">
        <v>1268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1057</v>
      </c>
      <c r="G64" s="23" t="n">
        <v>846</v>
      </c>
      <c r="H64" s="23" t="n">
        <v>1268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1057</v>
      </c>
      <c r="G65" s="23" t="n">
        <v>846</v>
      </c>
      <c r="H65" s="23" t="n">
        <v>1268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1057</v>
      </c>
      <c r="G66" s="23" t="n">
        <v>846</v>
      </c>
      <c r="H66" s="23" t="n">
        <v>1268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960</v>
      </c>
      <c r="G67" s="23" t="n">
        <v>768</v>
      </c>
      <c r="H67" s="23" t="n">
        <v>1152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960</v>
      </c>
      <c r="G68" s="23" t="n">
        <v>768</v>
      </c>
      <c r="H68" s="23" t="n">
        <v>1152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960</v>
      </c>
      <c r="G69" s="23" t="n">
        <v>768</v>
      </c>
      <c r="H69" s="23" t="n">
        <v>1152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960</v>
      </c>
      <c r="G70" s="23" t="n">
        <v>768</v>
      </c>
      <c r="H70" s="23" t="n">
        <v>1152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1470</v>
      </c>
      <c r="G71" s="23" t="n">
        <v>1176</v>
      </c>
      <c r="H71" s="23" t="n">
        <v>1764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1470</v>
      </c>
      <c r="G72" s="23" t="n">
        <v>1176</v>
      </c>
      <c r="H72" s="23" t="n">
        <v>1764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1470</v>
      </c>
      <c r="G73" s="23" t="n">
        <v>1176</v>
      </c>
      <c r="H73" s="23" t="n">
        <v>1764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1470</v>
      </c>
      <c r="G74" s="23" t="n">
        <v>1176</v>
      </c>
      <c r="H74" s="23" t="n">
        <v>1764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1282</v>
      </c>
      <c r="G75" s="23" t="n">
        <v>1026</v>
      </c>
      <c r="H75" s="23" t="n">
        <v>1538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1282</v>
      </c>
      <c r="G76" s="23" t="n">
        <v>1026</v>
      </c>
      <c r="H76" s="23" t="n">
        <v>1538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1282</v>
      </c>
      <c r="G77" s="23" t="n">
        <v>1026</v>
      </c>
      <c r="H77" s="23" t="n">
        <v>1538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1282</v>
      </c>
      <c r="G78" s="23" t="n">
        <v>1026</v>
      </c>
      <c r="H78" s="23" t="n">
        <v>1538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1282</v>
      </c>
      <c r="G79" s="23" t="n">
        <v>1026</v>
      </c>
      <c r="H79" s="23" t="n">
        <v>1538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1612</v>
      </c>
      <c r="G80" s="23" t="n">
        <v>1290</v>
      </c>
      <c r="H80" s="23" t="n">
        <v>1934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1612</v>
      </c>
      <c r="G81" s="23" t="n">
        <v>1290</v>
      </c>
      <c r="H81" s="23" t="n">
        <v>1934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1612</v>
      </c>
      <c r="G82" s="23" t="n">
        <v>1290</v>
      </c>
      <c r="H82" s="23" t="n">
        <v>1934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1612</v>
      </c>
      <c r="G83" s="23" t="n">
        <v>1290</v>
      </c>
      <c r="H83" s="23" t="n">
        <v>1934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1172</v>
      </c>
      <c r="G84" s="23" t="n">
        <v>938</v>
      </c>
      <c r="H84" s="23" t="n">
        <v>1406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1172</v>
      </c>
      <c r="G85" s="23" t="n">
        <v>938</v>
      </c>
      <c r="H85" s="23" t="n">
        <v>1406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1172</v>
      </c>
      <c r="G86" s="23" t="n">
        <v>938</v>
      </c>
      <c r="H86" s="23" t="n">
        <v>1406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1172</v>
      </c>
      <c r="G87" s="23" t="n">
        <v>938</v>
      </c>
      <c r="H87" s="23" t="n">
        <v>1406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1ABC9C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41" t="inlineStr">
        <is>
          <t>ES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9,148</t>
        </is>
      </c>
      <c r="B4" s="5" t="n"/>
      <c r="C4" s="6" t="inlineStr">
        <is>
          <t>$537,379</t>
        </is>
      </c>
      <c r="D4" s="5" t="n"/>
      <c r="E4" s="6" t="inlineStr">
        <is>
          <t>$58.74</t>
        </is>
      </c>
      <c r="F4" s="5" t="n"/>
      <c r="G4" s="6" t="inlineStr">
        <is>
          <t>-42.0%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42" t="inlineStr">
        <is>
          <t>Period</t>
        </is>
      </c>
      <c r="B9" s="42" t="inlineStr">
        <is>
          <t>Actual Regs</t>
        </is>
      </c>
      <c r="C9" s="42" t="inlineStr">
        <is>
          <t>Pred Regs</t>
        </is>
      </c>
      <c r="D9" s="42" t="inlineStr">
        <is>
          <t>CI Low</t>
        </is>
      </c>
      <c r="E9" s="42" t="inlineStr">
        <is>
          <t>CI High</t>
        </is>
      </c>
      <c r="F9" s="42" t="inlineStr">
        <is>
          <t>OP2 Target</t>
        </is>
      </c>
      <c r="G9" s="42" t="inlineStr">
        <is>
          <t>vs OP2 %</t>
        </is>
      </c>
      <c r="H9" s="42" t="inlineStr">
        <is>
          <t>Error %</t>
        </is>
      </c>
      <c r="I9" s="42" t="inlineStr">
        <is>
          <t>Confidence</t>
        </is>
      </c>
      <c r="J9" s="42" t="inlineStr">
        <is>
          <t>Score</t>
        </is>
      </c>
      <c r="K9" s="42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29954.96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42" t="inlineStr">
        <is>
          <t>Period</t>
        </is>
      </c>
      <c r="B13" s="42" t="inlineStr">
        <is>
          <t>Actual Regs</t>
        </is>
      </c>
      <c r="C13" s="42" t="inlineStr">
        <is>
          <t>Pred Regs</t>
        </is>
      </c>
      <c r="D13" s="42" t="inlineStr">
        <is>
          <t>CI Low</t>
        </is>
      </c>
      <c r="E13" s="42" t="inlineStr">
        <is>
          <t>CI High</t>
        </is>
      </c>
      <c r="F13" s="42" t="inlineStr">
        <is>
          <t>OP2 Target</t>
        </is>
      </c>
      <c r="G13" s="42" t="inlineStr">
        <is>
          <t>vs OP2 %</t>
        </is>
      </c>
      <c r="H13" s="42" t="inlineStr">
        <is>
          <t>Error %</t>
        </is>
      </c>
      <c r="I13" s="42" t="inlineStr">
        <is>
          <t>Confidence</t>
        </is>
      </c>
      <c r="J13" s="42" t="inlineStr">
        <is>
          <t>Score</t>
        </is>
      </c>
      <c r="K13" s="42" t="inlineStr">
        <is>
          <t>Notes</t>
        </is>
      </c>
    </row>
    <row r="14">
      <c r="A14" s="9" t="inlineStr">
        <is>
          <t>Q1</t>
        </is>
      </c>
      <c r="B14" s="10" t="n">
        <v>8075</v>
      </c>
      <c r="C14" s="10" t="n"/>
      <c r="D14" s="10" t="n"/>
      <c r="E14" s="10" t="n"/>
      <c r="F14" s="10" t="n">
        <v>7282.860000000001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6770.379999999999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7373.57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8528.15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42" t="inlineStr">
        <is>
          <t>Period</t>
        </is>
      </c>
      <c r="B20" s="42" t="inlineStr">
        <is>
          <t>Actual Regs</t>
        </is>
      </c>
      <c r="C20" s="42" t="inlineStr">
        <is>
          <t>Pred Regs</t>
        </is>
      </c>
      <c r="D20" s="42" t="inlineStr">
        <is>
          <t>CI Low</t>
        </is>
      </c>
      <c r="E20" s="42" t="inlineStr">
        <is>
          <t>CI High</t>
        </is>
      </c>
      <c r="F20" s="42" t="inlineStr">
        <is>
          <t>OP2 Target</t>
        </is>
      </c>
      <c r="G20" s="42" t="inlineStr">
        <is>
          <t>vs OP2 %</t>
        </is>
      </c>
      <c r="H20" s="42" t="inlineStr">
        <is>
          <t>Error %</t>
        </is>
      </c>
      <c r="I20" s="42" t="inlineStr">
        <is>
          <t>Confidence</t>
        </is>
      </c>
      <c r="J20" s="42" t="inlineStr">
        <is>
          <t>Score</t>
        </is>
      </c>
      <c r="K20" s="42" t="inlineStr">
        <is>
          <t>Notes</t>
        </is>
      </c>
    </row>
    <row r="21">
      <c r="A21" s="9" t="inlineStr">
        <is>
          <t>Jan</t>
        </is>
      </c>
      <c r="B21" s="10" t="n">
        <v>2240</v>
      </c>
      <c r="C21" s="10" t="n"/>
      <c r="D21" s="10" t="n"/>
      <c r="E21" s="10" t="n"/>
      <c r="F21" s="10" t="n">
        <v>2540.05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2579</v>
      </c>
      <c r="C22" s="15" t="n"/>
      <c r="D22" s="15" t="n"/>
      <c r="E22" s="15" t="n"/>
      <c r="F22" s="15" t="n">
        <v>2347.34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3256</v>
      </c>
      <c r="C23" s="10" t="n"/>
      <c r="D23" s="10" t="n"/>
      <c r="E23" s="10" t="n"/>
      <c r="F23" s="10" t="n">
        <v>2395.47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1964.3</v>
      </c>
      <c r="D24" s="23" t="n">
        <v>1670</v>
      </c>
      <c r="E24" s="23" t="n">
        <v>2259</v>
      </c>
      <c r="F24" s="23" t="n">
        <v>1964.3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2344.89</v>
      </c>
      <c r="D25" s="23" t="n">
        <v>1993</v>
      </c>
      <c r="E25" s="23" t="n">
        <v>2697</v>
      </c>
      <c r="F25" s="23" t="n">
        <v>2344.89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2461.19</v>
      </c>
      <c r="D26" s="23" t="n">
        <v>2092</v>
      </c>
      <c r="E26" s="23" t="n">
        <v>2830</v>
      </c>
      <c r="F26" s="23" t="n">
        <v>2461.19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2617.99</v>
      </c>
      <c r="D27" s="23" t="n">
        <v>2225</v>
      </c>
      <c r="E27" s="23" t="n">
        <v>3011</v>
      </c>
      <c r="F27" s="23" t="n">
        <v>2617.99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1895.55</v>
      </c>
      <c r="D28" s="23" t="n">
        <v>1611</v>
      </c>
      <c r="E28" s="23" t="n">
        <v>2180</v>
      </c>
      <c r="F28" s="23" t="n">
        <v>1895.55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2860.03</v>
      </c>
      <c r="D29" s="23" t="n">
        <v>2431</v>
      </c>
      <c r="E29" s="23" t="n">
        <v>3289</v>
      </c>
      <c r="F29" s="23" t="n">
        <v>2860.03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3249.69</v>
      </c>
      <c r="D30" s="23" t="n">
        <v>2762</v>
      </c>
      <c r="E30" s="23" t="n">
        <v>3737</v>
      </c>
      <c r="F30" s="23" t="n">
        <v>3249.69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3386.22</v>
      </c>
      <c r="D31" s="23" t="n">
        <v>2878</v>
      </c>
      <c r="E31" s="23" t="n">
        <v>3894</v>
      </c>
      <c r="F31" s="23" t="n">
        <v>3386.22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1892.24</v>
      </c>
      <c r="D32" s="23" t="n">
        <v>1608</v>
      </c>
      <c r="E32" s="23" t="n">
        <v>2176</v>
      </c>
      <c r="F32" s="23" t="n">
        <v>1892.24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42" t="inlineStr">
        <is>
          <t>Week</t>
        </is>
      </c>
      <c r="B35" s="42" t="inlineStr">
        <is>
          <t>Wk#</t>
        </is>
      </c>
      <c r="C35" s="42" t="inlineStr">
        <is>
          <t>Actual Regs</t>
        </is>
      </c>
      <c r="D35" s="42" t="inlineStr">
        <is>
          <t>Actual Cost</t>
        </is>
      </c>
      <c r="E35" s="42" t="inlineStr">
        <is>
          <t>Actual CPA</t>
        </is>
      </c>
      <c r="F35" s="42" t="inlineStr">
        <is>
          <t>Pred Regs</t>
        </is>
      </c>
      <c r="G35" s="42" t="inlineStr">
        <is>
          <t>CI Low</t>
        </is>
      </c>
      <c r="H35" s="42" t="inlineStr">
        <is>
          <t>CI High</t>
        </is>
      </c>
      <c r="I35" s="42" t="inlineStr">
        <is>
          <t>Confidence</t>
        </is>
      </c>
      <c r="J35" s="42" t="inlineStr">
        <is>
          <t>Error %</t>
        </is>
      </c>
      <c r="K35" s="42" t="inlineStr">
        <is>
          <t>Within CI</t>
        </is>
      </c>
      <c r="L35" s="42" t="inlineStr">
        <is>
          <t>WoW Δ%</t>
        </is>
      </c>
      <c r="M35" s="42" t="inlineStr">
        <is>
          <t>Brand Regs</t>
        </is>
      </c>
      <c r="N35" s="42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390</v>
      </c>
      <c r="D36" s="11" t="n">
        <v>21415</v>
      </c>
      <c r="E36" s="12" t="n">
        <v>54.91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269</v>
      </c>
      <c r="N36" s="10" t="n">
        <v>121</v>
      </c>
    </row>
    <row r="37">
      <c r="A37" s="14" t="inlineStr">
        <is>
          <t>2026 W2</t>
        </is>
      </c>
      <c r="B37" s="14" t="n">
        <v>2</v>
      </c>
      <c r="C37" s="15" t="n">
        <v>506</v>
      </c>
      <c r="D37" s="16" t="n">
        <v>38433</v>
      </c>
      <c r="E37" s="17" t="n">
        <v>75.95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322</v>
      </c>
      <c r="N37" s="15" t="n">
        <v>184</v>
      </c>
    </row>
    <row r="38">
      <c r="A38" s="9" t="inlineStr">
        <is>
          <t>2026 W3</t>
        </is>
      </c>
      <c r="B38" s="9" t="n">
        <v>3</v>
      </c>
      <c r="C38" s="10" t="n">
        <v>679</v>
      </c>
      <c r="D38" s="11" t="n">
        <v>40819</v>
      </c>
      <c r="E38" s="12" t="n">
        <v>60.12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454</v>
      </c>
      <c r="N38" s="10" t="n">
        <v>225</v>
      </c>
    </row>
    <row r="39">
      <c r="A39" s="14" t="inlineStr">
        <is>
          <t>2026 W4</t>
        </is>
      </c>
      <c r="B39" s="14" t="n">
        <v>4</v>
      </c>
      <c r="C39" s="15" t="n">
        <v>665</v>
      </c>
      <c r="D39" s="16" t="n">
        <v>32865</v>
      </c>
      <c r="E39" s="17" t="n">
        <v>49.42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439</v>
      </c>
      <c r="N39" s="15" t="n">
        <v>226</v>
      </c>
    </row>
    <row r="40">
      <c r="A40" s="9" t="inlineStr">
        <is>
          <t>2026 W5</t>
        </is>
      </c>
      <c r="B40" s="9" t="n">
        <v>5</v>
      </c>
      <c r="C40" s="10" t="n">
        <v>676</v>
      </c>
      <c r="D40" s="11" t="n">
        <v>32961</v>
      </c>
      <c r="E40" s="12" t="n">
        <v>48.76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471</v>
      </c>
      <c r="N40" s="10" t="n">
        <v>205</v>
      </c>
    </row>
    <row r="41">
      <c r="A41" s="14" t="inlineStr">
        <is>
          <t>2026 W6</t>
        </is>
      </c>
      <c r="B41" s="14" t="n">
        <v>6</v>
      </c>
      <c r="C41" s="15" t="n">
        <v>635</v>
      </c>
      <c r="D41" s="16" t="n">
        <v>32606</v>
      </c>
      <c r="E41" s="17" t="n">
        <v>51.35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410</v>
      </c>
      <c r="N41" s="15" t="n">
        <v>225</v>
      </c>
    </row>
    <row r="42">
      <c r="A42" s="9" t="inlineStr">
        <is>
          <t>2026 W7</t>
        </is>
      </c>
      <c r="B42" s="9" t="n">
        <v>7</v>
      </c>
      <c r="C42" s="10" t="n">
        <v>646</v>
      </c>
      <c r="D42" s="11" t="n">
        <v>35380</v>
      </c>
      <c r="E42" s="12" t="n">
        <v>54.77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403</v>
      </c>
      <c r="N42" s="10" t="n">
        <v>243</v>
      </c>
    </row>
    <row r="43">
      <c r="A43" s="14" t="inlineStr">
        <is>
          <t>2026 W8</t>
        </is>
      </c>
      <c r="B43" s="14" t="n">
        <v>8</v>
      </c>
      <c r="C43" s="15" t="n">
        <v>622</v>
      </c>
      <c r="D43" s="16" t="n">
        <v>37174</v>
      </c>
      <c r="E43" s="17" t="n">
        <v>59.77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409</v>
      </c>
      <c r="N43" s="15" t="n">
        <v>213</v>
      </c>
    </row>
    <row r="44">
      <c r="A44" s="9" t="inlineStr">
        <is>
          <t>2026 W9</t>
        </is>
      </c>
      <c r="B44" s="9" t="n">
        <v>9</v>
      </c>
      <c r="C44" s="10" t="n">
        <v>639</v>
      </c>
      <c r="D44" s="11" t="n">
        <v>40504</v>
      </c>
      <c r="E44" s="12" t="n">
        <v>63.39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394</v>
      </c>
      <c r="N44" s="10" t="n">
        <v>245</v>
      </c>
    </row>
    <row r="45">
      <c r="A45" s="14" t="inlineStr">
        <is>
          <t>2026 W10</t>
        </is>
      </c>
      <c r="B45" s="14" t="n">
        <v>10</v>
      </c>
      <c r="C45" s="15" t="n">
        <v>634</v>
      </c>
      <c r="D45" s="16" t="n">
        <v>43563</v>
      </c>
      <c r="E45" s="17" t="n">
        <v>68.70999999999999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382</v>
      </c>
      <c r="N45" s="15" t="n">
        <v>252</v>
      </c>
    </row>
    <row r="46">
      <c r="A46" s="9" t="inlineStr">
        <is>
          <t>2026 W11</t>
        </is>
      </c>
      <c r="B46" s="9" t="n">
        <v>11</v>
      </c>
      <c r="C46" s="10" t="n">
        <v>711</v>
      </c>
      <c r="D46" s="11" t="n">
        <v>40265</v>
      </c>
      <c r="E46" s="12" t="n">
        <v>56.63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436</v>
      </c>
      <c r="N46" s="10" t="n">
        <v>275</v>
      </c>
    </row>
    <row r="47">
      <c r="A47" s="14" t="inlineStr">
        <is>
          <t>2026 W12</t>
        </is>
      </c>
      <c r="B47" s="14" t="n">
        <v>12</v>
      </c>
      <c r="C47" s="15" t="n">
        <v>641</v>
      </c>
      <c r="D47" s="16" t="n">
        <v>32664</v>
      </c>
      <c r="E47" s="17" t="n">
        <v>50.96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392</v>
      </c>
      <c r="N47" s="15" t="n">
        <v>249</v>
      </c>
    </row>
    <row r="48">
      <c r="A48" s="9" t="inlineStr">
        <is>
          <t>2026 W13</t>
        </is>
      </c>
      <c r="B48" s="9" t="n">
        <v>13</v>
      </c>
      <c r="C48" s="10" t="n">
        <v>631</v>
      </c>
      <c r="D48" s="11" t="n">
        <v>38165</v>
      </c>
      <c r="E48" s="12" t="n">
        <v>60.48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354</v>
      </c>
      <c r="N48" s="10" t="n">
        <v>277</v>
      </c>
    </row>
    <row r="49">
      <c r="A49" s="14" t="inlineStr">
        <is>
          <t>2026 W14</t>
        </is>
      </c>
      <c r="B49" s="14" t="n">
        <v>14</v>
      </c>
      <c r="C49" s="15" t="n">
        <v>474</v>
      </c>
      <c r="D49" s="16" t="n">
        <v>30251</v>
      </c>
      <c r="E49" s="17" t="n">
        <v>63.82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285</v>
      </c>
      <c r="N49" s="15" t="n">
        <v>189</v>
      </c>
    </row>
    <row r="50">
      <c r="A50" s="9" t="inlineStr">
        <is>
          <t>2026 W15</t>
        </is>
      </c>
      <c r="B50" s="9" t="n">
        <v>15</v>
      </c>
      <c r="C50" s="10" t="n">
        <v>599</v>
      </c>
      <c r="D50" s="11" t="n">
        <v>40315</v>
      </c>
      <c r="E50" s="12" t="n">
        <v>67.3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356</v>
      </c>
      <c r="N50" s="10" t="n">
        <v>243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491</v>
      </c>
      <c r="G51" s="23" t="n">
        <v>393</v>
      </c>
      <c r="H51" s="23" t="n">
        <v>589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491</v>
      </c>
      <c r="G52" s="23" t="n">
        <v>393</v>
      </c>
      <c r="H52" s="23" t="n">
        <v>589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469</v>
      </c>
      <c r="G53" s="23" t="n">
        <v>375</v>
      </c>
      <c r="H53" s="23" t="n">
        <v>563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469</v>
      </c>
      <c r="G54" s="23" t="n">
        <v>375</v>
      </c>
      <c r="H54" s="23" t="n">
        <v>563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469</v>
      </c>
      <c r="G55" s="23" t="n">
        <v>375</v>
      </c>
      <c r="H55" s="23" t="n">
        <v>563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469</v>
      </c>
      <c r="G56" s="23" t="n">
        <v>375</v>
      </c>
      <c r="H56" s="23" t="n">
        <v>563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469</v>
      </c>
      <c r="G57" s="23" t="n">
        <v>375</v>
      </c>
      <c r="H57" s="23" t="n">
        <v>563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615</v>
      </c>
      <c r="G58" s="23" t="n">
        <v>492</v>
      </c>
      <c r="H58" s="23" t="n">
        <v>738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615</v>
      </c>
      <c r="G59" s="23" t="n">
        <v>492</v>
      </c>
      <c r="H59" s="23" t="n">
        <v>738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615</v>
      </c>
      <c r="G60" s="23" t="n">
        <v>492</v>
      </c>
      <c r="H60" s="23" t="n">
        <v>738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615</v>
      </c>
      <c r="G61" s="23" t="n">
        <v>492</v>
      </c>
      <c r="H61" s="23" t="n">
        <v>738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524</v>
      </c>
      <c r="G62" s="23" t="n">
        <v>419</v>
      </c>
      <c r="H62" s="23" t="n">
        <v>629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524</v>
      </c>
      <c r="G63" s="23" t="n">
        <v>419</v>
      </c>
      <c r="H63" s="23" t="n">
        <v>629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524</v>
      </c>
      <c r="G64" s="23" t="n">
        <v>419</v>
      </c>
      <c r="H64" s="23" t="n">
        <v>629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524</v>
      </c>
      <c r="G65" s="23" t="n">
        <v>419</v>
      </c>
      <c r="H65" s="23" t="n">
        <v>629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524</v>
      </c>
      <c r="G66" s="23" t="n">
        <v>419</v>
      </c>
      <c r="H66" s="23" t="n">
        <v>629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474</v>
      </c>
      <c r="G67" s="23" t="n">
        <v>379</v>
      </c>
      <c r="H67" s="23" t="n">
        <v>569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474</v>
      </c>
      <c r="G68" s="23" t="n">
        <v>379</v>
      </c>
      <c r="H68" s="23" t="n">
        <v>569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474</v>
      </c>
      <c r="G69" s="23" t="n">
        <v>379</v>
      </c>
      <c r="H69" s="23" t="n">
        <v>569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474</v>
      </c>
      <c r="G70" s="23" t="n">
        <v>379</v>
      </c>
      <c r="H70" s="23" t="n">
        <v>569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715</v>
      </c>
      <c r="G71" s="23" t="n">
        <v>572</v>
      </c>
      <c r="H71" s="23" t="n">
        <v>858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715</v>
      </c>
      <c r="G72" s="23" t="n">
        <v>572</v>
      </c>
      <c r="H72" s="23" t="n">
        <v>858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715</v>
      </c>
      <c r="G73" s="23" t="n">
        <v>572</v>
      </c>
      <c r="H73" s="23" t="n">
        <v>858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715</v>
      </c>
      <c r="G74" s="23" t="n">
        <v>572</v>
      </c>
      <c r="H74" s="23" t="n">
        <v>858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650</v>
      </c>
      <c r="G75" s="23" t="n">
        <v>520</v>
      </c>
      <c r="H75" s="23" t="n">
        <v>780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650</v>
      </c>
      <c r="G76" s="23" t="n">
        <v>520</v>
      </c>
      <c r="H76" s="23" t="n">
        <v>780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650</v>
      </c>
      <c r="G77" s="23" t="n">
        <v>520</v>
      </c>
      <c r="H77" s="23" t="n">
        <v>780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650</v>
      </c>
      <c r="G78" s="23" t="n">
        <v>520</v>
      </c>
      <c r="H78" s="23" t="n">
        <v>780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650</v>
      </c>
      <c r="G79" s="23" t="n">
        <v>520</v>
      </c>
      <c r="H79" s="23" t="n">
        <v>780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847</v>
      </c>
      <c r="G80" s="23" t="n">
        <v>678</v>
      </c>
      <c r="H80" s="23" t="n">
        <v>1016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847</v>
      </c>
      <c r="G81" s="23" t="n">
        <v>678</v>
      </c>
      <c r="H81" s="23" t="n">
        <v>1016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847</v>
      </c>
      <c r="G82" s="23" t="n">
        <v>678</v>
      </c>
      <c r="H82" s="23" t="n">
        <v>1016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847</v>
      </c>
      <c r="G83" s="23" t="n">
        <v>678</v>
      </c>
      <c r="H83" s="23" t="n">
        <v>1016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473</v>
      </c>
      <c r="G84" s="23" t="n">
        <v>378</v>
      </c>
      <c r="H84" s="23" t="n">
        <v>568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473</v>
      </c>
      <c r="G85" s="23" t="n">
        <v>378</v>
      </c>
      <c r="H85" s="23" t="n">
        <v>568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473</v>
      </c>
      <c r="G86" s="23" t="n">
        <v>378</v>
      </c>
      <c r="H86" s="23" t="n">
        <v>568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473</v>
      </c>
      <c r="G87" s="23" t="n">
        <v>378</v>
      </c>
      <c r="H87" s="23" t="n">
        <v>568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C0392B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1C40F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43" t="inlineStr">
        <is>
          <t>CA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10,416</t>
        </is>
      </c>
      <c r="B4" s="5" t="n"/>
      <c r="C4" s="6" t="inlineStr">
        <is>
          <t>$788,081</t>
        </is>
      </c>
      <c r="D4" s="5" t="n"/>
      <c r="E4" s="6" t="inlineStr">
        <is>
          <t>$75.66</t>
        </is>
      </c>
      <c r="F4" s="5" t="n"/>
      <c r="G4" s="6" t="inlineStr">
        <is>
          <t>-50.4%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44" t="inlineStr">
        <is>
          <t>Period</t>
        </is>
      </c>
      <c r="B9" s="44" t="inlineStr">
        <is>
          <t>Actual Regs</t>
        </is>
      </c>
      <c r="C9" s="44" t="inlineStr">
        <is>
          <t>Pred Regs</t>
        </is>
      </c>
      <c r="D9" s="44" t="inlineStr">
        <is>
          <t>CI Low</t>
        </is>
      </c>
      <c r="E9" s="44" t="inlineStr">
        <is>
          <t>CI High</t>
        </is>
      </c>
      <c r="F9" s="44" t="inlineStr">
        <is>
          <t>OP2 Target</t>
        </is>
      </c>
      <c r="G9" s="44" t="inlineStr">
        <is>
          <t>vs OP2 %</t>
        </is>
      </c>
      <c r="H9" s="44" t="inlineStr">
        <is>
          <t>Error %</t>
        </is>
      </c>
      <c r="I9" s="44" t="inlineStr">
        <is>
          <t>Confidence</t>
        </is>
      </c>
      <c r="J9" s="44" t="inlineStr">
        <is>
          <t>Score</t>
        </is>
      </c>
      <c r="K9" s="44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33885.95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44" t="inlineStr">
        <is>
          <t>Period</t>
        </is>
      </c>
      <c r="B13" s="44" t="inlineStr">
        <is>
          <t>Actual Regs</t>
        </is>
      </c>
      <c r="C13" s="44" t="inlineStr">
        <is>
          <t>Pred Regs</t>
        </is>
      </c>
      <c r="D13" s="44" t="inlineStr">
        <is>
          <t>CI Low</t>
        </is>
      </c>
      <c r="E13" s="44" t="inlineStr">
        <is>
          <t>CI High</t>
        </is>
      </c>
      <c r="F13" s="44" t="inlineStr">
        <is>
          <t>OP2 Target</t>
        </is>
      </c>
      <c r="G13" s="44" t="inlineStr">
        <is>
          <t>vs OP2 %</t>
        </is>
      </c>
      <c r="H13" s="44" t="inlineStr">
        <is>
          <t>Error %</t>
        </is>
      </c>
      <c r="I13" s="44" t="inlineStr">
        <is>
          <t>Confidence</t>
        </is>
      </c>
      <c r="J13" s="44" t="inlineStr">
        <is>
          <t>Score</t>
        </is>
      </c>
      <c r="K13" s="44" t="inlineStr">
        <is>
          <t>Notes</t>
        </is>
      </c>
    </row>
    <row r="14">
      <c r="A14" s="9" t="inlineStr">
        <is>
          <t>Q1</t>
        </is>
      </c>
      <c r="B14" s="10" t="n">
        <v>9102</v>
      </c>
      <c r="C14" s="10" t="n"/>
      <c r="D14" s="10" t="n"/>
      <c r="E14" s="10" t="n"/>
      <c r="F14" s="10" t="n">
        <v>7708.539999999999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7862.29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9309.369999999999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9005.75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44" t="inlineStr">
        <is>
          <t>Period</t>
        </is>
      </c>
      <c r="B20" s="44" t="inlineStr">
        <is>
          <t>Actual Regs</t>
        </is>
      </c>
      <c r="C20" s="44" t="inlineStr">
        <is>
          <t>Pred Regs</t>
        </is>
      </c>
      <c r="D20" s="44" t="inlineStr">
        <is>
          <t>CI Low</t>
        </is>
      </c>
      <c r="E20" s="44" t="inlineStr">
        <is>
          <t>CI High</t>
        </is>
      </c>
      <c r="F20" s="44" t="inlineStr">
        <is>
          <t>OP2 Target</t>
        </is>
      </c>
      <c r="G20" s="44" t="inlineStr">
        <is>
          <t>vs OP2 %</t>
        </is>
      </c>
      <c r="H20" s="44" t="inlineStr">
        <is>
          <t>Error %</t>
        </is>
      </c>
      <c r="I20" s="44" t="inlineStr">
        <is>
          <t>Confidence</t>
        </is>
      </c>
      <c r="J20" s="44" t="inlineStr">
        <is>
          <t>Score</t>
        </is>
      </c>
      <c r="K20" s="44" t="inlineStr">
        <is>
          <t>Notes</t>
        </is>
      </c>
    </row>
    <row r="21">
      <c r="A21" s="9" t="inlineStr">
        <is>
          <t>Jan</t>
        </is>
      </c>
      <c r="B21" s="10" t="n">
        <v>2712</v>
      </c>
      <c r="C21" s="10" t="n"/>
      <c r="D21" s="10" t="n"/>
      <c r="E21" s="10" t="n"/>
      <c r="F21" s="10" t="n">
        <v>2718.85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2866</v>
      </c>
      <c r="C22" s="15" t="n"/>
      <c r="D22" s="15" t="n"/>
      <c r="E22" s="15" t="n"/>
      <c r="F22" s="15" t="n">
        <v>2398.05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3524</v>
      </c>
      <c r="C23" s="10" t="n"/>
      <c r="D23" s="10" t="n"/>
      <c r="E23" s="10" t="n"/>
      <c r="F23" s="10" t="n">
        <v>2591.64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2446.9</v>
      </c>
      <c r="D24" s="23" t="n">
        <v>2080</v>
      </c>
      <c r="E24" s="23" t="n">
        <v>2814</v>
      </c>
      <c r="F24" s="23" t="n">
        <v>2446.9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2720.35</v>
      </c>
      <c r="D25" s="23" t="n">
        <v>2312</v>
      </c>
      <c r="E25" s="23" t="n">
        <v>3128</v>
      </c>
      <c r="F25" s="23" t="n">
        <v>2720.35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2695.04</v>
      </c>
      <c r="D26" s="23" t="n">
        <v>2291</v>
      </c>
      <c r="E26" s="23" t="n">
        <v>3099</v>
      </c>
      <c r="F26" s="23" t="n">
        <v>2695.04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3066.06</v>
      </c>
      <c r="D27" s="23" t="n">
        <v>2606</v>
      </c>
      <c r="E27" s="23" t="n">
        <v>3526</v>
      </c>
      <c r="F27" s="23" t="n">
        <v>3066.06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2946.86</v>
      </c>
      <c r="D28" s="23" t="n">
        <v>2505</v>
      </c>
      <c r="E28" s="23" t="n">
        <v>3389</v>
      </c>
      <c r="F28" s="23" t="n">
        <v>2946.86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3296.45</v>
      </c>
      <c r="D29" s="23" t="n">
        <v>2802</v>
      </c>
      <c r="E29" s="23" t="n">
        <v>3791</v>
      </c>
      <c r="F29" s="23" t="n">
        <v>3296.45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3551.03</v>
      </c>
      <c r="D30" s="23" t="n">
        <v>3018</v>
      </c>
      <c r="E30" s="23" t="n">
        <v>4084</v>
      </c>
      <c r="F30" s="23" t="n">
        <v>3551.03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2880.3</v>
      </c>
      <c r="D31" s="23" t="n">
        <v>2448</v>
      </c>
      <c r="E31" s="23" t="n">
        <v>3312</v>
      </c>
      <c r="F31" s="23" t="n">
        <v>2880.3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2574.42</v>
      </c>
      <c r="D32" s="23" t="n">
        <v>2188</v>
      </c>
      <c r="E32" s="23" t="n">
        <v>2961</v>
      </c>
      <c r="F32" s="23" t="n">
        <v>2574.42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44" t="inlineStr">
        <is>
          <t>Week</t>
        </is>
      </c>
      <c r="B35" s="44" t="inlineStr">
        <is>
          <t>Wk#</t>
        </is>
      </c>
      <c r="C35" s="44" t="inlineStr">
        <is>
          <t>Actual Regs</t>
        </is>
      </c>
      <c r="D35" s="44" t="inlineStr">
        <is>
          <t>Actual Cost</t>
        </is>
      </c>
      <c r="E35" s="44" t="inlineStr">
        <is>
          <t>Actual CPA</t>
        </is>
      </c>
      <c r="F35" s="44" t="inlineStr">
        <is>
          <t>Pred Regs</t>
        </is>
      </c>
      <c r="G35" s="44" t="inlineStr">
        <is>
          <t>CI Low</t>
        </is>
      </c>
      <c r="H35" s="44" t="inlineStr">
        <is>
          <t>CI High</t>
        </is>
      </c>
      <c r="I35" s="44" t="inlineStr">
        <is>
          <t>Confidence</t>
        </is>
      </c>
      <c r="J35" s="44" t="inlineStr">
        <is>
          <t>Error %</t>
        </is>
      </c>
      <c r="K35" s="44" t="inlineStr">
        <is>
          <t>Within CI</t>
        </is>
      </c>
      <c r="L35" s="44" t="inlineStr">
        <is>
          <t>WoW Δ%</t>
        </is>
      </c>
      <c r="M35" s="44" t="inlineStr">
        <is>
          <t>Brand Regs</t>
        </is>
      </c>
      <c r="N35" s="44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612</v>
      </c>
      <c r="D36" s="11" t="n">
        <v>52536</v>
      </c>
      <c r="E36" s="12" t="n">
        <v>85.84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387</v>
      </c>
      <c r="N36" s="10" t="n">
        <v>225</v>
      </c>
    </row>
    <row r="37">
      <c r="A37" s="14" t="inlineStr">
        <is>
          <t>2026 W2</t>
        </is>
      </c>
      <c r="B37" s="14" t="n">
        <v>2</v>
      </c>
      <c r="C37" s="15" t="n">
        <v>641</v>
      </c>
      <c r="D37" s="16" t="n">
        <v>55082</v>
      </c>
      <c r="E37" s="17" t="n">
        <v>85.93000000000001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444</v>
      </c>
      <c r="N37" s="15" t="n">
        <v>197</v>
      </c>
    </row>
    <row r="38">
      <c r="A38" s="9" t="inlineStr">
        <is>
          <t>2026 W3</t>
        </is>
      </c>
      <c r="B38" s="9" t="n">
        <v>3</v>
      </c>
      <c r="C38" s="10" t="n">
        <v>716</v>
      </c>
      <c r="D38" s="11" t="n">
        <v>54929</v>
      </c>
      <c r="E38" s="12" t="n">
        <v>76.72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442</v>
      </c>
      <c r="N38" s="10" t="n">
        <v>274</v>
      </c>
    </row>
    <row r="39">
      <c r="A39" s="14" t="inlineStr">
        <is>
          <t>2026 W4</t>
        </is>
      </c>
      <c r="B39" s="14" t="n">
        <v>4</v>
      </c>
      <c r="C39" s="15" t="n">
        <v>743</v>
      </c>
      <c r="D39" s="16" t="n">
        <v>52505</v>
      </c>
      <c r="E39" s="17" t="n">
        <v>70.67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463</v>
      </c>
      <c r="N39" s="15" t="n">
        <v>280</v>
      </c>
    </row>
    <row r="40">
      <c r="A40" s="9" t="inlineStr">
        <is>
          <t>2026 W5</t>
        </is>
      </c>
      <c r="B40" s="9" t="n">
        <v>5</v>
      </c>
      <c r="C40" s="10" t="n">
        <v>750</v>
      </c>
      <c r="D40" s="11" t="n">
        <v>50865</v>
      </c>
      <c r="E40" s="12" t="n">
        <v>67.81999999999999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450</v>
      </c>
      <c r="N40" s="10" t="n">
        <v>300</v>
      </c>
    </row>
    <row r="41">
      <c r="A41" s="14" t="inlineStr">
        <is>
          <t>2026 W6</t>
        </is>
      </c>
      <c r="B41" s="14" t="n">
        <v>6</v>
      </c>
      <c r="C41" s="15" t="n">
        <v>729</v>
      </c>
      <c r="D41" s="16" t="n">
        <v>51663</v>
      </c>
      <c r="E41" s="17" t="n">
        <v>70.87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467</v>
      </c>
      <c r="N41" s="15" t="n">
        <v>262</v>
      </c>
    </row>
    <row r="42">
      <c r="A42" s="9" t="inlineStr">
        <is>
          <t>2026 W7</t>
        </is>
      </c>
      <c r="B42" s="9" t="n">
        <v>7</v>
      </c>
      <c r="C42" s="10" t="n">
        <v>699</v>
      </c>
      <c r="D42" s="11" t="n">
        <v>50197</v>
      </c>
      <c r="E42" s="12" t="n">
        <v>71.81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472</v>
      </c>
      <c r="N42" s="10" t="n">
        <v>227</v>
      </c>
    </row>
    <row r="43">
      <c r="A43" s="14" t="inlineStr">
        <is>
          <t>2026 W8</t>
        </is>
      </c>
      <c r="B43" s="14" t="n">
        <v>8</v>
      </c>
      <c r="C43" s="15" t="n">
        <v>688</v>
      </c>
      <c r="D43" s="16" t="n">
        <v>53490</v>
      </c>
      <c r="E43" s="17" t="n">
        <v>77.75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440</v>
      </c>
      <c r="N43" s="15" t="n">
        <v>248</v>
      </c>
    </row>
    <row r="44">
      <c r="A44" s="9" t="inlineStr">
        <is>
          <t>2026 W9</t>
        </is>
      </c>
      <c r="B44" s="9" t="n">
        <v>9</v>
      </c>
      <c r="C44" s="10" t="n">
        <v>689</v>
      </c>
      <c r="D44" s="11" t="n">
        <v>52280</v>
      </c>
      <c r="E44" s="12" t="n">
        <v>75.88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451</v>
      </c>
      <c r="N44" s="10" t="n">
        <v>238</v>
      </c>
    </row>
    <row r="45">
      <c r="A45" s="14" t="inlineStr">
        <is>
          <t>2026 W10</t>
        </is>
      </c>
      <c r="B45" s="14" t="n">
        <v>10</v>
      </c>
      <c r="C45" s="15" t="n">
        <v>642</v>
      </c>
      <c r="D45" s="16" t="n">
        <v>50478</v>
      </c>
      <c r="E45" s="17" t="n">
        <v>78.63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410</v>
      </c>
      <c r="N45" s="15" t="n">
        <v>232</v>
      </c>
    </row>
    <row r="46">
      <c r="A46" s="9" t="inlineStr">
        <is>
          <t>2026 W11</t>
        </is>
      </c>
      <c r="B46" s="9" t="n">
        <v>11</v>
      </c>
      <c r="C46" s="10" t="n">
        <v>744</v>
      </c>
      <c r="D46" s="11" t="n">
        <v>52053</v>
      </c>
      <c r="E46" s="12" t="n">
        <v>69.95999999999999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518</v>
      </c>
      <c r="N46" s="10" t="n">
        <v>226</v>
      </c>
    </row>
    <row r="47">
      <c r="A47" s="14" t="inlineStr">
        <is>
          <t>2026 W12</t>
        </is>
      </c>
      <c r="B47" s="14" t="n">
        <v>12</v>
      </c>
      <c r="C47" s="15" t="n">
        <v>676</v>
      </c>
      <c r="D47" s="16" t="n">
        <v>52806</v>
      </c>
      <c r="E47" s="17" t="n">
        <v>78.12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447</v>
      </c>
      <c r="N47" s="15" t="n">
        <v>229</v>
      </c>
    </row>
    <row r="48">
      <c r="A48" s="9" t="inlineStr">
        <is>
          <t>2026 W13</t>
        </is>
      </c>
      <c r="B48" s="9" t="n">
        <v>13</v>
      </c>
      <c r="C48" s="10" t="n">
        <v>773</v>
      </c>
      <c r="D48" s="11" t="n">
        <v>51998</v>
      </c>
      <c r="E48" s="12" t="n">
        <v>67.27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529</v>
      </c>
      <c r="N48" s="10" t="n">
        <v>244</v>
      </c>
    </row>
    <row r="49">
      <c r="A49" s="14" t="inlineStr">
        <is>
          <t>2026 W14</t>
        </is>
      </c>
      <c r="B49" s="14" t="n">
        <v>14</v>
      </c>
      <c r="C49" s="15" t="n">
        <v>634</v>
      </c>
      <c r="D49" s="16" t="n">
        <v>50755</v>
      </c>
      <c r="E49" s="17" t="n">
        <v>80.06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401</v>
      </c>
      <c r="N49" s="15" t="n">
        <v>233</v>
      </c>
    </row>
    <row r="50">
      <c r="A50" s="9" t="inlineStr">
        <is>
          <t>2026 W15</t>
        </is>
      </c>
      <c r="B50" s="9" t="n">
        <v>15</v>
      </c>
      <c r="C50" s="10" t="n">
        <v>680</v>
      </c>
      <c r="D50" s="11" t="n">
        <v>56443</v>
      </c>
      <c r="E50" s="12" t="n">
        <v>83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422</v>
      </c>
      <c r="N50" s="10" t="n">
        <v>258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612</v>
      </c>
      <c r="G51" s="23" t="n">
        <v>490</v>
      </c>
      <c r="H51" s="23" t="n">
        <v>734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612</v>
      </c>
      <c r="G52" s="23" t="n">
        <v>490</v>
      </c>
      <c r="H52" s="23" t="n">
        <v>734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544</v>
      </c>
      <c r="G53" s="23" t="n">
        <v>435</v>
      </c>
      <c r="H53" s="23" t="n">
        <v>653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544</v>
      </c>
      <c r="G54" s="23" t="n">
        <v>435</v>
      </c>
      <c r="H54" s="23" t="n">
        <v>653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544</v>
      </c>
      <c r="G55" s="23" t="n">
        <v>435</v>
      </c>
      <c r="H55" s="23" t="n">
        <v>653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544</v>
      </c>
      <c r="G56" s="23" t="n">
        <v>435</v>
      </c>
      <c r="H56" s="23" t="n">
        <v>653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544</v>
      </c>
      <c r="G57" s="23" t="n">
        <v>435</v>
      </c>
      <c r="H57" s="23" t="n">
        <v>653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674</v>
      </c>
      <c r="G58" s="23" t="n">
        <v>539</v>
      </c>
      <c r="H58" s="23" t="n">
        <v>809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674</v>
      </c>
      <c r="G59" s="23" t="n">
        <v>539</v>
      </c>
      <c r="H59" s="23" t="n">
        <v>809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674</v>
      </c>
      <c r="G60" s="23" t="n">
        <v>539</v>
      </c>
      <c r="H60" s="23" t="n">
        <v>809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674</v>
      </c>
      <c r="G61" s="23" t="n">
        <v>539</v>
      </c>
      <c r="H61" s="23" t="n">
        <v>809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613</v>
      </c>
      <c r="G62" s="23" t="n">
        <v>490</v>
      </c>
      <c r="H62" s="23" t="n">
        <v>736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613</v>
      </c>
      <c r="G63" s="23" t="n">
        <v>490</v>
      </c>
      <c r="H63" s="23" t="n">
        <v>736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613</v>
      </c>
      <c r="G64" s="23" t="n">
        <v>490</v>
      </c>
      <c r="H64" s="23" t="n">
        <v>736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613</v>
      </c>
      <c r="G65" s="23" t="n">
        <v>490</v>
      </c>
      <c r="H65" s="23" t="n">
        <v>736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613</v>
      </c>
      <c r="G66" s="23" t="n">
        <v>490</v>
      </c>
      <c r="H66" s="23" t="n">
        <v>736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737</v>
      </c>
      <c r="G67" s="23" t="n">
        <v>590</v>
      </c>
      <c r="H67" s="23" t="n">
        <v>884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737</v>
      </c>
      <c r="G68" s="23" t="n">
        <v>590</v>
      </c>
      <c r="H68" s="23" t="n">
        <v>884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737</v>
      </c>
      <c r="G69" s="23" t="n">
        <v>590</v>
      </c>
      <c r="H69" s="23" t="n">
        <v>884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737</v>
      </c>
      <c r="G70" s="23" t="n">
        <v>590</v>
      </c>
      <c r="H70" s="23" t="n">
        <v>884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824</v>
      </c>
      <c r="G71" s="23" t="n">
        <v>659</v>
      </c>
      <c r="H71" s="23" t="n">
        <v>989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824</v>
      </c>
      <c r="G72" s="23" t="n">
        <v>659</v>
      </c>
      <c r="H72" s="23" t="n">
        <v>989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824</v>
      </c>
      <c r="G73" s="23" t="n">
        <v>659</v>
      </c>
      <c r="H73" s="23" t="n">
        <v>989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824</v>
      </c>
      <c r="G74" s="23" t="n">
        <v>659</v>
      </c>
      <c r="H74" s="23" t="n">
        <v>989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710</v>
      </c>
      <c r="G75" s="23" t="n">
        <v>568</v>
      </c>
      <c r="H75" s="23" t="n">
        <v>852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710</v>
      </c>
      <c r="G76" s="23" t="n">
        <v>568</v>
      </c>
      <c r="H76" s="23" t="n">
        <v>852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710</v>
      </c>
      <c r="G77" s="23" t="n">
        <v>568</v>
      </c>
      <c r="H77" s="23" t="n">
        <v>852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710</v>
      </c>
      <c r="G78" s="23" t="n">
        <v>568</v>
      </c>
      <c r="H78" s="23" t="n">
        <v>852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710</v>
      </c>
      <c r="G79" s="23" t="n">
        <v>568</v>
      </c>
      <c r="H79" s="23" t="n">
        <v>852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720</v>
      </c>
      <c r="G80" s="23" t="n">
        <v>576</v>
      </c>
      <c r="H80" s="23" t="n">
        <v>864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720</v>
      </c>
      <c r="G81" s="23" t="n">
        <v>576</v>
      </c>
      <c r="H81" s="23" t="n">
        <v>864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720</v>
      </c>
      <c r="G82" s="23" t="n">
        <v>576</v>
      </c>
      <c r="H82" s="23" t="n">
        <v>864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720</v>
      </c>
      <c r="G83" s="23" t="n">
        <v>576</v>
      </c>
      <c r="H83" s="23" t="n">
        <v>864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644</v>
      </c>
      <c r="G84" s="23" t="n">
        <v>515</v>
      </c>
      <c r="H84" s="23" t="n">
        <v>773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644</v>
      </c>
      <c r="G85" s="23" t="n">
        <v>515</v>
      </c>
      <c r="H85" s="23" t="n">
        <v>773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644</v>
      </c>
      <c r="G86" s="23" t="n">
        <v>515</v>
      </c>
      <c r="H86" s="23" t="n">
        <v>773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644</v>
      </c>
      <c r="G87" s="23" t="n">
        <v>515</v>
      </c>
      <c r="H87" s="23" t="n">
        <v>773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F1C40F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B59B6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45" t="inlineStr">
        <is>
          <t>JP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9,293</t>
        </is>
      </c>
      <c r="B4" s="5" t="n"/>
      <c r="C4" s="6" t="inlineStr">
        <is>
          <t>$524,734</t>
        </is>
      </c>
      <c r="D4" s="5" t="n"/>
      <c r="E4" s="6" t="inlineStr">
        <is>
          <t>$56.47</t>
        </is>
      </c>
      <c r="F4" s="5" t="n"/>
      <c r="G4" s="6" t="inlineStr">
        <is>
          <t>-48.7%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46" t="inlineStr">
        <is>
          <t>Period</t>
        </is>
      </c>
      <c r="B9" s="46" t="inlineStr">
        <is>
          <t>Actual Regs</t>
        </is>
      </c>
      <c r="C9" s="46" t="inlineStr">
        <is>
          <t>Pred Regs</t>
        </is>
      </c>
      <c r="D9" s="46" t="inlineStr">
        <is>
          <t>CI Low</t>
        </is>
      </c>
      <c r="E9" s="46" t="inlineStr">
        <is>
          <t>CI High</t>
        </is>
      </c>
      <c r="F9" s="46" t="inlineStr">
        <is>
          <t>OP2 Target</t>
        </is>
      </c>
      <c r="G9" s="46" t="inlineStr">
        <is>
          <t>vs OP2 %</t>
        </is>
      </c>
      <c r="H9" s="46" t="inlineStr">
        <is>
          <t>Error %</t>
        </is>
      </c>
      <c r="I9" s="46" t="inlineStr">
        <is>
          <t>Confidence</t>
        </is>
      </c>
      <c r="J9" s="46" t="inlineStr">
        <is>
          <t>Score</t>
        </is>
      </c>
      <c r="K9" s="46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26727.52077404817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46" t="inlineStr">
        <is>
          <t>Period</t>
        </is>
      </c>
      <c r="B13" s="46" t="inlineStr">
        <is>
          <t>Actual Regs</t>
        </is>
      </c>
      <c r="C13" s="46" t="inlineStr">
        <is>
          <t>Pred Regs</t>
        </is>
      </c>
      <c r="D13" s="46" t="inlineStr">
        <is>
          <t>CI Low</t>
        </is>
      </c>
      <c r="E13" s="46" t="inlineStr">
        <is>
          <t>CI High</t>
        </is>
      </c>
      <c r="F13" s="46" t="inlineStr">
        <is>
          <t>OP2 Target</t>
        </is>
      </c>
      <c r="G13" s="46" t="inlineStr">
        <is>
          <t>vs OP2 %</t>
        </is>
      </c>
      <c r="H13" s="46" t="inlineStr">
        <is>
          <t>Error %</t>
        </is>
      </c>
      <c r="I13" s="46" t="inlineStr">
        <is>
          <t>Confidence</t>
        </is>
      </c>
      <c r="J13" s="46" t="inlineStr">
        <is>
          <t>Score</t>
        </is>
      </c>
      <c r="K13" s="46" t="inlineStr">
        <is>
          <t>Notes</t>
        </is>
      </c>
    </row>
    <row r="14">
      <c r="A14" s="9" t="inlineStr">
        <is>
          <t>Q1</t>
        </is>
      </c>
      <c r="B14" s="10" t="n">
        <v>8092</v>
      </c>
      <c r="C14" s="10" t="n"/>
      <c r="D14" s="10" t="n"/>
      <c r="E14" s="10" t="n"/>
      <c r="F14" s="10" t="n">
        <v>8328.338278634532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5288.990239853409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5985.556319560226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7124.635936000001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46" t="inlineStr">
        <is>
          <t>Period</t>
        </is>
      </c>
      <c r="B20" s="46" t="inlineStr">
        <is>
          <t>Actual Regs</t>
        </is>
      </c>
      <c r="C20" s="46" t="inlineStr">
        <is>
          <t>Pred Regs</t>
        </is>
      </c>
      <c r="D20" s="46" t="inlineStr">
        <is>
          <t>CI Low</t>
        </is>
      </c>
      <c r="E20" s="46" t="inlineStr">
        <is>
          <t>CI High</t>
        </is>
      </c>
      <c r="F20" s="46" t="inlineStr">
        <is>
          <t>OP2 Target</t>
        </is>
      </c>
      <c r="G20" s="46" t="inlineStr">
        <is>
          <t>vs OP2 %</t>
        </is>
      </c>
      <c r="H20" s="46" t="inlineStr">
        <is>
          <t>Error %</t>
        </is>
      </c>
      <c r="I20" s="46" t="inlineStr">
        <is>
          <t>Confidence</t>
        </is>
      </c>
      <c r="J20" s="46" t="inlineStr">
        <is>
          <t>Score</t>
        </is>
      </c>
      <c r="K20" s="46" t="inlineStr">
        <is>
          <t>Notes</t>
        </is>
      </c>
    </row>
    <row r="21">
      <c r="A21" s="9" t="inlineStr">
        <is>
          <t>Jan</t>
        </is>
      </c>
      <c r="B21" s="10" t="n">
        <v>3308</v>
      </c>
      <c r="C21" s="10" t="n"/>
      <c r="D21" s="10" t="n"/>
      <c r="E21" s="10" t="n"/>
      <c r="F21" s="10" t="n">
        <v>3004.526164023358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2373</v>
      </c>
      <c r="C22" s="15" t="n"/>
      <c r="D22" s="15" t="n"/>
      <c r="E22" s="15" t="n"/>
      <c r="F22" s="15" t="n">
        <v>2964.011028111174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2411</v>
      </c>
      <c r="C23" s="10" t="n"/>
      <c r="D23" s="10" t="n"/>
      <c r="E23" s="10" t="n"/>
      <c r="F23" s="10" t="n">
        <v>2359.8010865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1919.7992</v>
      </c>
      <c r="D24" s="23" t="n">
        <v>1632</v>
      </c>
      <c r="E24" s="23" t="n">
        <v>2208</v>
      </c>
      <c r="F24" s="23" t="n">
        <v>1919.7992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1630.311039853409</v>
      </c>
      <c r="D25" s="23" t="n">
        <v>1386</v>
      </c>
      <c r="E25" s="23" t="n">
        <v>1875</v>
      </c>
      <c r="F25" s="23" t="n">
        <v>1630.311039853409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1738.88</v>
      </c>
      <c r="D26" s="23" t="n">
        <v>1478</v>
      </c>
      <c r="E26" s="23" t="n">
        <v>2000</v>
      </c>
      <c r="F26" s="23" t="n">
        <v>1738.88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2083.340125515341</v>
      </c>
      <c r="D27" s="23" t="n">
        <v>1771</v>
      </c>
      <c r="E27" s="23" t="n">
        <v>2396</v>
      </c>
      <c r="F27" s="23" t="n">
        <v>2083.340125515341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1844.723714154829</v>
      </c>
      <c r="D28" s="23" t="n">
        <v>1568</v>
      </c>
      <c r="E28" s="23" t="n">
        <v>2121</v>
      </c>
      <c r="F28" s="23" t="n">
        <v>1844.723714154829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2057.492479890057</v>
      </c>
      <c r="D29" s="23" t="n">
        <v>1749</v>
      </c>
      <c r="E29" s="23" t="n">
        <v>2366</v>
      </c>
      <c r="F29" s="23" t="n">
        <v>2057.492479890057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2433.41824</v>
      </c>
      <c r="D30" s="23" t="n">
        <v>2068</v>
      </c>
      <c r="E30" s="23" t="n">
        <v>2798</v>
      </c>
      <c r="F30" s="23" t="n">
        <v>2433.41824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2712.520976</v>
      </c>
      <c r="D31" s="23" t="n">
        <v>2306</v>
      </c>
      <c r="E31" s="23" t="n">
        <v>3119</v>
      </c>
      <c r="F31" s="23" t="n">
        <v>2712.520976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1978.69672</v>
      </c>
      <c r="D32" s="23" t="n">
        <v>1682</v>
      </c>
      <c r="E32" s="23" t="n">
        <v>2276</v>
      </c>
      <c r="F32" s="23" t="n">
        <v>1978.69672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46" t="inlineStr">
        <is>
          <t>Week</t>
        </is>
      </c>
      <c r="B35" s="46" t="inlineStr">
        <is>
          <t>Wk#</t>
        </is>
      </c>
      <c r="C35" s="46" t="inlineStr">
        <is>
          <t>Actual Regs</t>
        </is>
      </c>
      <c r="D35" s="46" t="inlineStr">
        <is>
          <t>Actual Cost</t>
        </is>
      </c>
      <c r="E35" s="46" t="inlineStr">
        <is>
          <t>Actual CPA</t>
        </is>
      </c>
      <c r="F35" s="46" t="inlineStr">
        <is>
          <t>Pred Regs</t>
        </is>
      </c>
      <c r="G35" s="46" t="inlineStr">
        <is>
          <t>CI Low</t>
        </is>
      </c>
      <c r="H35" s="46" t="inlineStr">
        <is>
          <t>CI High</t>
        </is>
      </c>
      <c r="I35" s="46" t="inlineStr">
        <is>
          <t>Confidence</t>
        </is>
      </c>
      <c r="J35" s="46" t="inlineStr">
        <is>
          <t>Error %</t>
        </is>
      </c>
      <c r="K35" s="46" t="inlineStr">
        <is>
          <t>Within CI</t>
        </is>
      </c>
      <c r="L35" s="46" t="inlineStr">
        <is>
          <t>WoW Δ%</t>
        </is>
      </c>
      <c r="M35" s="46" t="inlineStr">
        <is>
          <t>Brand Regs</t>
        </is>
      </c>
      <c r="N35" s="46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289</v>
      </c>
      <c r="D36" s="11" t="n">
        <v>13804</v>
      </c>
      <c r="E36" s="12" t="n">
        <v>47.76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287</v>
      </c>
      <c r="N36" s="10" t="n">
        <v>2</v>
      </c>
    </row>
    <row r="37">
      <c r="A37" s="14" t="inlineStr">
        <is>
          <t>2026 W2</t>
        </is>
      </c>
      <c r="B37" s="14" t="n">
        <v>2</v>
      </c>
      <c r="C37" s="15" t="n">
        <v>1003</v>
      </c>
      <c r="D37" s="16" t="n">
        <v>39541</v>
      </c>
      <c r="E37" s="17" t="n">
        <v>39.42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1002</v>
      </c>
      <c r="N37" s="15" t="n">
        <v>1</v>
      </c>
    </row>
    <row r="38">
      <c r="A38" s="9" t="inlineStr">
        <is>
          <t>2026 W3</t>
        </is>
      </c>
      <c r="B38" s="9" t="n">
        <v>3</v>
      </c>
      <c r="C38" s="10" t="n">
        <v>972</v>
      </c>
      <c r="D38" s="11" t="n">
        <v>31015</v>
      </c>
      <c r="E38" s="12" t="n">
        <v>31.91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970</v>
      </c>
      <c r="N38" s="10" t="n">
        <v>2</v>
      </c>
    </row>
    <row r="39">
      <c r="A39" s="14" t="inlineStr">
        <is>
          <t>2026 W4</t>
        </is>
      </c>
      <c r="B39" s="14" t="n">
        <v>4</v>
      </c>
      <c r="C39" s="15" t="n">
        <v>1044</v>
      </c>
      <c r="D39" s="16" t="n">
        <v>37754</v>
      </c>
      <c r="E39" s="17" t="n">
        <v>36.16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1043</v>
      </c>
      <c r="N39" s="15" t="n">
        <v>1</v>
      </c>
    </row>
    <row r="40">
      <c r="A40" s="9" t="inlineStr">
        <is>
          <t>2026 W5</t>
        </is>
      </c>
      <c r="B40" s="9" t="n">
        <v>5</v>
      </c>
      <c r="C40" s="10" t="n">
        <v>1004</v>
      </c>
      <c r="D40" s="11" t="n">
        <v>33739</v>
      </c>
      <c r="E40" s="12" t="n">
        <v>33.6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1004</v>
      </c>
      <c r="N40" s="10" t="n">
        <v>0</v>
      </c>
    </row>
    <row r="41">
      <c r="A41" s="14" t="inlineStr">
        <is>
          <t>2026 W6</t>
        </is>
      </c>
      <c r="B41" s="14" t="n">
        <v>6</v>
      </c>
      <c r="C41" s="15" t="n">
        <v>495</v>
      </c>
      <c r="D41" s="16" t="n">
        <v>32933</v>
      </c>
      <c r="E41" s="17" t="n">
        <v>66.53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495</v>
      </c>
      <c r="N41" s="15" t="n">
        <v>0</v>
      </c>
    </row>
    <row r="42">
      <c r="A42" s="9" t="inlineStr">
        <is>
          <t>2026 W7</t>
        </is>
      </c>
      <c r="B42" s="9" t="n">
        <v>7</v>
      </c>
      <c r="C42" s="10" t="n">
        <v>435</v>
      </c>
      <c r="D42" s="11" t="n">
        <v>28287</v>
      </c>
      <c r="E42" s="12" t="n">
        <v>65.03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435</v>
      </c>
      <c r="N42" s="10" t="n">
        <v>0</v>
      </c>
    </row>
    <row r="43">
      <c r="A43" s="14" t="inlineStr">
        <is>
          <t>2026 W8</t>
        </is>
      </c>
      <c r="B43" s="14" t="n">
        <v>8</v>
      </c>
      <c r="C43" s="15" t="n">
        <v>439</v>
      </c>
      <c r="D43" s="16" t="n">
        <v>29473</v>
      </c>
      <c r="E43" s="17" t="n">
        <v>67.14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439</v>
      </c>
      <c r="N43" s="15" t="n">
        <v>0</v>
      </c>
    </row>
    <row r="44">
      <c r="A44" s="9" t="inlineStr">
        <is>
          <t>2026 W9</t>
        </is>
      </c>
      <c r="B44" s="9" t="n">
        <v>9</v>
      </c>
      <c r="C44" s="10" t="n">
        <v>404</v>
      </c>
      <c r="D44" s="11" t="n">
        <v>30296</v>
      </c>
      <c r="E44" s="12" t="n">
        <v>74.98999999999999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404</v>
      </c>
      <c r="N44" s="10" t="n">
        <v>0</v>
      </c>
    </row>
    <row r="45">
      <c r="A45" s="14" t="inlineStr">
        <is>
          <t>2026 W10</t>
        </is>
      </c>
      <c r="B45" s="14" t="n">
        <v>10</v>
      </c>
      <c r="C45" s="15" t="n">
        <v>526</v>
      </c>
      <c r="D45" s="16" t="n">
        <v>39247</v>
      </c>
      <c r="E45" s="17" t="n">
        <v>74.61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525</v>
      </c>
      <c r="N45" s="15" t="n">
        <v>1</v>
      </c>
    </row>
    <row r="46">
      <c r="A46" s="9" t="inlineStr">
        <is>
          <t>2026 W11</t>
        </is>
      </c>
      <c r="B46" s="9" t="n">
        <v>11</v>
      </c>
      <c r="C46" s="10" t="n">
        <v>513</v>
      </c>
      <c r="D46" s="11" t="n">
        <v>38339</v>
      </c>
      <c r="E46" s="12" t="n">
        <v>74.73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508</v>
      </c>
      <c r="N46" s="10" t="n">
        <v>5</v>
      </c>
    </row>
    <row r="47">
      <c r="A47" s="14" t="inlineStr">
        <is>
          <t>2026 W12</t>
        </is>
      </c>
      <c r="B47" s="14" t="n">
        <v>12</v>
      </c>
      <c r="C47" s="15" t="n">
        <v>423</v>
      </c>
      <c r="D47" s="16" t="n">
        <v>36527</v>
      </c>
      <c r="E47" s="17" t="n">
        <v>86.34999999999999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420</v>
      </c>
      <c r="N47" s="15" t="n">
        <v>3</v>
      </c>
    </row>
    <row r="48">
      <c r="A48" s="9" t="inlineStr">
        <is>
          <t>2026 W13</t>
        </is>
      </c>
      <c r="B48" s="9" t="n">
        <v>13</v>
      </c>
      <c r="C48" s="10" t="n">
        <v>545</v>
      </c>
      <c r="D48" s="11" t="n">
        <v>47457</v>
      </c>
      <c r="E48" s="12" t="n">
        <v>87.08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537</v>
      </c>
      <c r="N48" s="10" t="n">
        <v>8</v>
      </c>
    </row>
    <row r="49">
      <c r="A49" s="14" t="inlineStr">
        <is>
          <t>2026 W14</t>
        </is>
      </c>
      <c r="B49" s="14" t="n">
        <v>14</v>
      </c>
      <c r="C49" s="15" t="n">
        <v>606</v>
      </c>
      <c r="D49" s="16" t="n">
        <v>45776</v>
      </c>
      <c r="E49" s="17" t="n">
        <v>75.54000000000001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599</v>
      </c>
      <c r="N49" s="15" t="n">
        <v>7</v>
      </c>
    </row>
    <row r="50">
      <c r="A50" s="9" t="inlineStr">
        <is>
          <t>2026 W15</t>
        </is>
      </c>
      <c r="B50" s="9" t="n">
        <v>15</v>
      </c>
      <c r="C50" s="10" t="n">
        <v>595</v>
      </c>
      <c r="D50" s="11" t="n">
        <v>40547</v>
      </c>
      <c r="E50" s="12" t="n">
        <v>68.15000000000001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591</v>
      </c>
      <c r="N50" s="10" t="n">
        <v>4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480</v>
      </c>
      <c r="G51" s="23" t="n">
        <v>384</v>
      </c>
      <c r="H51" s="23" t="n">
        <v>576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480</v>
      </c>
      <c r="G52" s="23" t="n">
        <v>384</v>
      </c>
      <c r="H52" s="23" t="n">
        <v>576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326</v>
      </c>
      <c r="G53" s="23" t="n">
        <v>261</v>
      </c>
      <c r="H53" s="23" t="n">
        <v>391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326</v>
      </c>
      <c r="G54" s="23" t="n">
        <v>261</v>
      </c>
      <c r="H54" s="23" t="n">
        <v>391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326</v>
      </c>
      <c r="G55" s="23" t="n">
        <v>261</v>
      </c>
      <c r="H55" s="23" t="n">
        <v>391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326</v>
      </c>
      <c r="G56" s="23" t="n">
        <v>261</v>
      </c>
      <c r="H56" s="23" t="n">
        <v>391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326</v>
      </c>
      <c r="G57" s="23" t="n">
        <v>261</v>
      </c>
      <c r="H57" s="23" t="n">
        <v>391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435</v>
      </c>
      <c r="G58" s="23" t="n">
        <v>348</v>
      </c>
      <c r="H58" s="23" t="n">
        <v>522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435</v>
      </c>
      <c r="G59" s="23" t="n">
        <v>348</v>
      </c>
      <c r="H59" s="23" t="n">
        <v>522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435</v>
      </c>
      <c r="G60" s="23" t="n">
        <v>348</v>
      </c>
      <c r="H60" s="23" t="n">
        <v>522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435</v>
      </c>
      <c r="G61" s="23" t="n">
        <v>348</v>
      </c>
      <c r="H61" s="23" t="n">
        <v>522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417</v>
      </c>
      <c r="G62" s="23" t="n">
        <v>334</v>
      </c>
      <c r="H62" s="23" t="n">
        <v>500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417</v>
      </c>
      <c r="G63" s="23" t="n">
        <v>334</v>
      </c>
      <c r="H63" s="23" t="n">
        <v>500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417</v>
      </c>
      <c r="G64" s="23" t="n">
        <v>334</v>
      </c>
      <c r="H64" s="23" t="n">
        <v>500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417</v>
      </c>
      <c r="G65" s="23" t="n">
        <v>334</v>
      </c>
      <c r="H65" s="23" t="n">
        <v>500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417</v>
      </c>
      <c r="G66" s="23" t="n">
        <v>334</v>
      </c>
      <c r="H66" s="23" t="n">
        <v>500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461</v>
      </c>
      <c r="G67" s="23" t="n">
        <v>369</v>
      </c>
      <c r="H67" s="23" t="n">
        <v>553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461</v>
      </c>
      <c r="G68" s="23" t="n">
        <v>369</v>
      </c>
      <c r="H68" s="23" t="n">
        <v>553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461</v>
      </c>
      <c r="G69" s="23" t="n">
        <v>369</v>
      </c>
      <c r="H69" s="23" t="n">
        <v>553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461</v>
      </c>
      <c r="G70" s="23" t="n">
        <v>369</v>
      </c>
      <c r="H70" s="23" t="n">
        <v>553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514</v>
      </c>
      <c r="G71" s="23" t="n">
        <v>411</v>
      </c>
      <c r="H71" s="23" t="n">
        <v>617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514</v>
      </c>
      <c r="G72" s="23" t="n">
        <v>411</v>
      </c>
      <c r="H72" s="23" t="n">
        <v>617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514</v>
      </c>
      <c r="G73" s="23" t="n">
        <v>411</v>
      </c>
      <c r="H73" s="23" t="n">
        <v>617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514</v>
      </c>
      <c r="G74" s="23" t="n">
        <v>411</v>
      </c>
      <c r="H74" s="23" t="n">
        <v>617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487</v>
      </c>
      <c r="G75" s="23" t="n">
        <v>390</v>
      </c>
      <c r="H75" s="23" t="n">
        <v>584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487</v>
      </c>
      <c r="G76" s="23" t="n">
        <v>390</v>
      </c>
      <c r="H76" s="23" t="n">
        <v>584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487</v>
      </c>
      <c r="G77" s="23" t="n">
        <v>390</v>
      </c>
      <c r="H77" s="23" t="n">
        <v>584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487</v>
      </c>
      <c r="G78" s="23" t="n">
        <v>390</v>
      </c>
      <c r="H78" s="23" t="n">
        <v>584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487</v>
      </c>
      <c r="G79" s="23" t="n">
        <v>390</v>
      </c>
      <c r="H79" s="23" t="n">
        <v>584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678</v>
      </c>
      <c r="G80" s="23" t="n">
        <v>542</v>
      </c>
      <c r="H80" s="23" t="n">
        <v>814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678</v>
      </c>
      <c r="G81" s="23" t="n">
        <v>542</v>
      </c>
      <c r="H81" s="23" t="n">
        <v>814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678</v>
      </c>
      <c r="G82" s="23" t="n">
        <v>542</v>
      </c>
      <c r="H82" s="23" t="n">
        <v>814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678</v>
      </c>
      <c r="G83" s="23" t="n">
        <v>542</v>
      </c>
      <c r="H83" s="23" t="n">
        <v>814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495</v>
      </c>
      <c r="G84" s="23" t="n">
        <v>396</v>
      </c>
      <c r="H84" s="23" t="n">
        <v>594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495</v>
      </c>
      <c r="G85" s="23" t="n">
        <v>396</v>
      </c>
      <c r="H85" s="23" t="n">
        <v>594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495</v>
      </c>
      <c r="G86" s="23" t="n">
        <v>396</v>
      </c>
      <c r="H86" s="23" t="n">
        <v>594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495</v>
      </c>
      <c r="G87" s="23" t="n">
        <v>396</v>
      </c>
      <c r="H87" s="23" t="n">
        <v>594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9B59B6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D35400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47" t="inlineStr">
        <is>
          <t>MX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4,379</t>
        </is>
      </c>
      <c r="B4" s="5" t="n"/>
      <c r="C4" s="6" t="inlineStr">
        <is>
          <t>$259,451</t>
        </is>
      </c>
      <c r="D4" s="5" t="n"/>
      <c r="E4" s="6" t="inlineStr">
        <is>
          <t>$59.25</t>
        </is>
      </c>
      <c r="F4" s="5" t="n"/>
      <c r="G4" s="6" t="inlineStr">
        <is>
          <t>-42.9%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48" t="inlineStr">
        <is>
          <t>Period</t>
        </is>
      </c>
      <c r="B9" s="48" t="inlineStr">
        <is>
          <t>Actual Regs</t>
        </is>
      </c>
      <c r="C9" s="48" t="inlineStr">
        <is>
          <t>Pred Regs</t>
        </is>
      </c>
      <c r="D9" s="48" t="inlineStr">
        <is>
          <t>CI Low</t>
        </is>
      </c>
      <c r="E9" s="48" t="inlineStr">
        <is>
          <t>CI High</t>
        </is>
      </c>
      <c r="F9" s="48" t="inlineStr">
        <is>
          <t>OP2 Target</t>
        </is>
      </c>
      <c r="G9" s="48" t="inlineStr">
        <is>
          <t>vs OP2 %</t>
        </is>
      </c>
      <c r="H9" s="48" t="inlineStr">
        <is>
          <t>Error %</t>
        </is>
      </c>
      <c r="I9" s="48" t="inlineStr">
        <is>
          <t>Confidence</t>
        </is>
      </c>
      <c r="J9" s="48" t="inlineStr">
        <is>
          <t>Score</t>
        </is>
      </c>
      <c r="K9" s="48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11177.57653061224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48" t="inlineStr">
        <is>
          <t>Period</t>
        </is>
      </c>
      <c r="B13" s="48" t="inlineStr">
        <is>
          <t>Actual Regs</t>
        </is>
      </c>
      <c r="C13" s="48" t="inlineStr">
        <is>
          <t>Pred Regs</t>
        </is>
      </c>
      <c r="D13" s="48" t="inlineStr">
        <is>
          <t>CI Low</t>
        </is>
      </c>
      <c r="E13" s="48" t="inlineStr">
        <is>
          <t>CI High</t>
        </is>
      </c>
      <c r="F13" s="48" t="inlineStr">
        <is>
          <t>OP2 Target</t>
        </is>
      </c>
      <c r="G13" s="48" t="inlineStr">
        <is>
          <t>vs OP2 %</t>
        </is>
      </c>
      <c r="H13" s="48" t="inlineStr">
        <is>
          <t>Error %</t>
        </is>
      </c>
      <c r="I13" s="48" t="inlineStr">
        <is>
          <t>Confidence</t>
        </is>
      </c>
      <c r="J13" s="48" t="inlineStr">
        <is>
          <t>Score</t>
        </is>
      </c>
      <c r="K13" s="48" t="inlineStr">
        <is>
          <t>Notes</t>
        </is>
      </c>
    </row>
    <row r="14">
      <c r="A14" s="9" t="inlineStr">
        <is>
          <t>Q1</t>
        </is>
      </c>
      <c r="B14" s="10" t="n">
        <v>3637</v>
      </c>
      <c r="C14" s="10" t="n"/>
      <c r="D14" s="10" t="n"/>
      <c r="E14" s="10" t="n"/>
      <c r="F14" s="10" t="n">
        <v>2726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2795.392857142857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2511.607142857142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3144.576530612245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48" t="inlineStr">
        <is>
          <t>Period</t>
        </is>
      </c>
      <c r="B20" s="48" t="inlineStr">
        <is>
          <t>Actual Regs</t>
        </is>
      </c>
      <c r="C20" s="48" t="inlineStr">
        <is>
          <t>Pred Regs</t>
        </is>
      </c>
      <c r="D20" s="48" t="inlineStr">
        <is>
          <t>CI Low</t>
        </is>
      </c>
      <c r="E20" s="48" t="inlineStr">
        <is>
          <t>CI High</t>
        </is>
      </c>
      <c r="F20" s="48" t="inlineStr">
        <is>
          <t>OP2 Target</t>
        </is>
      </c>
      <c r="G20" s="48" t="inlineStr">
        <is>
          <t>vs OP2 %</t>
        </is>
      </c>
      <c r="H20" s="48" t="inlineStr">
        <is>
          <t>Error %</t>
        </is>
      </c>
      <c r="I20" s="48" t="inlineStr">
        <is>
          <t>Confidence</t>
        </is>
      </c>
      <c r="J20" s="48" t="inlineStr">
        <is>
          <t>Score</t>
        </is>
      </c>
      <c r="K20" s="48" t="inlineStr">
        <is>
          <t>Notes</t>
        </is>
      </c>
    </row>
    <row r="21">
      <c r="A21" s="9" t="inlineStr">
        <is>
          <t>Jan</t>
        </is>
      </c>
      <c r="B21" s="10" t="n">
        <v>945</v>
      </c>
      <c r="C21" s="10" t="n"/>
      <c r="D21" s="10" t="n"/>
      <c r="E21" s="10" t="n"/>
      <c r="F21" s="10" t="n">
        <v>1022.25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1067</v>
      </c>
      <c r="C22" s="15" t="n"/>
      <c r="D22" s="15" t="n"/>
      <c r="E22" s="15" t="n"/>
      <c r="F22" s="15" t="n">
        <v>845.1428571428571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1625</v>
      </c>
      <c r="C23" s="10" t="n"/>
      <c r="D23" s="10" t="n"/>
      <c r="E23" s="10" t="n"/>
      <c r="F23" s="10" t="n">
        <v>858.6071428571428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791.2857142857142</v>
      </c>
      <c r="D24" s="23" t="n">
        <v>673</v>
      </c>
      <c r="E24" s="23" t="n">
        <v>910</v>
      </c>
      <c r="F24" s="23" t="n">
        <v>791.2857142857142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984.9642857142857</v>
      </c>
      <c r="D25" s="23" t="n">
        <v>837</v>
      </c>
      <c r="E25" s="23" t="n">
        <v>1133</v>
      </c>
      <c r="F25" s="23" t="n">
        <v>984.9642857142857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1019.142857142857</v>
      </c>
      <c r="D26" s="23" t="n">
        <v>866</v>
      </c>
      <c r="E26" s="23" t="n">
        <v>1172</v>
      </c>
      <c r="F26" s="23" t="n">
        <v>1019.142857142857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1115.464285714286</v>
      </c>
      <c r="D27" s="23" t="n">
        <v>948</v>
      </c>
      <c r="E27" s="23" t="n">
        <v>1283</v>
      </c>
      <c r="F27" s="23" t="n">
        <v>1115.464285714286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774.7142857142856</v>
      </c>
      <c r="D28" s="23" t="n">
        <v>659</v>
      </c>
      <c r="E28" s="23" t="n">
        <v>891</v>
      </c>
      <c r="F28" s="23" t="n">
        <v>774.7142857142856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621.4285714285713</v>
      </c>
      <c r="D29" s="23" t="n">
        <v>528</v>
      </c>
      <c r="E29" s="23" t="n">
        <v>715</v>
      </c>
      <c r="F29" s="23" t="n">
        <v>621.4285714285713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1157.928571428571</v>
      </c>
      <c r="D30" s="23" t="n">
        <v>984</v>
      </c>
      <c r="E30" s="23" t="n">
        <v>1332</v>
      </c>
      <c r="F30" s="23" t="n">
        <v>1157.928571428571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1231.464285714286</v>
      </c>
      <c r="D31" s="23" t="n">
        <v>1047</v>
      </c>
      <c r="E31" s="23" t="n">
        <v>1416</v>
      </c>
      <c r="F31" s="23" t="n">
        <v>1231.464285714286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755.1836734693877</v>
      </c>
      <c r="D32" s="23" t="n">
        <v>642</v>
      </c>
      <c r="E32" s="23" t="n">
        <v>868</v>
      </c>
      <c r="F32" s="23" t="n">
        <v>755.1836734693877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48" t="inlineStr">
        <is>
          <t>Week</t>
        </is>
      </c>
      <c r="B35" s="48" t="inlineStr">
        <is>
          <t>Wk#</t>
        </is>
      </c>
      <c r="C35" s="48" t="inlineStr">
        <is>
          <t>Actual Regs</t>
        </is>
      </c>
      <c r="D35" s="48" t="inlineStr">
        <is>
          <t>Actual Cost</t>
        </is>
      </c>
      <c r="E35" s="48" t="inlineStr">
        <is>
          <t>Actual CPA</t>
        </is>
      </c>
      <c r="F35" s="48" t="inlineStr">
        <is>
          <t>Pred Regs</t>
        </is>
      </c>
      <c r="G35" s="48" t="inlineStr">
        <is>
          <t>CI Low</t>
        </is>
      </c>
      <c r="H35" s="48" t="inlineStr">
        <is>
          <t>CI High</t>
        </is>
      </c>
      <c r="I35" s="48" t="inlineStr">
        <is>
          <t>Confidence</t>
        </is>
      </c>
      <c r="J35" s="48" t="inlineStr">
        <is>
          <t>Error %</t>
        </is>
      </c>
      <c r="K35" s="48" t="inlineStr">
        <is>
          <t>Within CI</t>
        </is>
      </c>
      <c r="L35" s="48" t="inlineStr">
        <is>
          <t>WoW Δ%</t>
        </is>
      </c>
      <c r="M35" s="48" t="inlineStr">
        <is>
          <t>Brand Regs</t>
        </is>
      </c>
      <c r="N35" s="48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183</v>
      </c>
      <c r="D36" s="11" t="n">
        <v>7424</v>
      </c>
      <c r="E36" s="12" t="n">
        <v>40.57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100</v>
      </c>
      <c r="N36" s="10" t="n">
        <v>83</v>
      </c>
    </row>
    <row r="37">
      <c r="A37" s="14" t="inlineStr">
        <is>
          <t>2026 W2</t>
        </is>
      </c>
      <c r="B37" s="14" t="n">
        <v>2</v>
      </c>
      <c r="C37" s="15" t="n">
        <v>252</v>
      </c>
      <c r="D37" s="16" t="n">
        <v>8650</v>
      </c>
      <c r="E37" s="17" t="n">
        <v>34.33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155</v>
      </c>
      <c r="N37" s="15" t="n">
        <v>97</v>
      </c>
    </row>
    <row r="38">
      <c r="A38" s="9" t="inlineStr">
        <is>
          <t>2026 W3</t>
        </is>
      </c>
      <c r="B38" s="9" t="n">
        <v>3</v>
      </c>
      <c r="C38" s="10" t="n">
        <v>270</v>
      </c>
      <c r="D38" s="11" t="n">
        <v>12821</v>
      </c>
      <c r="E38" s="12" t="n">
        <v>47.49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153</v>
      </c>
      <c r="N38" s="10" t="n">
        <v>117</v>
      </c>
    </row>
    <row r="39">
      <c r="A39" s="14" t="inlineStr">
        <is>
          <t>2026 W4</t>
        </is>
      </c>
      <c r="B39" s="14" t="n">
        <v>4</v>
      </c>
      <c r="C39" s="15" t="n">
        <v>240</v>
      </c>
      <c r="D39" s="16" t="n">
        <v>14672</v>
      </c>
      <c r="E39" s="17" t="n">
        <v>61.13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123</v>
      </c>
      <c r="N39" s="15" t="n">
        <v>117</v>
      </c>
    </row>
    <row r="40">
      <c r="A40" s="9" t="inlineStr">
        <is>
          <t>2026 W5</t>
        </is>
      </c>
      <c r="B40" s="9" t="n">
        <v>5</v>
      </c>
      <c r="C40" s="10" t="n">
        <v>224</v>
      </c>
      <c r="D40" s="11" t="n">
        <v>16772</v>
      </c>
      <c r="E40" s="12" t="n">
        <v>74.87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130</v>
      </c>
      <c r="N40" s="10" t="n">
        <v>94</v>
      </c>
    </row>
    <row r="41">
      <c r="A41" s="14" t="inlineStr">
        <is>
          <t>2026 W6</t>
        </is>
      </c>
      <c r="B41" s="14" t="n">
        <v>6</v>
      </c>
      <c r="C41" s="15" t="n">
        <v>229</v>
      </c>
      <c r="D41" s="16" t="n">
        <v>15530</v>
      </c>
      <c r="E41" s="17" t="n">
        <v>67.81999999999999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140</v>
      </c>
      <c r="N41" s="15" t="n">
        <v>89</v>
      </c>
    </row>
    <row r="42">
      <c r="A42" s="9" t="inlineStr">
        <is>
          <t>2026 W7</t>
        </is>
      </c>
      <c r="B42" s="9" t="n">
        <v>7</v>
      </c>
      <c r="C42" s="10" t="n">
        <v>246</v>
      </c>
      <c r="D42" s="11" t="n">
        <v>13995</v>
      </c>
      <c r="E42" s="12" t="n">
        <v>56.89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158</v>
      </c>
      <c r="N42" s="10" t="n">
        <v>88</v>
      </c>
    </row>
    <row r="43">
      <c r="A43" s="14" t="inlineStr">
        <is>
          <t>2026 W8</t>
        </is>
      </c>
      <c r="B43" s="14" t="n">
        <v>8</v>
      </c>
      <c r="C43" s="15" t="n">
        <v>368</v>
      </c>
      <c r="D43" s="16" t="n">
        <v>18669</v>
      </c>
      <c r="E43" s="17" t="n">
        <v>50.73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270</v>
      </c>
      <c r="N43" s="15" t="n">
        <v>98</v>
      </c>
    </row>
    <row r="44">
      <c r="A44" s="9" t="inlineStr">
        <is>
          <t>2026 W9</t>
        </is>
      </c>
      <c r="B44" s="9" t="n">
        <v>9</v>
      </c>
      <c r="C44" s="10" t="n">
        <v>262</v>
      </c>
      <c r="D44" s="11" t="n">
        <v>19733</v>
      </c>
      <c r="E44" s="12" t="n">
        <v>75.31999999999999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166</v>
      </c>
      <c r="N44" s="10" t="n">
        <v>96</v>
      </c>
    </row>
    <row r="45">
      <c r="A45" s="14" t="inlineStr">
        <is>
          <t>2026 W10</t>
        </is>
      </c>
      <c r="B45" s="14" t="n">
        <v>10</v>
      </c>
      <c r="C45" s="15" t="n">
        <v>297</v>
      </c>
      <c r="D45" s="16" t="n">
        <v>20509</v>
      </c>
      <c r="E45" s="17" t="n">
        <v>69.05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199</v>
      </c>
      <c r="N45" s="15" t="n">
        <v>98</v>
      </c>
    </row>
    <row r="46">
      <c r="A46" s="9" t="inlineStr">
        <is>
          <t>2026 W11</t>
        </is>
      </c>
      <c r="B46" s="9" t="n">
        <v>11</v>
      </c>
      <c r="C46" s="10" t="n">
        <v>390</v>
      </c>
      <c r="D46" s="11" t="n">
        <v>22462</v>
      </c>
      <c r="E46" s="12" t="n">
        <v>57.59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244</v>
      </c>
      <c r="N46" s="10" t="n">
        <v>146</v>
      </c>
    </row>
    <row r="47">
      <c r="A47" s="14" t="inlineStr">
        <is>
          <t>2026 W12</t>
        </is>
      </c>
      <c r="B47" s="14" t="n">
        <v>12</v>
      </c>
      <c r="C47" s="15" t="n">
        <v>324</v>
      </c>
      <c r="D47" s="16" t="n">
        <v>20134</v>
      </c>
      <c r="E47" s="17" t="n">
        <v>62.14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203</v>
      </c>
      <c r="N47" s="15" t="n">
        <v>121</v>
      </c>
    </row>
    <row r="48">
      <c r="A48" s="9" t="inlineStr">
        <is>
          <t>2026 W13</t>
        </is>
      </c>
      <c r="B48" s="9" t="n">
        <v>13</v>
      </c>
      <c r="C48" s="10" t="n">
        <v>352</v>
      </c>
      <c r="D48" s="11" t="n">
        <v>23220</v>
      </c>
      <c r="E48" s="12" t="n">
        <v>65.95999999999999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212</v>
      </c>
      <c r="N48" s="10" t="n">
        <v>140</v>
      </c>
    </row>
    <row r="49">
      <c r="A49" s="14" t="inlineStr">
        <is>
          <t>2026 W14</t>
        </is>
      </c>
      <c r="B49" s="14" t="n">
        <v>14</v>
      </c>
      <c r="C49" s="15" t="n">
        <v>238</v>
      </c>
      <c r="D49" s="16" t="n">
        <v>19418</v>
      </c>
      <c r="E49" s="17" t="n">
        <v>81.59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137</v>
      </c>
      <c r="N49" s="15" t="n">
        <v>101</v>
      </c>
    </row>
    <row r="50">
      <c r="A50" s="9" t="inlineStr">
        <is>
          <t>2026 W15</t>
        </is>
      </c>
      <c r="B50" s="9" t="n">
        <v>15</v>
      </c>
      <c r="C50" s="10" t="n">
        <v>504</v>
      </c>
      <c r="D50" s="11" t="n">
        <v>25444</v>
      </c>
      <c r="E50" s="12" t="n">
        <v>50.48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372</v>
      </c>
      <c r="N50" s="10" t="n">
        <v>132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198</v>
      </c>
      <c r="G51" s="23" t="n">
        <v>158</v>
      </c>
      <c r="H51" s="23" t="n">
        <v>238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198</v>
      </c>
      <c r="G52" s="23" t="n">
        <v>158</v>
      </c>
      <c r="H52" s="23" t="n">
        <v>238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197</v>
      </c>
      <c r="G53" s="23" t="n">
        <v>158</v>
      </c>
      <c r="H53" s="23" t="n">
        <v>236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197</v>
      </c>
      <c r="G54" s="23" t="n">
        <v>158</v>
      </c>
      <c r="H54" s="23" t="n">
        <v>236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197</v>
      </c>
      <c r="G55" s="23" t="n">
        <v>158</v>
      </c>
      <c r="H55" s="23" t="n">
        <v>236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197</v>
      </c>
      <c r="G56" s="23" t="n">
        <v>158</v>
      </c>
      <c r="H56" s="23" t="n">
        <v>236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197</v>
      </c>
      <c r="G57" s="23" t="n">
        <v>158</v>
      </c>
      <c r="H57" s="23" t="n">
        <v>236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255</v>
      </c>
      <c r="G58" s="23" t="n">
        <v>204</v>
      </c>
      <c r="H58" s="23" t="n">
        <v>306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255</v>
      </c>
      <c r="G59" s="23" t="n">
        <v>204</v>
      </c>
      <c r="H59" s="23" t="n">
        <v>306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255</v>
      </c>
      <c r="G60" s="23" t="n">
        <v>204</v>
      </c>
      <c r="H60" s="23" t="n">
        <v>306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255</v>
      </c>
      <c r="G61" s="23" t="n">
        <v>204</v>
      </c>
      <c r="H61" s="23" t="n">
        <v>306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223</v>
      </c>
      <c r="G62" s="23" t="n">
        <v>178</v>
      </c>
      <c r="H62" s="23" t="n">
        <v>268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223</v>
      </c>
      <c r="G63" s="23" t="n">
        <v>178</v>
      </c>
      <c r="H63" s="23" t="n">
        <v>268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223</v>
      </c>
      <c r="G64" s="23" t="n">
        <v>178</v>
      </c>
      <c r="H64" s="23" t="n">
        <v>268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223</v>
      </c>
      <c r="G65" s="23" t="n">
        <v>178</v>
      </c>
      <c r="H65" s="23" t="n">
        <v>268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223</v>
      </c>
      <c r="G66" s="23" t="n">
        <v>178</v>
      </c>
      <c r="H66" s="23" t="n">
        <v>268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194</v>
      </c>
      <c r="G67" s="23" t="n">
        <v>155</v>
      </c>
      <c r="H67" s="23" t="n">
        <v>233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194</v>
      </c>
      <c r="G68" s="23" t="n">
        <v>155</v>
      </c>
      <c r="H68" s="23" t="n">
        <v>233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194</v>
      </c>
      <c r="G69" s="23" t="n">
        <v>155</v>
      </c>
      <c r="H69" s="23" t="n">
        <v>233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194</v>
      </c>
      <c r="G70" s="23" t="n">
        <v>155</v>
      </c>
      <c r="H70" s="23" t="n">
        <v>233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155</v>
      </c>
      <c r="G71" s="23" t="n">
        <v>124</v>
      </c>
      <c r="H71" s="23" t="n">
        <v>186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155</v>
      </c>
      <c r="G72" s="23" t="n">
        <v>124</v>
      </c>
      <c r="H72" s="23" t="n">
        <v>186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155</v>
      </c>
      <c r="G73" s="23" t="n">
        <v>124</v>
      </c>
      <c r="H73" s="23" t="n">
        <v>186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155</v>
      </c>
      <c r="G74" s="23" t="n">
        <v>124</v>
      </c>
      <c r="H74" s="23" t="n">
        <v>186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232</v>
      </c>
      <c r="G75" s="23" t="n">
        <v>186</v>
      </c>
      <c r="H75" s="23" t="n">
        <v>278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232</v>
      </c>
      <c r="G76" s="23" t="n">
        <v>186</v>
      </c>
      <c r="H76" s="23" t="n">
        <v>278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232</v>
      </c>
      <c r="G77" s="23" t="n">
        <v>186</v>
      </c>
      <c r="H77" s="23" t="n">
        <v>278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232</v>
      </c>
      <c r="G78" s="23" t="n">
        <v>186</v>
      </c>
      <c r="H78" s="23" t="n">
        <v>278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232</v>
      </c>
      <c r="G79" s="23" t="n">
        <v>186</v>
      </c>
      <c r="H79" s="23" t="n">
        <v>278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308</v>
      </c>
      <c r="G80" s="23" t="n">
        <v>246</v>
      </c>
      <c r="H80" s="23" t="n">
        <v>370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308</v>
      </c>
      <c r="G81" s="23" t="n">
        <v>246</v>
      </c>
      <c r="H81" s="23" t="n">
        <v>370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308</v>
      </c>
      <c r="G82" s="23" t="n">
        <v>246</v>
      </c>
      <c r="H82" s="23" t="n">
        <v>370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308</v>
      </c>
      <c r="G83" s="23" t="n">
        <v>246</v>
      </c>
      <c r="H83" s="23" t="n">
        <v>370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189</v>
      </c>
      <c r="G84" s="23" t="n">
        <v>151</v>
      </c>
      <c r="H84" s="23" t="n">
        <v>227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189</v>
      </c>
      <c r="G85" s="23" t="n">
        <v>151</v>
      </c>
      <c r="H85" s="23" t="n">
        <v>227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189</v>
      </c>
      <c r="G86" s="23" t="n">
        <v>151</v>
      </c>
      <c r="H86" s="23" t="n">
        <v>227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189</v>
      </c>
      <c r="G87" s="23" t="n">
        <v>151</v>
      </c>
      <c r="H87" s="23" t="n">
        <v>227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D35400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49" t="inlineStr">
        <is>
          <t>AU — Forecast Tracker 2026</t>
        </is>
      </c>
    </row>
    <row r="3">
      <c r="A3" s="3" t="inlineStr">
        <is>
          <t>YTD REGS</t>
        </is>
      </c>
      <c r="B3" s="5" t="n"/>
      <c r="C3" s="3" t="inlineStr">
        <is>
          <t>YTD SPEND</t>
        </is>
      </c>
      <c r="D3" s="5" t="n"/>
      <c r="E3" s="3" t="inlineStr">
        <is>
          <t>AVG CPA</t>
        </is>
      </c>
      <c r="F3" s="5" t="n"/>
      <c r="G3" s="3" t="inlineStr">
        <is>
          <t>vs OP2</t>
        </is>
      </c>
      <c r="H3" s="5" t="n"/>
    </row>
    <row r="4">
      <c r="A4" s="6" t="inlineStr">
        <is>
          <t>3,590</t>
        </is>
      </c>
      <c r="B4" s="5" t="n"/>
      <c r="C4" s="6" t="inlineStr">
        <is>
          <t>$472,027</t>
        </is>
      </c>
      <c r="D4" s="5" t="n"/>
      <c r="E4" s="6" t="inlineStr">
        <is>
          <t>$131.48</t>
        </is>
      </c>
      <c r="F4" s="5" t="n"/>
      <c r="G4" s="6" t="inlineStr">
        <is>
          <t>-17.4%</t>
        </is>
      </c>
      <c r="H4" s="5" t="n"/>
    </row>
    <row r="5">
      <c r="A5" s="3" t="inlineStr">
        <is>
          <t>W1–W15</t>
        </is>
      </c>
      <c r="B5" s="5" t="n"/>
      <c r="C5" s="7" t="n"/>
      <c r="D5" s="7" t="n"/>
      <c r="E5" s="7" t="n"/>
      <c r="F5" s="7" t="n"/>
      <c r="G5" s="3" t="inlineStr">
        <is>
          <t>bayesian</t>
        </is>
      </c>
      <c r="H5" s="5" t="n"/>
    </row>
    <row r="8">
      <c r="A8" s="20" t="inlineStr">
        <is>
          <t>YEAR-END PROJECTION</t>
        </is>
      </c>
    </row>
    <row r="9">
      <c r="A9" s="50" t="inlineStr">
        <is>
          <t>Period</t>
        </is>
      </c>
      <c r="B9" s="50" t="inlineStr">
        <is>
          <t>Actual Regs</t>
        </is>
      </c>
      <c r="C9" s="50" t="inlineStr">
        <is>
          <t>Pred Regs</t>
        </is>
      </c>
      <c r="D9" s="50" t="inlineStr">
        <is>
          <t>CI Low</t>
        </is>
      </c>
      <c r="E9" s="50" t="inlineStr">
        <is>
          <t>CI High</t>
        </is>
      </c>
      <c r="F9" s="50" t="inlineStr">
        <is>
          <t>OP2 Target</t>
        </is>
      </c>
      <c r="G9" s="50" t="inlineStr">
        <is>
          <t>vs OP2 %</t>
        </is>
      </c>
      <c r="H9" s="50" t="inlineStr">
        <is>
          <t>Error %</t>
        </is>
      </c>
      <c r="I9" s="50" t="inlineStr">
        <is>
          <t>Confidence</t>
        </is>
      </c>
      <c r="J9" s="50" t="inlineStr">
        <is>
          <t>Score</t>
        </is>
      </c>
      <c r="K9" s="50" t="inlineStr">
        <is>
          <t>Notes</t>
        </is>
      </c>
    </row>
    <row r="10">
      <c r="A10" s="22" t="inlineStr">
        <is>
          <t>2026 Full Year</t>
        </is>
      </c>
      <c r="B10" s="23" t="n"/>
      <c r="C10" s="23" t="n"/>
      <c r="D10" s="23" t="n"/>
      <c r="E10" s="23" t="n"/>
      <c r="F10" s="23" t="n">
        <v>12905.5306122449</v>
      </c>
      <c r="G10" s="24">
        <f>IF(AND(B10&gt;0,F10&gt;0),(B10-F10)/F10,"")</f>
        <v/>
      </c>
      <c r="H10" s="25">
        <f>IF(AND(B10&gt;0,C10&gt;0),ABS(C10-B10)/B10,"")</f>
        <v/>
      </c>
      <c r="I10" s="26" t="n"/>
      <c r="J10" s="22" t="n"/>
      <c r="K10" s="22" t="n"/>
    </row>
    <row r="12">
      <c r="A12" s="20" t="inlineStr">
        <is>
          <t>QUARTERLY PROJECTIONS</t>
        </is>
      </c>
    </row>
    <row r="13">
      <c r="A13" s="50" t="inlineStr">
        <is>
          <t>Period</t>
        </is>
      </c>
      <c r="B13" s="50" t="inlineStr">
        <is>
          <t>Actual Regs</t>
        </is>
      </c>
      <c r="C13" s="50" t="inlineStr">
        <is>
          <t>Pred Regs</t>
        </is>
      </c>
      <c r="D13" s="50" t="inlineStr">
        <is>
          <t>CI Low</t>
        </is>
      </c>
      <c r="E13" s="50" t="inlineStr">
        <is>
          <t>CI High</t>
        </is>
      </c>
      <c r="F13" s="50" t="inlineStr">
        <is>
          <t>OP2 Target</t>
        </is>
      </c>
      <c r="G13" s="50" t="inlineStr">
        <is>
          <t>vs OP2 %</t>
        </is>
      </c>
      <c r="H13" s="50" t="inlineStr">
        <is>
          <t>Error %</t>
        </is>
      </c>
      <c r="I13" s="50" t="inlineStr">
        <is>
          <t>Confidence</t>
        </is>
      </c>
      <c r="J13" s="50" t="inlineStr">
        <is>
          <t>Score</t>
        </is>
      </c>
      <c r="K13" s="50" t="inlineStr">
        <is>
          <t>Notes</t>
        </is>
      </c>
    </row>
    <row r="14">
      <c r="A14" s="9" t="inlineStr">
        <is>
          <t>Q1</t>
        </is>
      </c>
      <c r="B14" s="10" t="n">
        <v>3254</v>
      </c>
      <c r="C14" s="10" t="n"/>
      <c r="D14" s="10" t="n"/>
      <c r="E14" s="10" t="n"/>
      <c r="F14" s="10" t="n">
        <v>3331.816326530612</v>
      </c>
      <c r="G14" s="27">
        <f>IF(AND(B14&gt;0,F14&gt;0),(B14-F14)/F14,"")</f>
        <v/>
      </c>
      <c r="H14" s="28">
        <f>IF(AND(B14&gt;0,C14&gt;0),ABS(C14-B14)/B14,"")</f>
        <v/>
      </c>
      <c r="I14" s="29" t="n"/>
      <c r="J14" s="9" t="n"/>
      <c r="K14" s="9" t="n"/>
    </row>
    <row r="15">
      <c r="A15" s="22" t="inlineStr">
        <is>
          <t>Q2</t>
        </is>
      </c>
      <c r="B15" s="22" t="n"/>
      <c r="C15" s="23" t="n"/>
      <c r="D15" s="23" t="n"/>
      <c r="E15" s="23" t="n"/>
      <c r="F15" s="23" t="n">
        <v>3479.142857142857</v>
      </c>
      <c r="G15" s="24">
        <f>IF(AND(B15&gt;0,F15&gt;0),(B15-F15)/F15,"")</f>
        <v/>
      </c>
      <c r="H15" s="25">
        <f>IF(AND(B15&gt;0,C15&gt;0),ABS(C15-B15)/B15,"")</f>
        <v/>
      </c>
      <c r="I15" s="26" t="n"/>
      <c r="J15" s="22" t="n"/>
      <c r="K15" s="22" t="n"/>
    </row>
    <row r="16">
      <c r="A16" s="22" t="inlineStr">
        <is>
          <t>Q3</t>
        </is>
      </c>
      <c r="B16" s="22" t="n"/>
      <c r="C16" s="23" t="n"/>
      <c r="D16" s="23" t="n"/>
      <c r="E16" s="23" t="n"/>
      <c r="F16" s="23" t="n">
        <v>3237.551020408163</v>
      </c>
      <c r="G16" s="24">
        <f>IF(AND(B16&gt;0,F16&gt;0),(B16-F16)/F16,"")</f>
        <v/>
      </c>
      <c r="H16" s="25">
        <f>IF(AND(B16&gt;0,C16&gt;0),ABS(C16-B16)/B16,"")</f>
        <v/>
      </c>
      <c r="I16" s="26" t="n"/>
      <c r="J16" s="22" t="n"/>
      <c r="K16" s="22" t="n"/>
    </row>
    <row r="17">
      <c r="A17" s="22" t="inlineStr">
        <is>
          <t>Q4</t>
        </is>
      </c>
      <c r="B17" s="22" t="n"/>
      <c r="C17" s="23" t="n"/>
      <c r="D17" s="23" t="n"/>
      <c r="E17" s="23" t="n"/>
      <c r="F17" s="23" t="n">
        <v>2857.020408163265</v>
      </c>
      <c r="G17" s="24">
        <f>IF(AND(B17&gt;0,F17&gt;0),(B17-F17)/F17,"")</f>
        <v/>
      </c>
      <c r="H17" s="25">
        <f>IF(AND(B17&gt;0,C17&gt;0),ABS(C17-B17)/B17,"")</f>
        <v/>
      </c>
      <c r="I17" s="26" t="n"/>
      <c r="J17" s="22" t="n"/>
      <c r="K17" s="22" t="n"/>
    </row>
    <row r="19">
      <c r="A19" s="20" t="inlineStr">
        <is>
          <t>MONTHLY PROJECTIONS</t>
        </is>
      </c>
    </row>
    <row r="20">
      <c r="A20" s="50" t="inlineStr">
        <is>
          <t>Period</t>
        </is>
      </c>
      <c r="B20" s="50" t="inlineStr">
        <is>
          <t>Actual Regs</t>
        </is>
      </c>
      <c r="C20" s="50" t="inlineStr">
        <is>
          <t>Pred Regs</t>
        </is>
      </c>
      <c r="D20" s="50" t="inlineStr">
        <is>
          <t>CI Low</t>
        </is>
      </c>
      <c r="E20" s="50" t="inlineStr">
        <is>
          <t>CI High</t>
        </is>
      </c>
      <c r="F20" s="50" t="inlineStr">
        <is>
          <t>OP2 Target</t>
        </is>
      </c>
      <c r="G20" s="50" t="inlineStr">
        <is>
          <t>vs OP2 %</t>
        </is>
      </c>
      <c r="H20" s="50" t="inlineStr">
        <is>
          <t>Error %</t>
        </is>
      </c>
      <c r="I20" s="50" t="inlineStr">
        <is>
          <t>Confidence</t>
        </is>
      </c>
      <c r="J20" s="50" t="inlineStr">
        <is>
          <t>Score</t>
        </is>
      </c>
      <c r="K20" s="50" t="inlineStr">
        <is>
          <t>Notes</t>
        </is>
      </c>
    </row>
    <row r="21">
      <c r="A21" s="9" t="inlineStr">
        <is>
          <t>Jan</t>
        </is>
      </c>
      <c r="B21" s="10" t="n">
        <v>975</v>
      </c>
      <c r="C21" s="10" t="n"/>
      <c r="D21" s="10" t="n"/>
      <c r="E21" s="10" t="n"/>
      <c r="F21" s="10" t="n">
        <v>1139.734693877551</v>
      </c>
      <c r="G21" s="27">
        <f>IF(AND(B21&gt;0,F21&gt;0),(B21-F21)/F21,"")</f>
        <v/>
      </c>
      <c r="H21" s="28">
        <f>IF(AND(B21&gt;0,C21&gt;0),ABS(C21-B21)/B21,"")</f>
        <v/>
      </c>
      <c r="I21" s="29" t="n"/>
      <c r="J21" s="9" t="n"/>
      <c r="K21" s="9" t="n"/>
    </row>
    <row r="22">
      <c r="A22" s="14" t="inlineStr">
        <is>
          <t>Feb</t>
        </is>
      </c>
      <c r="B22" s="15" t="n">
        <v>1079</v>
      </c>
      <c r="C22" s="15" t="n"/>
      <c r="D22" s="15" t="n"/>
      <c r="E22" s="15" t="n"/>
      <c r="F22" s="15" t="n">
        <v>1110.428571428572</v>
      </c>
      <c r="G22" s="30">
        <f>IF(AND(B22&gt;0,F22&gt;0),(B22-F22)/F22,"")</f>
        <v/>
      </c>
      <c r="H22" s="31">
        <f>IF(AND(B22&gt;0,C22&gt;0),ABS(C22-B22)/B22,"")</f>
        <v/>
      </c>
      <c r="I22" s="32" t="n"/>
      <c r="J22" s="14" t="n"/>
      <c r="K22" s="14" t="n"/>
    </row>
    <row r="23">
      <c r="A23" s="9" t="inlineStr">
        <is>
          <t>Mar</t>
        </is>
      </c>
      <c r="B23" s="10" t="n">
        <v>1200</v>
      </c>
      <c r="C23" s="10" t="n"/>
      <c r="D23" s="10" t="n"/>
      <c r="E23" s="10" t="n"/>
      <c r="F23" s="10" t="n">
        <v>1081.65306122449</v>
      </c>
      <c r="G23" s="27">
        <f>IF(AND(B23&gt;0,F23&gt;0),(B23-F23)/F23,"")</f>
        <v/>
      </c>
      <c r="H23" s="28">
        <f>IF(AND(B23&gt;0,C23&gt;0),ABS(C23-B23)/B23,"")</f>
        <v/>
      </c>
      <c r="I23" s="29" t="n"/>
      <c r="J23" s="9" t="n"/>
      <c r="K23" s="9" t="n"/>
    </row>
    <row r="24">
      <c r="A24" s="22" t="inlineStr">
        <is>
          <t>Apr</t>
        </is>
      </c>
      <c r="B24" s="23" t="n"/>
      <c r="C24" s="23" t="n">
        <v>1071.244897959184</v>
      </c>
      <c r="D24" s="23" t="n">
        <v>911</v>
      </c>
      <c r="E24" s="23" t="n">
        <v>1232</v>
      </c>
      <c r="F24" s="23" t="n">
        <v>1071.244897959184</v>
      </c>
      <c r="G24" s="24">
        <f>IF(AND(B24&gt;0,F24&gt;0),(B24-F24)/F24,"")</f>
        <v/>
      </c>
      <c r="H24" s="25">
        <f>IF(AND(B24&gt;0,C24&gt;0),ABS(C24-B24)/B24,"")</f>
        <v/>
      </c>
      <c r="I24" s="26" t="n">
        <v>0.5</v>
      </c>
      <c r="J24" s="22" t="n"/>
      <c r="K24" s="22" t="inlineStr">
        <is>
          <t>OP2 baseline</t>
        </is>
      </c>
    </row>
    <row r="25">
      <c r="A25" s="22" t="inlineStr">
        <is>
          <t>May</t>
        </is>
      </c>
      <c r="B25" s="23" t="n"/>
      <c r="C25" s="23" t="n">
        <v>1188.65306122449</v>
      </c>
      <c r="D25" s="23" t="n">
        <v>1010</v>
      </c>
      <c r="E25" s="23" t="n">
        <v>1367</v>
      </c>
      <c r="F25" s="23" t="n">
        <v>1188.65306122449</v>
      </c>
      <c r="G25" s="24">
        <f>IF(AND(B25&gt;0,F25&gt;0),(B25-F25)/F25,"")</f>
        <v/>
      </c>
      <c r="H25" s="25">
        <f>IF(AND(B25&gt;0,C25&gt;0),ABS(C25-B25)/B25,"")</f>
        <v/>
      </c>
      <c r="I25" s="26" t="n">
        <v>0.5</v>
      </c>
      <c r="J25" s="22" t="n"/>
      <c r="K25" s="22" t="inlineStr">
        <is>
          <t>OP2 baseline</t>
        </is>
      </c>
    </row>
    <row r="26">
      <c r="A26" s="22" t="inlineStr">
        <is>
          <t>Jun</t>
        </is>
      </c>
      <c r="B26" s="23" t="n"/>
      <c r="C26" s="23" t="n">
        <v>1219.244897959184</v>
      </c>
      <c r="D26" s="23" t="n">
        <v>1036</v>
      </c>
      <c r="E26" s="23" t="n">
        <v>1402</v>
      </c>
      <c r="F26" s="23" t="n">
        <v>1219.244897959184</v>
      </c>
      <c r="G26" s="24">
        <f>IF(AND(B26&gt;0,F26&gt;0),(B26-F26)/F26,"")</f>
        <v/>
      </c>
      <c r="H26" s="25">
        <f>IF(AND(B26&gt;0,C26&gt;0),ABS(C26-B26)/B26,"")</f>
        <v/>
      </c>
      <c r="I26" s="26" t="n">
        <v>0.5</v>
      </c>
      <c r="J26" s="22" t="n"/>
      <c r="K26" s="22" t="inlineStr">
        <is>
          <t>OP2 baseline</t>
        </is>
      </c>
    </row>
    <row r="27">
      <c r="A27" s="22" t="inlineStr">
        <is>
          <t>Jul</t>
        </is>
      </c>
      <c r="B27" s="23" t="n"/>
      <c r="C27" s="23" t="n">
        <v>1104.65306122449</v>
      </c>
      <c r="D27" s="23" t="n">
        <v>939</v>
      </c>
      <c r="E27" s="23" t="n">
        <v>1270</v>
      </c>
      <c r="F27" s="23" t="n">
        <v>1104.65306122449</v>
      </c>
      <c r="G27" s="24">
        <f>IF(AND(B27&gt;0,F27&gt;0),(B27-F27)/F27,"")</f>
        <v/>
      </c>
      <c r="H27" s="25">
        <f>IF(AND(B27&gt;0,C27&gt;0),ABS(C27-B27)/B27,"")</f>
        <v/>
      </c>
      <c r="I27" s="26" t="n">
        <v>0.5</v>
      </c>
      <c r="J27" s="22" t="n"/>
      <c r="K27" s="22" t="inlineStr">
        <is>
          <t>OP2 baseline</t>
        </is>
      </c>
    </row>
    <row r="28">
      <c r="A28" s="22" t="inlineStr">
        <is>
          <t>Aug</t>
        </is>
      </c>
      <c r="B28" s="23" t="n"/>
      <c r="C28" s="23" t="n">
        <v>1061.65306122449</v>
      </c>
      <c r="D28" s="23" t="n">
        <v>902</v>
      </c>
      <c r="E28" s="23" t="n">
        <v>1221</v>
      </c>
      <c r="F28" s="23" t="n">
        <v>1061.65306122449</v>
      </c>
      <c r="G28" s="24">
        <f>IF(AND(B28&gt;0,F28&gt;0),(B28-F28)/F28,"")</f>
        <v/>
      </c>
      <c r="H28" s="25">
        <f>IF(AND(B28&gt;0,C28&gt;0),ABS(C28-B28)/B28,"")</f>
        <v/>
      </c>
      <c r="I28" s="26" t="n">
        <v>0.5</v>
      </c>
      <c r="J28" s="22" t="n"/>
      <c r="K28" s="22" t="inlineStr">
        <is>
          <t>OP2 baseline</t>
        </is>
      </c>
    </row>
    <row r="29">
      <c r="A29" s="22" t="inlineStr">
        <is>
          <t>Sep</t>
        </is>
      </c>
      <c r="B29" s="23" t="n"/>
      <c r="C29" s="23" t="n">
        <v>1071.244897959184</v>
      </c>
      <c r="D29" s="23" t="n">
        <v>911</v>
      </c>
      <c r="E29" s="23" t="n">
        <v>1232</v>
      </c>
      <c r="F29" s="23" t="n">
        <v>1071.244897959184</v>
      </c>
      <c r="G29" s="24">
        <f>IF(AND(B29&gt;0,F29&gt;0),(B29-F29)/F29,"")</f>
        <v/>
      </c>
      <c r="H29" s="25">
        <f>IF(AND(B29&gt;0,C29&gt;0),ABS(C29-B29)/B29,"")</f>
        <v/>
      </c>
      <c r="I29" s="26" t="n">
        <v>0.5</v>
      </c>
      <c r="J29" s="22" t="n"/>
      <c r="K29" s="22" t="inlineStr">
        <is>
          <t>OP2 baseline</t>
        </is>
      </c>
    </row>
    <row r="30">
      <c r="A30" s="22" t="inlineStr">
        <is>
          <t>Oct</t>
        </is>
      </c>
      <c r="B30" s="23" t="n"/>
      <c r="C30" s="23" t="n">
        <v>1082.65306122449</v>
      </c>
      <c r="D30" s="23" t="n">
        <v>920</v>
      </c>
      <c r="E30" s="23" t="n">
        <v>1245</v>
      </c>
      <c r="F30" s="23" t="n">
        <v>1082.65306122449</v>
      </c>
      <c r="G30" s="24">
        <f>IF(AND(B30&gt;0,F30&gt;0),(B30-F30)/F30,"")</f>
        <v/>
      </c>
      <c r="H30" s="25">
        <f>IF(AND(B30&gt;0,C30&gt;0),ABS(C30-B30)/B30,"")</f>
        <v/>
      </c>
      <c r="I30" s="26" t="n">
        <v>0.5</v>
      </c>
      <c r="J30" s="22" t="n"/>
      <c r="K30" s="22" t="inlineStr">
        <is>
          <t>OP2 baseline</t>
        </is>
      </c>
    </row>
    <row r="31">
      <c r="A31" s="22" t="inlineStr">
        <is>
          <t>Nov</t>
        </is>
      </c>
      <c r="B31" s="23" t="n"/>
      <c r="C31" s="23" t="n">
        <v>1006.244897959184</v>
      </c>
      <c r="D31" s="23" t="n">
        <v>855</v>
      </c>
      <c r="E31" s="23" t="n">
        <v>1157</v>
      </c>
      <c r="F31" s="23" t="n">
        <v>1006.244897959184</v>
      </c>
      <c r="G31" s="24">
        <f>IF(AND(B31&gt;0,F31&gt;0),(B31-F31)/F31,"")</f>
        <v/>
      </c>
      <c r="H31" s="25">
        <f>IF(AND(B31&gt;0,C31&gt;0),ABS(C31-B31)/B31,"")</f>
        <v/>
      </c>
      <c r="I31" s="26" t="n">
        <v>0.5</v>
      </c>
      <c r="J31" s="22" t="n"/>
      <c r="K31" s="22" t="inlineStr">
        <is>
          <t>OP2 baseline</t>
        </is>
      </c>
    </row>
    <row r="32">
      <c r="A32" s="22" t="inlineStr">
        <is>
          <t>Dec</t>
        </is>
      </c>
      <c r="B32" s="23" t="n"/>
      <c r="C32" s="23" t="n">
        <v>768.1224489795918</v>
      </c>
      <c r="D32" s="23" t="n">
        <v>653</v>
      </c>
      <c r="E32" s="23" t="n">
        <v>883</v>
      </c>
      <c r="F32" s="23" t="n">
        <v>768.1224489795918</v>
      </c>
      <c r="G32" s="24">
        <f>IF(AND(B32&gt;0,F32&gt;0),(B32-F32)/F32,"")</f>
        <v/>
      </c>
      <c r="H32" s="25">
        <f>IF(AND(B32&gt;0,C32&gt;0),ABS(C32-B32)/B32,"")</f>
        <v/>
      </c>
      <c r="I32" s="26" t="n">
        <v>0.5</v>
      </c>
      <c r="J32" s="22" t="n"/>
      <c r="K32" s="22" t="inlineStr">
        <is>
          <t>OP2 baseline</t>
        </is>
      </c>
    </row>
    <row r="34">
      <c r="A34" s="20" t="inlineStr">
        <is>
          <t>WEEKLY (W1–W52)</t>
        </is>
      </c>
    </row>
    <row r="35">
      <c r="A35" s="50" t="inlineStr">
        <is>
          <t>Week</t>
        </is>
      </c>
      <c r="B35" s="50" t="inlineStr">
        <is>
          <t>Wk#</t>
        </is>
      </c>
      <c r="C35" s="50" t="inlineStr">
        <is>
          <t>Actual Regs</t>
        </is>
      </c>
      <c r="D35" s="50" t="inlineStr">
        <is>
          <t>Actual Cost</t>
        </is>
      </c>
      <c r="E35" s="50" t="inlineStr">
        <is>
          <t>Actual CPA</t>
        </is>
      </c>
      <c r="F35" s="50" t="inlineStr">
        <is>
          <t>Pred Regs</t>
        </is>
      </c>
      <c r="G35" s="50" t="inlineStr">
        <is>
          <t>CI Low</t>
        </is>
      </c>
      <c r="H35" s="50" t="inlineStr">
        <is>
          <t>CI High</t>
        </is>
      </c>
      <c r="I35" s="50" t="inlineStr">
        <is>
          <t>Confidence</t>
        </is>
      </c>
      <c r="J35" s="50" t="inlineStr">
        <is>
          <t>Error %</t>
        </is>
      </c>
      <c r="K35" s="50" t="inlineStr">
        <is>
          <t>Within CI</t>
        </is>
      </c>
      <c r="L35" s="50" t="inlineStr">
        <is>
          <t>WoW Δ%</t>
        </is>
      </c>
      <c r="M35" s="50" t="inlineStr">
        <is>
          <t>Brand Regs</t>
        </is>
      </c>
      <c r="N35" s="50" t="inlineStr">
        <is>
          <t>NB Regs</t>
        </is>
      </c>
    </row>
    <row r="36">
      <c r="A36" s="9" t="inlineStr">
        <is>
          <t>2026 W1</t>
        </is>
      </c>
      <c r="B36" s="9" t="n">
        <v>1</v>
      </c>
      <c r="C36" s="10" t="n">
        <v>156</v>
      </c>
      <c r="D36" s="11" t="n">
        <v>14370</v>
      </c>
      <c r="E36" s="12" t="n">
        <v>92.11</v>
      </c>
      <c r="F36" s="10" t="n"/>
      <c r="G36" s="10" t="n"/>
      <c r="H36" s="10" t="n"/>
      <c r="I36" s="29" t="n"/>
      <c r="J36" s="28">
        <f>IF(AND(C36&gt;0,F36&gt;0),ABS(F36-C36)/C36,"")</f>
        <v/>
      </c>
      <c r="K36" s="9">
        <f>IF(AND(C36&gt;0,G36&gt;0),IF(AND(C36&gt;=G36,C36&lt;=H36),"✓","✗"),"")</f>
        <v/>
      </c>
      <c r="L36" s="9" t="n"/>
      <c r="M36" s="10" t="n">
        <v>66</v>
      </c>
      <c r="N36" s="10" t="n">
        <v>90</v>
      </c>
    </row>
    <row r="37">
      <c r="A37" s="14" t="inlineStr">
        <is>
          <t>2026 W2</t>
        </is>
      </c>
      <c r="B37" s="14" t="n">
        <v>2</v>
      </c>
      <c r="C37" s="15" t="n">
        <v>256</v>
      </c>
      <c r="D37" s="16" t="n">
        <v>28866</v>
      </c>
      <c r="E37" s="17" t="n">
        <v>112.76</v>
      </c>
      <c r="F37" s="15" t="n"/>
      <c r="G37" s="15" t="n"/>
      <c r="H37" s="15" t="n"/>
      <c r="I37" s="32" t="n"/>
      <c r="J37" s="31">
        <f>IF(AND(C37&gt;0,F37&gt;0),ABS(F37-C37)/C37,"")</f>
        <v/>
      </c>
      <c r="K37" s="14">
        <f>IF(AND(C37&gt;0,G37&gt;0),IF(AND(C37&gt;=G37,C37&lt;=H37),"✓","✗"),"")</f>
        <v/>
      </c>
      <c r="L37" s="30">
        <f>IF(AND(C37&gt;0,C36&gt;0),(C37-C36)/C36,"")</f>
        <v/>
      </c>
      <c r="M37" s="15" t="n">
        <v>95</v>
      </c>
      <c r="N37" s="15" t="n">
        <v>161</v>
      </c>
    </row>
    <row r="38">
      <c r="A38" s="9" t="inlineStr">
        <is>
          <t>2026 W3</t>
        </is>
      </c>
      <c r="B38" s="9" t="n">
        <v>3</v>
      </c>
      <c r="C38" s="10" t="n">
        <v>290</v>
      </c>
      <c r="D38" s="11" t="n">
        <v>36323</v>
      </c>
      <c r="E38" s="12" t="n">
        <v>125.25</v>
      </c>
      <c r="F38" s="10" t="n"/>
      <c r="G38" s="10" t="n"/>
      <c r="H38" s="10" t="n"/>
      <c r="I38" s="29" t="n"/>
      <c r="J38" s="28">
        <f>IF(AND(C38&gt;0,F38&gt;0),ABS(F38-C38)/C38,"")</f>
        <v/>
      </c>
      <c r="K38" s="9">
        <f>IF(AND(C38&gt;0,G38&gt;0),IF(AND(C38&gt;=G38,C38&lt;=H38),"✓","✗"),"")</f>
        <v/>
      </c>
      <c r="L38" s="27">
        <f>IF(AND(C38&gt;0,C37&gt;0),(C38-C37)/C37,"")</f>
        <v/>
      </c>
      <c r="M38" s="10" t="n">
        <v>121</v>
      </c>
      <c r="N38" s="10" t="n">
        <v>169</v>
      </c>
    </row>
    <row r="39">
      <c r="A39" s="14" t="inlineStr">
        <is>
          <t>2026 W4</t>
        </is>
      </c>
      <c r="B39" s="14" t="n">
        <v>4</v>
      </c>
      <c r="C39" s="15" t="n">
        <v>273</v>
      </c>
      <c r="D39" s="16" t="n">
        <v>30823</v>
      </c>
      <c r="E39" s="17" t="n">
        <v>112.9</v>
      </c>
      <c r="F39" s="15" t="n"/>
      <c r="G39" s="15" t="n"/>
      <c r="H39" s="15" t="n"/>
      <c r="I39" s="32" t="n"/>
      <c r="J39" s="31">
        <f>IF(AND(C39&gt;0,F39&gt;0),ABS(F39-C39)/C39,"")</f>
        <v/>
      </c>
      <c r="K39" s="14">
        <f>IF(AND(C39&gt;0,G39&gt;0),IF(AND(C39&gt;=G39,C39&lt;=H39),"✓","✗"),"")</f>
        <v/>
      </c>
      <c r="L39" s="30">
        <f>IF(AND(C39&gt;0,C38&gt;0),(C39-C38)/C38,"")</f>
        <v/>
      </c>
      <c r="M39" s="15" t="n">
        <v>105</v>
      </c>
      <c r="N39" s="15" t="n">
        <v>168</v>
      </c>
    </row>
    <row r="40">
      <c r="A40" s="9" t="inlineStr">
        <is>
          <t>2026 W5</t>
        </is>
      </c>
      <c r="B40" s="9" t="n">
        <v>5</v>
      </c>
      <c r="C40" s="10" t="n">
        <v>239</v>
      </c>
      <c r="D40" s="11" t="n">
        <v>40090</v>
      </c>
      <c r="E40" s="12" t="n">
        <v>167.74</v>
      </c>
      <c r="F40" s="10" t="n"/>
      <c r="G40" s="10" t="n"/>
      <c r="H40" s="10" t="n"/>
      <c r="I40" s="29" t="n"/>
      <c r="J40" s="28">
        <f>IF(AND(C40&gt;0,F40&gt;0),ABS(F40-C40)/C40,"")</f>
        <v/>
      </c>
      <c r="K40" s="9">
        <f>IF(AND(C40&gt;0,G40&gt;0),IF(AND(C40&gt;=G40,C40&lt;=H40),"✓","✗"),"")</f>
        <v/>
      </c>
      <c r="L40" s="27">
        <f>IF(AND(C40&gt;0,C39&gt;0),(C40-C39)/C39,"")</f>
        <v/>
      </c>
      <c r="M40" s="10" t="n">
        <v>97</v>
      </c>
      <c r="N40" s="10" t="n">
        <v>142</v>
      </c>
    </row>
    <row r="41">
      <c r="A41" s="14" t="inlineStr">
        <is>
          <t>2026 W6</t>
        </is>
      </c>
      <c r="B41" s="14" t="n">
        <v>6</v>
      </c>
      <c r="C41" s="15" t="n">
        <v>256</v>
      </c>
      <c r="D41" s="16" t="n">
        <v>42680</v>
      </c>
      <c r="E41" s="17" t="n">
        <v>166.72</v>
      </c>
      <c r="F41" s="15" t="n"/>
      <c r="G41" s="15" t="n"/>
      <c r="H41" s="15" t="n"/>
      <c r="I41" s="32" t="n"/>
      <c r="J41" s="31">
        <f>IF(AND(C41&gt;0,F41&gt;0),ABS(F41-C41)/C41,"")</f>
        <v/>
      </c>
      <c r="K41" s="14">
        <f>IF(AND(C41&gt;0,G41&gt;0),IF(AND(C41&gt;=G41,C41&lt;=H41),"✓","✗"),"")</f>
        <v/>
      </c>
      <c r="L41" s="30">
        <f>IF(AND(C41&gt;0,C40&gt;0),(C41-C40)/C40,"")</f>
        <v/>
      </c>
      <c r="M41" s="15" t="n">
        <v>106</v>
      </c>
      <c r="N41" s="15" t="n">
        <v>150</v>
      </c>
    </row>
    <row r="42">
      <c r="A42" s="9" t="inlineStr">
        <is>
          <t>2026 W7</t>
        </is>
      </c>
      <c r="B42" s="9" t="n">
        <v>7</v>
      </c>
      <c r="C42" s="10" t="n">
        <v>328</v>
      </c>
      <c r="D42" s="11" t="n">
        <v>42397</v>
      </c>
      <c r="E42" s="12" t="n">
        <v>129.26</v>
      </c>
      <c r="F42" s="10" t="n"/>
      <c r="G42" s="10" t="n"/>
      <c r="H42" s="10" t="n"/>
      <c r="I42" s="29" t="n"/>
      <c r="J42" s="28">
        <f>IF(AND(C42&gt;0,F42&gt;0),ABS(F42-C42)/C42,"")</f>
        <v/>
      </c>
      <c r="K42" s="9">
        <f>IF(AND(C42&gt;0,G42&gt;0),IF(AND(C42&gt;=G42,C42&lt;=H42),"✓","✗"),"")</f>
        <v/>
      </c>
      <c r="L42" s="27">
        <f>IF(AND(C42&gt;0,C41&gt;0),(C42-C41)/C41,"")</f>
        <v/>
      </c>
      <c r="M42" s="10" t="n">
        <v>152</v>
      </c>
      <c r="N42" s="10" t="n">
        <v>176</v>
      </c>
    </row>
    <row r="43">
      <c r="A43" s="14" t="inlineStr">
        <is>
          <t>2026 W8</t>
        </is>
      </c>
      <c r="B43" s="14" t="n">
        <v>8</v>
      </c>
      <c r="C43" s="15" t="n">
        <v>256</v>
      </c>
      <c r="D43" s="16" t="n">
        <v>37196</v>
      </c>
      <c r="E43" s="17" t="n">
        <v>145.3</v>
      </c>
      <c r="F43" s="15" t="n"/>
      <c r="G43" s="15" t="n"/>
      <c r="H43" s="15" t="n"/>
      <c r="I43" s="32" t="n"/>
      <c r="J43" s="31">
        <f>IF(AND(C43&gt;0,F43&gt;0),ABS(F43-C43)/C43,"")</f>
        <v/>
      </c>
      <c r="K43" s="14">
        <f>IF(AND(C43&gt;0,G43&gt;0),IF(AND(C43&gt;=G43,C43&lt;=H43),"✓","✗"),"")</f>
        <v/>
      </c>
      <c r="L43" s="30">
        <f>IF(AND(C43&gt;0,C42&gt;0),(C43-C42)/C42,"")</f>
        <v/>
      </c>
      <c r="M43" s="15" t="n">
        <v>94</v>
      </c>
      <c r="N43" s="15" t="n">
        <v>162</v>
      </c>
    </row>
    <row r="44">
      <c r="A44" s="9" t="inlineStr">
        <is>
          <t>2026 W9</t>
        </is>
      </c>
      <c r="B44" s="9" t="n">
        <v>9</v>
      </c>
      <c r="C44" s="10" t="n">
        <v>256</v>
      </c>
      <c r="D44" s="11" t="n">
        <v>36408</v>
      </c>
      <c r="E44" s="12" t="n">
        <v>142.22</v>
      </c>
      <c r="F44" s="10" t="n"/>
      <c r="G44" s="10" t="n"/>
      <c r="H44" s="10" t="n"/>
      <c r="I44" s="29" t="n"/>
      <c r="J44" s="28">
        <f>IF(AND(C44&gt;0,F44&gt;0),ABS(F44-C44)/C44,"")</f>
        <v/>
      </c>
      <c r="K44" s="9">
        <f>IF(AND(C44&gt;0,G44&gt;0),IF(AND(C44&gt;=G44,C44&lt;=H44),"✓","✗"),"")</f>
        <v/>
      </c>
      <c r="L44" s="27">
        <f>IF(AND(C44&gt;0,C43&gt;0),(C44-C43)/C43,"")</f>
        <v/>
      </c>
      <c r="M44" s="10" t="n">
        <v>121</v>
      </c>
      <c r="N44" s="10" t="n">
        <v>135</v>
      </c>
    </row>
    <row r="45">
      <c r="A45" s="14" t="inlineStr">
        <is>
          <t>2026 W10</t>
        </is>
      </c>
      <c r="B45" s="14" t="n">
        <v>10</v>
      </c>
      <c r="C45" s="15" t="n">
        <v>251</v>
      </c>
      <c r="D45" s="16" t="n">
        <v>31589</v>
      </c>
      <c r="E45" s="17" t="n">
        <v>125.85</v>
      </c>
      <c r="F45" s="15" t="n"/>
      <c r="G45" s="15" t="n"/>
      <c r="H45" s="15" t="n"/>
      <c r="I45" s="32" t="n"/>
      <c r="J45" s="31">
        <f>IF(AND(C45&gt;0,F45&gt;0),ABS(F45-C45)/C45,"")</f>
        <v/>
      </c>
      <c r="K45" s="14">
        <f>IF(AND(C45&gt;0,G45&gt;0),IF(AND(C45&gt;=G45,C45&lt;=H45),"✓","✗"),"")</f>
        <v/>
      </c>
      <c r="L45" s="30">
        <f>IF(AND(C45&gt;0,C44&gt;0),(C45-C44)/C44,"")</f>
        <v/>
      </c>
      <c r="M45" s="15" t="n">
        <v>111</v>
      </c>
      <c r="N45" s="15" t="n">
        <v>140</v>
      </c>
    </row>
    <row r="46">
      <c r="A46" s="9" t="inlineStr">
        <is>
          <t>2026 W11</t>
        </is>
      </c>
      <c r="B46" s="9" t="n">
        <v>11</v>
      </c>
      <c r="C46" s="10" t="n">
        <v>241</v>
      </c>
      <c r="D46" s="11" t="n">
        <v>30999</v>
      </c>
      <c r="E46" s="12" t="n">
        <v>128.63</v>
      </c>
      <c r="F46" s="10" t="n"/>
      <c r="G46" s="10" t="n"/>
      <c r="H46" s="10" t="n"/>
      <c r="I46" s="29" t="n"/>
      <c r="J46" s="28">
        <f>IF(AND(C46&gt;0,F46&gt;0),ABS(F46-C46)/C46,"")</f>
        <v/>
      </c>
      <c r="K46" s="9">
        <f>IF(AND(C46&gt;0,G46&gt;0),IF(AND(C46&gt;=G46,C46&lt;=H46),"✓","✗"),"")</f>
        <v/>
      </c>
      <c r="L46" s="27">
        <f>IF(AND(C46&gt;0,C45&gt;0),(C46-C45)/C45,"")</f>
        <v/>
      </c>
      <c r="M46" s="10" t="n">
        <v>108</v>
      </c>
      <c r="N46" s="10" t="n">
        <v>133</v>
      </c>
    </row>
    <row r="47">
      <c r="A47" s="14" t="inlineStr">
        <is>
          <t>2026 W12</t>
        </is>
      </c>
      <c r="B47" s="14" t="n">
        <v>12</v>
      </c>
      <c r="C47" s="15" t="n">
        <v>244</v>
      </c>
      <c r="D47" s="16" t="n">
        <v>28005</v>
      </c>
      <c r="E47" s="17" t="n">
        <v>114.77</v>
      </c>
      <c r="F47" s="15" t="n"/>
      <c r="G47" s="15" t="n"/>
      <c r="H47" s="15" t="n"/>
      <c r="I47" s="32" t="n"/>
      <c r="J47" s="31">
        <f>IF(AND(C47&gt;0,F47&gt;0),ABS(F47-C47)/C47,"")</f>
        <v/>
      </c>
      <c r="K47" s="14">
        <f>IF(AND(C47&gt;0,G47&gt;0),IF(AND(C47&gt;=G47,C47&lt;=H47),"✓","✗"),"")</f>
        <v/>
      </c>
      <c r="L47" s="30">
        <f>IF(AND(C47&gt;0,C46&gt;0),(C47-C46)/C46,"")</f>
        <v/>
      </c>
      <c r="M47" s="15" t="n">
        <v>119</v>
      </c>
      <c r="N47" s="15" t="n">
        <v>125</v>
      </c>
    </row>
    <row r="48">
      <c r="A48" s="9" t="inlineStr">
        <is>
          <t>2026 W13</t>
        </is>
      </c>
      <c r="B48" s="9" t="n">
        <v>13</v>
      </c>
      <c r="C48" s="10" t="n">
        <v>208</v>
      </c>
      <c r="D48" s="11" t="n">
        <v>24381</v>
      </c>
      <c r="E48" s="12" t="n">
        <v>117.22</v>
      </c>
      <c r="F48" s="10" t="n"/>
      <c r="G48" s="10" t="n"/>
      <c r="H48" s="10" t="n"/>
      <c r="I48" s="29" t="n"/>
      <c r="J48" s="28">
        <f>IF(AND(C48&gt;0,F48&gt;0),ABS(F48-C48)/C48,"")</f>
        <v/>
      </c>
      <c r="K48" s="9">
        <f>IF(AND(C48&gt;0,G48&gt;0),IF(AND(C48&gt;=G48,C48&lt;=H48),"✓","✗"),"")</f>
        <v/>
      </c>
      <c r="L48" s="27">
        <f>IF(AND(C48&gt;0,C47&gt;0),(C48-C47)/C47,"")</f>
        <v/>
      </c>
      <c r="M48" s="10" t="n">
        <v>98</v>
      </c>
      <c r="N48" s="10" t="n">
        <v>110</v>
      </c>
    </row>
    <row r="49">
      <c r="A49" s="14" t="inlineStr">
        <is>
          <t>2026 W14</t>
        </is>
      </c>
      <c r="B49" s="14" t="n">
        <v>14</v>
      </c>
      <c r="C49" s="15" t="n">
        <v>170</v>
      </c>
      <c r="D49" s="16" t="n">
        <v>22074</v>
      </c>
      <c r="E49" s="17" t="n">
        <v>129.84</v>
      </c>
      <c r="F49" s="15" t="n"/>
      <c r="G49" s="15" t="n"/>
      <c r="H49" s="15" t="n"/>
      <c r="I49" s="32" t="n"/>
      <c r="J49" s="31">
        <f>IF(AND(C49&gt;0,F49&gt;0),ABS(F49-C49)/C49,"")</f>
        <v/>
      </c>
      <c r="K49" s="14">
        <f>IF(AND(C49&gt;0,G49&gt;0),IF(AND(C49&gt;=G49,C49&lt;=H49),"✓","✗"),"")</f>
        <v/>
      </c>
      <c r="L49" s="30">
        <f>IF(AND(C49&gt;0,C48&gt;0),(C49-C48)/C48,"")</f>
        <v/>
      </c>
      <c r="M49" s="15" t="n">
        <v>96</v>
      </c>
      <c r="N49" s="15" t="n">
        <v>74</v>
      </c>
    </row>
    <row r="50">
      <c r="A50" s="9" t="inlineStr">
        <is>
          <t>2026 W15</t>
        </is>
      </c>
      <c r="B50" s="9" t="n">
        <v>15</v>
      </c>
      <c r="C50" s="10" t="n">
        <v>166</v>
      </c>
      <c r="D50" s="11" t="n">
        <v>25829</v>
      </c>
      <c r="E50" s="12" t="n">
        <v>155.59</v>
      </c>
      <c r="F50" s="10" t="n"/>
      <c r="G50" s="10" t="n"/>
      <c r="H50" s="10" t="n"/>
      <c r="I50" s="29" t="n"/>
      <c r="J50" s="28">
        <f>IF(AND(C50&gt;0,F50&gt;0),ABS(F50-C50)/C50,"")</f>
        <v/>
      </c>
      <c r="K50" s="9">
        <f>IF(AND(C50&gt;0,G50&gt;0),IF(AND(C50&gt;=G50,C50&lt;=H50),"✓","✗"),"")</f>
        <v/>
      </c>
      <c r="L50" s="27">
        <f>IF(AND(C50&gt;0,C49&gt;0),(C50-C49)/C49,"")</f>
        <v/>
      </c>
      <c r="M50" s="10" t="n">
        <v>76</v>
      </c>
      <c r="N50" s="10" t="n">
        <v>90</v>
      </c>
    </row>
    <row r="51">
      <c r="A51" s="22" t="inlineStr">
        <is>
          <t>2026 W16</t>
        </is>
      </c>
      <c r="B51" s="22" t="n">
        <v>16</v>
      </c>
      <c r="C51" s="22" t="n"/>
      <c r="D51" s="22" t="n"/>
      <c r="E51" s="22" t="n"/>
      <c r="F51" s="23" t="n">
        <v>268</v>
      </c>
      <c r="G51" s="23" t="n">
        <v>214</v>
      </c>
      <c r="H51" s="23" t="n">
        <v>322</v>
      </c>
      <c r="I51" s="26" t="n">
        <v>0.4</v>
      </c>
      <c r="J51" s="25">
        <f>IF(AND(C51&gt;0,F51&gt;0),ABS(F51-C51)/C51,"")</f>
        <v/>
      </c>
      <c r="K51" s="22">
        <f>IF(AND(C51&gt;0,G51&gt;0),IF(AND(C51&gt;=G51,C51&lt;=H51),"✓","✗"),"")</f>
        <v/>
      </c>
      <c r="L51" s="24">
        <f>IF(AND(C51&gt;0,C50&gt;0),(C51-C50)/C50,"")</f>
        <v/>
      </c>
      <c r="M51" s="22" t="n"/>
      <c r="N51" s="22" t="n"/>
    </row>
    <row r="52">
      <c r="A52" s="22" t="inlineStr">
        <is>
          <t>2026 W17</t>
        </is>
      </c>
      <c r="B52" s="22" t="n">
        <v>17</v>
      </c>
      <c r="C52" s="22" t="n"/>
      <c r="D52" s="22" t="n"/>
      <c r="E52" s="22" t="n"/>
      <c r="F52" s="23" t="n">
        <v>268</v>
      </c>
      <c r="G52" s="23" t="n">
        <v>214</v>
      </c>
      <c r="H52" s="23" t="n">
        <v>322</v>
      </c>
      <c r="I52" s="26" t="n">
        <v>0.4</v>
      </c>
      <c r="J52" s="25">
        <f>IF(AND(C52&gt;0,F52&gt;0),ABS(F52-C52)/C52,"")</f>
        <v/>
      </c>
      <c r="K52" s="22">
        <f>IF(AND(C52&gt;0,G52&gt;0),IF(AND(C52&gt;=G52,C52&lt;=H52),"✓","✗"),"")</f>
        <v/>
      </c>
      <c r="L52" s="24">
        <f>IF(AND(C52&gt;0,C51&gt;0),(C52-C51)/C51,"")</f>
        <v/>
      </c>
      <c r="M52" s="22" t="n"/>
      <c r="N52" s="22" t="n"/>
    </row>
    <row r="53">
      <c r="A53" s="22" t="inlineStr">
        <is>
          <t>2026 W18</t>
        </is>
      </c>
      <c r="B53" s="22" t="n">
        <v>18</v>
      </c>
      <c r="C53" s="22" t="n"/>
      <c r="D53" s="22" t="n"/>
      <c r="E53" s="22" t="n"/>
      <c r="F53" s="23" t="n">
        <v>238</v>
      </c>
      <c r="G53" s="23" t="n">
        <v>190</v>
      </c>
      <c r="H53" s="23" t="n">
        <v>286</v>
      </c>
      <c r="I53" s="26" t="n">
        <v>0.4</v>
      </c>
      <c r="J53" s="25">
        <f>IF(AND(C53&gt;0,F53&gt;0),ABS(F53-C53)/C53,"")</f>
        <v/>
      </c>
      <c r="K53" s="22">
        <f>IF(AND(C53&gt;0,G53&gt;0),IF(AND(C53&gt;=G53,C53&lt;=H53),"✓","✗"),"")</f>
        <v/>
      </c>
      <c r="L53" s="24">
        <f>IF(AND(C53&gt;0,C52&gt;0),(C53-C52)/C52,"")</f>
        <v/>
      </c>
      <c r="M53" s="22" t="n"/>
      <c r="N53" s="22" t="n"/>
    </row>
    <row r="54">
      <c r="A54" s="22" t="inlineStr">
        <is>
          <t>2026 W19</t>
        </is>
      </c>
      <c r="B54" s="22" t="n">
        <v>19</v>
      </c>
      <c r="C54" s="22" t="n"/>
      <c r="D54" s="22" t="n"/>
      <c r="E54" s="22" t="n"/>
      <c r="F54" s="23" t="n">
        <v>238</v>
      </c>
      <c r="G54" s="23" t="n">
        <v>190</v>
      </c>
      <c r="H54" s="23" t="n">
        <v>286</v>
      </c>
      <c r="I54" s="26" t="n">
        <v>0.4</v>
      </c>
      <c r="J54" s="25">
        <f>IF(AND(C54&gt;0,F54&gt;0),ABS(F54-C54)/C54,"")</f>
        <v/>
      </c>
      <c r="K54" s="22">
        <f>IF(AND(C54&gt;0,G54&gt;0),IF(AND(C54&gt;=G54,C54&lt;=H54),"✓","✗"),"")</f>
        <v/>
      </c>
      <c r="L54" s="24">
        <f>IF(AND(C54&gt;0,C53&gt;0),(C54-C53)/C53,"")</f>
        <v/>
      </c>
      <c r="M54" s="22" t="n"/>
      <c r="N54" s="22" t="n"/>
    </row>
    <row r="55">
      <c r="A55" s="22" t="inlineStr">
        <is>
          <t>2026 W20</t>
        </is>
      </c>
      <c r="B55" s="22" t="n">
        <v>20</v>
      </c>
      <c r="C55" s="22" t="n"/>
      <c r="D55" s="22" t="n"/>
      <c r="E55" s="22" t="n"/>
      <c r="F55" s="23" t="n">
        <v>238</v>
      </c>
      <c r="G55" s="23" t="n">
        <v>190</v>
      </c>
      <c r="H55" s="23" t="n">
        <v>286</v>
      </c>
      <c r="I55" s="26" t="n">
        <v>0.4</v>
      </c>
      <c r="J55" s="25">
        <f>IF(AND(C55&gt;0,F55&gt;0),ABS(F55-C55)/C55,"")</f>
        <v/>
      </c>
      <c r="K55" s="22">
        <f>IF(AND(C55&gt;0,G55&gt;0),IF(AND(C55&gt;=G55,C55&lt;=H55),"✓","✗"),"")</f>
        <v/>
      </c>
      <c r="L55" s="24">
        <f>IF(AND(C55&gt;0,C54&gt;0),(C55-C54)/C54,"")</f>
        <v/>
      </c>
      <c r="M55" s="22" t="n"/>
      <c r="N55" s="22" t="n"/>
    </row>
    <row r="56">
      <c r="A56" s="22" t="inlineStr">
        <is>
          <t>2026 W21</t>
        </is>
      </c>
      <c r="B56" s="22" t="n">
        <v>21</v>
      </c>
      <c r="C56" s="22" t="n"/>
      <c r="D56" s="22" t="n"/>
      <c r="E56" s="22" t="n"/>
      <c r="F56" s="23" t="n">
        <v>238</v>
      </c>
      <c r="G56" s="23" t="n">
        <v>190</v>
      </c>
      <c r="H56" s="23" t="n">
        <v>286</v>
      </c>
      <c r="I56" s="26" t="n">
        <v>0.4</v>
      </c>
      <c r="J56" s="25">
        <f>IF(AND(C56&gt;0,F56&gt;0),ABS(F56-C56)/C56,"")</f>
        <v/>
      </c>
      <c r="K56" s="22">
        <f>IF(AND(C56&gt;0,G56&gt;0),IF(AND(C56&gt;=G56,C56&lt;=H56),"✓","✗"),"")</f>
        <v/>
      </c>
      <c r="L56" s="24">
        <f>IF(AND(C56&gt;0,C55&gt;0),(C56-C55)/C55,"")</f>
        <v/>
      </c>
      <c r="M56" s="22" t="n"/>
      <c r="N56" s="22" t="n"/>
    </row>
    <row r="57">
      <c r="A57" s="22" t="inlineStr">
        <is>
          <t>2026 W22</t>
        </is>
      </c>
      <c r="B57" s="22" t="n">
        <v>22</v>
      </c>
      <c r="C57" s="22" t="n"/>
      <c r="D57" s="22" t="n"/>
      <c r="E57" s="22" t="n"/>
      <c r="F57" s="23" t="n">
        <v>238</v>
      </c>
      <c r="G57" s="23" t="n">
        <v>190</v>
      </c>
      <c r="H57" s="23" t="n">
        <v>286</v>
      </c>
      <c r="I57" s="26" t="n">
        <v>0.4</v>
      </c>
      <c r="J57" s="25">
        <f>IF(AND(C57&gt;0,F57&gt;0),ABS(F57-C57)/C57,"")</f>
        <v/>
      </c>
      <c r="K57" s="22">
        <f>IF(AND(C57&gt;0,G57&gt;0),IF(AND(C57&gt;=G57,C57&lt;=H57),"✓","✗"),"")</f>
        <v/>
      </c>
      <c r="L57" s="24">
        <f>IF(AND(C57&gt;0,C56&gt;0),(C57-C56)/C56,"")</f>
        <v/>
      </c>
      <c r="M57" s="22" t="n"/>
      <c r="N57" s="22" t="n"/>
    </row>
    <row r="58">
      <c r="A58" s="22" t="inlineStr">
        <is>
          <t>2026 W23</t>
        </is>
      </c>
      <c r="B58" s="22" t="n">
        <v>23</v>
      </c>
      <c r="C58" s="22" t="n"/>
      <c r="D58" s="22" t="n"/>
      <c r="E58" s="22" t="n"/>
      <c r="F58" s="23" t="n">
        <v>305</v>
      </c>
      <c r="G58" s="23" t="n">
        <v>244</v>
      </c>
      <c r="H58" s="23" t="n">
        <v>366</v>
      </c>
      <c r="I58" s="26" t="n">
        <v>0.4</v>
      </c>
      <c r="J58" s="25">
        <f>IF(AND(C58&gt;0,F58&gt;0),ABS(F58-C58)/C58,"")</f>
        <v/>
      </c>
      <c r="K58" s="22">
        <f>IF(AND(C58&gt;0,G58&gt;0),IF(AND(C58&gt;=G58,C58&lt;=H58),"✓","✗"),"")</f>
        <v/>
      </c>
      <c r="L58" s="24">
        <f>IF(AND(C58&gt;0,C57&gt;0),(C58-C57)/C57,"")</f>
        <v/>
      </c>
      <c r="M58" s="22" t="n"/>
      <c r="N58" s="22" t="n"/>
    </row>
    <row r="59">
      <c r="A59" s="22" t="inlineStr">
        <is>
          <t>2026 W24</t>
        </is>
      </c>
      <c r="B59" s="22" t="n">
        <v>24</v>
      </c>
      <c r="C59" s="22" t="n"/>
      <c r="D59" s="22" t="n"/>
      <c r="E59" s="22" t="n"/>
      <c r="F59" s="23" t="n">
        <v>305</v>
      </c>
      <c r="G59" s="23" t="n">
        <v>244</v>
      </c>
      <c r="H59" s="23" t="n">
        <v>366</v>
      </c>
      <c r="I59" s="26" t="n">
        <v>0.4</v>
      </c>
      <c r="J59" s="25">
        <f>IF(AND(C59&gt;0,F59&gt;0),ABS(F59-C59)/C59,"")</f>
        <v/>
      </c>
      <c r="K59" s="22">
        <f>IF(AND(C59&gt;0,G59&gt;0),IF(AND(C59&gt;=G59,C59&lt;=H59),"✓","✗"),"")</f>
        <v/>
      </c>
      <c r="L59" s="24">
        <f>IF(AND(C59&gt;0,C58&gt;0),(C59-C58)/C58,"")</f>
        <v/>
      </c>
      <c r="M59" s="22" t="n"/>
      <c r="N59" s="22" t="n"/>
    </row>
    <row r="60">
      <c r="A60" s="22" t="inlineStr">
        <is>
          <t>2026 W25</t>
        </is>
      </c>
      <c r="B60" s="22" t="n">
        <v>25</v>
      </c>
      <c r="C60" s="22" t="n"/>
      <c r="D60" s="22" t="n"/>
      <c r="E60" s="22" t="n"/>
      <c r="F60" s="23" t="n">
        <v>305</v>
      </c>
      <c r="G60" s="23" t="n">
        <v>244</v>
      </c>
      <c r="H60" s="23" t="n">
        <v>366</v>
      </c>
      <c r="I60" s="26" t="n">
        <v>0.4</v>
      </c>
      <c r="J60" s="25">
        <f>IF(AND(C60&gt;0,F60&gt;0),ABS(F60-C60)/C60,"")</f>
        <v/>
      </c>
      <c r="K60" s="22">
        <f>IF(AND(C60&gt;0,G60&gt;0),IF(AND(C60&gt;=G60,C60&lt;=H60),"✓","✗"),"")</f>
        <v/>
      </c>
      <c r="L60" s="24">
        <f>IF(AND(C60&gt;0,C59&gt;0),(C60-C59)/C59,"")</f>
        <v/>
      </c>
      <c r="M60" s="22" t="n"/>
      <c r="N60" s="22" t="n"/>
    </row>
    <row r="61">
      <c r="A61" s="22" t="inlineStr">
        <is>
          <t>2026 W26</t>
        </is>
      </c>
      <c r="B61" s="22" t="n">
        <v>26</v>
      </c>
      <c r="C61" s="22" t="n"/>
      <c r="D61" s="22" t="n"/>
      <c r="E61" s="22" t="n"/>
      <c r="F61" s="23" t="n">
        <v>305</v>
      </c>
      <c r="G61" s="23" t="n">
        <v>244</v>
      </c>
      <c r="H61" s="23" t="n">
        <v>366</v>
      </c>
      <c r="I61" s="26" t="n">
        <v>0.4</v>
      </c>
      <c r="J61" s="25">
        <f>IF(AND(C61&gt;0,F61&gt;0),ABS(F61-C61)/C61,"")</f>
        <v/>
      </c>
      <c r="K61" s="22">
        <f>IF(AND(C61&gt;0,G61&gt;0),IF(AND(C61&gt;=G61,C61&lt;=H61),"✓","✗"),"")</f>
        <v/>
      </c>
      <c r="L61" s="24">
        <f>IF(AND(C61&gt;0,C60&gt;0),(C61-C60)/C60,"")</f>
        <v/>
      </c>
      <c r="M61" s="22" t="n"/>
      <c r="N61" s="22" t="n"/>
    </row>
    <row r="62">
      <c r="A62" s="22" t="inlineStr">
        <is>
          <t>2026 W27</t>
        </is>
      </c>
      <c r="B62" s="22" t="n">
        <v>27</v>
      </c>
      <c r="C62" s="22" t="n"/>
      <c r="D62" s="22" t="n"/>
      <c r="E62" s="22" t="n"/>
      <c r="F62" s="23" t="n">
        <v>221</v>
      </c>
      <c r="G62" s="23" t="n">
        <v>177</v>
      </c>
      <c r="H62" s="23" t="n">
        <v>265</v>
      </c>
      <c r="I62" s="26" t="n">
        <v>0.4</v>
      </c>
      <c r="J62" s="25">
        <f>IF(AND(C62&gt;0,F62&gt;0),ABS(F62-C62)/C62,"")</f>
        <v/>
      </c>
      <c r="K62" s="22">
        <f>IF(AND(C62&gt;0,G62&gt;0),IF(AND(C62&gt;=G62,C62&lt;=H62),"✓","✗"),"")</f>
        <v/>
      </c>
      <c r="L62" s="24">
        <f>IF(AND(C62&gt;0,C61&gt;0),(C62-C61)/C61,"")</f>
        <v/>
      </c>
      <c r="M62" s="22" t="n"/>
      <c r="N62" s="22" t="n"/>
    </row>
    <row r="63">
      <c r="A63" s="22" t="inlineStr">
        <is>
          <t>2026 W28</t>
        </is>
      </c>
      <c r="B63" s="22" t="n">
        <v>28</v>
      </c>
      <c r="C63" s="22" t="n"/>
      <c r="D63" s="22" t="n"/>
      <c r="E63" s="22" t="n"/>
      <c r="F63" s="23" t="n">
        <v>221</v>
      </c>
      <c r="G63" s="23" t="n">
        <v>177</v>
      </c>
      <c r="H63" s="23" t="n">
        <v>265</v>
      </c>
      <c r="I63" s="26" t="n">
        <v>0.4</v>
      </c>
      <c r="J63" s="25">
        <f>IF(AND(C63&gt;0,F63&gt;0),ABS(F63-C63)/C63,"")</f>
        <v/>
      </c>
      <c r="K63" s="22">
        <f>IF(AND(C63&gt;0,G63&gt;0),IF(AND(C63&gt;=G63,C63&lt;=H63),"✓","✗"),"")</f>
        <v/>
      </c>
      <c r="L63" s="24">
        <f>IF(AND(C63&gt;0,C62&gt;0),(C63-C62)/C62,"")</f>
        <v/>
      </c>
      <c r="M63" s="22" t="n"/>
      <c r="N63" s="22" t="n"/>
    </row>
    <row r="64">
      <c r="A64" s="22" t="inlineStr">
        <is>
          <t>2026 W29</t>
        </is>
      </c>
      <c r="B64" s="22" t="n">
        <v>29</v>
      </c>
      <c r="C64" s="22" t="n"/>
      <c r="D64" s="22" t="n"/>
      <c r="E64" s="22" t="n"/>
      <c r="F64" s="23" t="n">
        <v>221</v>
      </c>
      <c r="G64" s="23" t="n">
        <v>177</v>
      </c>
      <c r="H64" s="23" t="n">
        <v>265</v>
      </c>
      <c r="I64" s="26" t="n">
        <v>0.4</v>
      </c>
      <c r="J64" s="25">
        <f>IF(AND(C64&gt;0,F64&gt;0),ABS(F64-C64)/C64,"")</f>
        <v/>
      </c>
      <c r="K64" s="22">
        <f>IF(AND(C64&gt;0,G64&gt;0),IF(AND(C64&gt;=G64,C64&lt;=H64),"✓","✗"),"")</f>
        <v/>
      </c>
      <c r="L64" s="24">
        <f>IF(AND(C64&gt;0,C63&gt;0),(C64-C63)/C63,"")</f>
        <v/>
      </c>
      <c r="M64" s="22" t="n"/>
      <c r="N64" s="22" t="n"/>
    </row>
    <row r="65">
      <c r="A65" s="22" t="inlineStr">
        <is>
          <t>2026 W30</t>
        </is>
      </c>
      <c r="B65" s="22" t="n">
        <v>30</v>
      </c>
      <c r="C65" s="22" t="n"/>
      <c r="D65" s="22" t="n"/>
      <c r="E65" s="22" t="n"/>
      <c r="F65" s="23" t="n">
        <v>221</v>
      </c>
      <c r="G65" s="23" t="n">
        <v>177</v>
      </c>
      <c r="H65" s="23" t="n">
        <v>265</v>
      </c>
      <c r="I65" s="26" t="n">
        <v>0.4</v>
      </c>
      <c r="J65" s="25">
        <f>IF(AND(C65&gt;0,F65&gt;0),ABS(F65-C65)/C65,"")</f>
        <v/>
      </c>
      <c r="K65" s="22">
        <f>IF(AND(C65&gt;0,G65&gt;0),IF(AND(C65&gt;=G65,C65&lt;=H65),"✓","✗"),"")</f>
        <v/>
      </c>
      <c r="L65" s="24">
        <f>IF(AND(C65&gt;0,C64&gt;0),(C65-C64)/C64,"")</f>
        <v/>
      </c>
      <c r="M65" s="22" t="n"/>
      <c r="N65" s="22" t="n"/>
    </row>
    <row r="66">
      <c r="A66" s="22" t="inlineStr">
        <is>
          <t>2026 W31</t>
        </is>
      </c>
      <c r="B66" s="22" t="n">
        <v>31</v>
      </c>
      <c r="C66" s="22" t="n"/>
      <c r="D66" s="22" t="n"/>
      <c r="E66" s="22" t="n"/>
      <c r="F66" s="23" t="n">
        <v>221</v>
      </c>
      <c r="G66" s="23" t="n">
        <v>177</v>
      </c>
      <c r="H66" s="23" t="n">
        <v>265</v>
      </c>
      <c r="I66" s="26" t="n">
        <v>0.4</v>
      </c>
      <c r="J66" s="25">
        <f>IF(AND(C66&gt;0,F66&gt;0),ABS(F66-C66)/C66,"")</f>
        <v/>
      </c>
      <c r="K66" s="22">
        <f>IF(AND(C66&gt;0,G66&gt;0),IF(AND(C66&gt;=G66,C66&lt;=H66),"✓","✗"),"")</f>
        <v/>
      </c>
      <c r="L66" s="24">
        <f>IF(AND(C66&gt;0,C65&gt;0),(C66-C65)/C65,"")</f>
        <v/>
      </c>
      <c r="M66" s="22" t="n"/>
      <c r="N66" s="22" t="n"/>
    </row>
    <row r="67">
      <c r="A67" s="22" t="inlineStr">
        <is>
          <t>2026 W32</t>
        </is>
      </c>
      <c r="B67" s="22" t="n">
        <v>32</v>
      </c>
      <c r="C67" s="22" t="n"/>
      <c r="D67" s="22" t="n"/>
      <c r="E67" s="22" t="n"/>
      <c r="F67" s="23" t="n">
        <v>265</v>
      </c>
      <c r="G67" s="23" t="n">
        <v>212</v>
      </c>
      <c r="H67" s="23" t="n">
        <v>318</v>
      </c>
      <c r="I67" s="26" t="n">
        <v>0.4</v>
      </c>
      <c r="J67" s="25">
        <f>IF(AND(C67&gt;0,F67&gt;0),ABS(F67-C67)/C67,"")</f>
        <v/>
      </c>
      <c r="K67" s="22">
        <f>IF(AND(C67&gt;0,G67&gt;0),IF(AND(C67&gt;=G67,C67&lt;=H67),"✓","✗"),"")</f>
        <v/>
      </c>
      <c r="L67" s="24">
        <f>IF(AND(C67&gt;0,C66&gt;0),(C67-C66)/C66,"")</f>
        <v/>
      </c>
      <c r="M67" s="22" t="n"/>
      <c r="N67" s="22" t="n"/>
    </row>
    <row r="68">
      <c r="A68" s="22" t="inlineStr">
        <is>
          <t>2026 W33</t>
        </is>
      </c>
      <c r="B68" s="22" t="n">
        <v>33</v>
      </c>
      <c r="C68" s="22" t="n"/>
      <c r="D68" s="22" t="n"/>
      <c r="E68" s="22" t="n"/>
      <c r="F68" s="23" t="n">
        <v>265</v>
      </c>
      <c r="G68" s="23" t="n">
        <v>212</v>
      </c>
      <c r="H68" s="23" t="n">
        <v>318</v>
      </c>
      <c r="I68" s="26" t="n">
        <v>0.4</v>
      </c>
      <c r="J68" s="25">
        <f>IF(AND(C68&gt;0,F68&gt;0),ABS(F68-C68)/C68,"")</f>
        <v/>
      </c>
      <c r="K68" s="22">
        <f>IF(AND(C68&gt;0,G68&gt;0),IF(AND(C68&gt;=G68,C68&lt;=H68),"✓","✗"),"")</f>
        <v/>
      </c>
      <c r="L68" s="24">
        <f>IF(AND(C68&gt;0,C67&gt;0),(C68-C67)/C67,"")</f>
        <v/>
      </c>
      <c r="M68" s="22" t="n"/>
      <c r="N68" s="22" t="n"/>
    </row>
    <row r="69">
      <c r="A69" s="22" t="inlineStr">
        <is>
          <t>2026 W34</t>
        </is>
      </c>
      <c r="B69" s="22" t="n">
        <v>34</v>
      </c>
      <c r="C69" s="22" t="n"/>
      <c r="D69" s="22" t="n"/>
      <c r="E69" s="22" t="n"/>
      <c r="F69" s="23" t="n">
        <v>265</v>
      </c>
      <c r="G69" s="23" t="n">
        <v>212</v>
      </c>
      <c r="H69" s="23" t="n">
        <v>318</v>
      </c>
      <c r="I69" s="26" t="n">
        <v>0.4</v>
      </c>
      <c r="J69" s="25">
        <f>IF(AND(C69&gt;0,F69&gt;0),ABS(F69-C69)/C69,"")</f>
        <v/>
      </c>
      <c r="K69" s="22">
        <f>IF(AND(C69&gt;0,G69&gt;0),IF(AND(C69&gt;=G69,C69&lt;=H69),"✓","✗"),"")</f>
        <v/>
      </c>
      <c r="L69" s="24">
        <f>IF(AND(C69&gt;0,C68&gt;0),(C69-C68)/C68,"")</f>
        <v/>
      </c>
      <c r="M69" s="22" t="n"/>
      <c r="N69" s="22" t="n"/>
    </row>
    <row r="70">
      <c r="A70" s="22" t="inlineStr">
        <is>
          <t>2026 W35</t>
        </is>
      </c>
      <c r="B70" s="22" t="n">
        <v>35</v>
      </c>
      <c r="C70" s="22" t="n"/>
      <c r="D70" s="22" t="n"/>
      <c r="E70" s="22" t="n"/>
      <c r="F70" s="23" t="n">
        <v>265</v>
      </c>
      <c r="G70" s="23" t="n">
        <v>212</v>
      </c>
      <c r="H70" s="23" t="n">
        <v>318</v>
      </c>
      <c r="I70" s="26" t="n">
        <v>0.4</v>
      </c>
      <c r="J70" s="25">
        <f>IF(AND(C70&gt;0,F70&gt;0),ABS(F70-C70)/C70,"")</f>
        <v/>
      </c>
      <c r="K70" s="22">
        <f>IF(AND(C70&gt;0,G70&gt;0),IF(AND(C70&gt;=G70,C70&lt;=H70),"✓","✗"),"")</f>
        <v/>
      </c>
      <c r="L70" s="24">
        <f>IF(AND(C70&gt;0,C69&gt;0),(C70-C69)/C69,"")</f>
        <v/>
      </c>
      <c r="M70" s="22" t="n"/>
      <c r="N70" s="22" t="n"/>
    </row>
    <row r="71">
      <c r="A71" s="22" t="inlineStr">
        <is>
          <t>2026 W36</t>
        </is>
      </c>
      <c r="B71" s="22" t="n">
        <v>36</v>
      </c>
      <c r="C71" s="22" t="n"/>
      <c r="D71" s="22" t="n"/>
      <c r="E71" s="22" t="n"/>
      <c r="F71" s="23" t="n">
        <v>268</v>
      </c>
      <c r="G71" s="23" t="n">
        <v>214</v>
      </c>
      <c r="H71" s="23" t="n">
        <v>322</v>
      </c>
      <c r="I71" s="26" t="n">
        <v>0.4</v>
      </c>
      <c r="J71" s="25">
        <f>IF(AND(C71&gt;0,F71&gt;0),ABS(F71-C71)/C71,"")</f>
        <v/>
      </c>
      <c r="K71" s="22">
        <f>IF(AND(C71&gt;0,G71&gt;0),IF(AND(C71&gt;=G71,C71&lt;=H71),"✓","✗"),"")</f>
        <v/>
      </c>
      <c r="L71" s="24">
        <f>IF(AND(C71&gt;0,C70&gt;0),(C71-C70)/C70,"")</f>
        <v/>
      </c>
      <c r="M71" s="22" t="n"/>
      <c r="N71" s="22" t="n"/>
    </row>
    <row r="72">
      <c r="A72" s="22" t="inlineStr">
        <is>
          <t>2026 W37</t>
        </is>
      </c>
      <c r="B72" s="22" t="n">
        <v>37</v>
      </c>
      <c r="C72" s="22" t="n"/>
      <c r="D72" s="22" t="n"/>
      <c r="E72" s="22" t="n"/>
      <c r="F72" s="23" t="n">
        <v>268</v>
      </c>
      <c r="G72" s="23" t="n">
        <v>214</v>
      </c>
      <c r="H72" s="23" t="n">
        <v>322</v>
      </c>
      <c r="I72" s="26" t="n">
        <v>0.4</v>
      </c>
      <c r="J72" s="25">
        <f>IF(AND(C72&gt;0,F72&gt;0),ABS(F72-C72)/C72,"")</f>
        <v/>
      </c>
      <c r="K72" s="22">
        <f>IF(AND(C72&gt;0,G72&gt;0),IF(AND(C72&gt;=G72,C72&lt;=H72),"✓","✗"),"")</f>
        <v/>
      </c>
      <c r="L72" s="24">
        <f>IF(AND(C72&gt;0,C71&gt;0),(C72-C71)/C71,"")</f>
        <v/>
      </c>
      <c r="M72" s="22" t="n"/>
      <c r="N72" s="22" t="n"/>
    </row>
    <row r="73">
      <c r="A73" s="22" t="inlineStr">
        <is>
          <t>2026 W38</t>
        </is>
      </c>
      <c r="B73" s="22" t="n">
        <v>38</v>
      </c>
      <c r="C73" s="22" t="n"/>
      <c r="D73" s="22" t="n"/>
      <c r="E73" s="22" t="n"/>
      <c r="F73" s="23" t="n">
        <v>268</v>
      </c>
      <c r="G73" s="23" t="n">
        <v>214</v>
      </c>
      <c r="H73" s="23" t="n">
        <v>322</v>
      </c>
      <c r="I73" s="26" t="n">
        <v>0.4</v>
      </c>
      <c r="J73" s="25">
        <f>IF(AND(C73&gt;0,F73&gt;0),ABS(F73-C73)/C73,"")</f>
        <v/>
      </c>
      <c r="K73" s="22">
        <f>IF(AND(C73&gt;0,G73&gt;0),IF(AND(C73&gt;=G73,C73&lt;=H73),"✓","✗"),"")</f>
        <v/>
      </c>
      <c r="L73" s="24">
        <f>IF(AND(C73&gt;0,C72&gt;0),(C73-C72)/C72,"")</f>
        <v/>
      </c>
      <c r="M73" s="22" t="n"/>
      <c r="N73" s="22" t="n"/>
    </row>
    <row r="74">
      <c r="A74" s="22" t="inlineStr">
        <is>
          <t>2026 W39</t>
        </is>
      </c>
      <c r="B74" s="22" t="n">
        <v>39</v>
      </c>
      <c r="C74" s="22" t="n"/>
      <c r="D74" s="22" t="n"/>
      <c r="E74" s="22" t="n"/>
      <c r="F74" s="23" t="n">
        <v>268</v>
      </c>
      <c r="G74" s="23" t="n">
        <v>214</v>
      </c>
      <c r="H74" s="23" t="n">
        <v>322</v>
      </c>
      <c r="I74" s="26" t="n">
        <v>0.4</v>
      </c>
      <c r="J74" s="25">
        <f>IF(AND(C74&gt;0,F74&gt;0),ABS(F74-C74)/C74,"")</f>
        <v/>
      </c>
      <c r="K74" s="22">
        <f>IF(AND(C74&gt;0,G74&gt;0),IF(AND(C74&gt;=G74,C74&lt;=H74),"✓","✗"),"")</f>
        <v/>
      </c>
      <c r="L74" s="24">
        <f>IF(AND(C74&gt;0,C73&gt;0),(C74-C73)/C73,"")</f>
        <v/>
      </c>
      <c r="M74" s="22" t="n"/>
      <c r="N74" s="22" t="n"/>
    </row>
    <row r="75">
      <c r="A75" s="22" t="inlineStr">
        <is>
          <t>2026 W40</t>
        </is>
      </c>
      <c r="B75" s="22" t="n">
        <v>40</v>
      </c>
      <c r="C75" s="22" t="n"/>
      <c r="D75" s="22" t="n"/>
      <c r="E75" s="22" t="n"/>
      <c r="F75" s="23" t="n">
        <v>217</v>
      </c>
      <c r="G75" s="23" t="n">
        <v>174</v>
      </c>
      <c r="H75" s="23" t="n">
        <v>260</v>
      </c>
      <c r="I75" s="26" t="n">
        <v>0.4</v>
      </c>
      <c r="J75" s="25">
        <f>IF(AND(C75&gt;0,F75&gt;0),ABS(F75-C75)/C75,"")</f>
        <v/>
      </c>
      <c r="K75" s="22">
        <f>IF(AND(C75&gt;0,G75&gt;0),IF(AND(C75&gt;=G75,C75&lt;=H75),"✓","✗"),"")</f>
        <v/>
      </c>
      <c r="L75" s="24">
        <f>IF(AND(C75&gt;0,C74&gt;0),(C75-C74)/C74,"")</f>
        <v/>
      </c>
      <c r="M75" s="22" t="n"/>
      <c r="N75" s="22" t="n"/>
    </row>
    <row r="76">
      <c r="A76" s="22" t="inlineStr">
        <is>
          <t>2026 W41</t>
        </is>
      </c>
      <c r="B76" s="22" t="n">
        <v>41</v>
      </c>
      <c r="C76" s="22" t="n"/>
      <c r="D76" s="22" t="n"/>
      <c r="E76" s="22" t="n"/>
      <c r="F76" s="23" t="n">
        <v>217</v>
      </c>
      <c r="G76" s="23" t="n">
        <v>174</v>
      </c>
      <c r="H76" s="23" t="n">
        <v>260</v>
      </c>
      <c r="I76" s="26" t="n">
        <v>0.4</v>
      </c>
      <c r="J76" s="25">
        <f>IF(AND(C76&gt;0,F76&gt;0),ABS(F76-C76)/C76,"")</f>
        <v/>
      </c>
      <c r="K76" s="22">
        <f>IF(AND(C76&gt;0,G76&gt;0),IF(AND(C76&gt;=G76,C76&lt;=H76),"✓","✗"),"")</f>
        <v/>
      </c>
      <c r="L76" s="24">
        <f>IF(AND(C76&gt;0,C75&gt;0),(C76-C75)/C75,"")</f>
        <v/>
      </c>
      <c r="M76" s="22" t="n"/>
      <c r="N76" s="22" t="n"/>
    </row>
    <row r="77">
      <c r="A77" s="22" t="inlineStr">
        <is>
          <t>2026 W42</t>
        </is>
      </c>
      <c r="B77" s="22" t="n">
        <v>42</v>
      </c>
      <c r="C77" s="22" t="n"/>
      <c r="D77" s="22" t="n"/>
      <c r="E77" s="22" t="n"/>
      <c r="F77" s="23" t="n">
        <v>217</v>
      </c>
      <c r="G77" s="23" t="n">
        <v>174</v>
      </c>
      <c r="H77" s="23" t="n">
        <v>260</v>
      </c>
      <c r="I77" s="26" t="n">
        <v>0.4</v>
      </c>
      <c r="J77" s="25">
        <f>IF(AND(C77&gt;0,F77&gt;0),ABS(F77-C77)/C77,"")</f>
        <v/>
      </c>
      <c r="K77" s="22">
        <f>IF(AND(C77&gt;0,G77&gt;0),IF(AND(C77&gt;=G77,C77&lt;=H77),"✓","✗"),"")</f>
        <v/>
      </c>
      <c r="L77" s="24">
        <f>IF(AND(C77&gt;0,C76&gt;0),(C77-C76)/C76,"")</f>
        <v/>
      </c>
      <c r="M77" s="22" t="n"/>
      <c r="N77" s="22" t="n"/>
    </row>
    <row r="78">
      <c r="A78" s="22" t="inlineStr">
        <is>
          <t>2026 W43</t>
        </is>
      </c>
      <c r="B78" s="22" t="n">
        <v>43</v>
      </c>
      <c r="C78" s="22" t="n"/>
      <c r="D78" s="22" t="n"/>
      <c r="E78" s="22" t="n"/>
      <c r="F78" s="23" t="n">
        <v>217</v>
      </c>
      <c r="G78" s="23" t="n">
        <v>174</v>
      </c>
      <c r="H78" s="23" t="n">
        <v>260</v>
      </c>
      <c r="I78" s="26" t="n">
        <v>0.4</v>
      </c>
      <c r="J78" s="25">
        <f>IF(AND(C78&gt;0,F78&gt;0),ABS(F78-C78)/C78,"")</f>
        <v/>
      </c>
      <c r="K78" s="22">
        <f>IF(AND(C78&gt;0,G78&gt;0),IF(AND(C78&gt;=G78,C78&lt;=H78),"✓","✗"),"")</f>
        <v/>
      </c>
      <c r="L78" s="24">
        <f>IF(AND(C78&gt;0,C77&gt;0),(C78-C77)/C77,"")</f>
        <v/>
      </c>
      <c r="M78" s="22" t="n"/>
      <c r="N78" s="22" t="n"/>
    </row>
    <row r="79">
      <c r="A79" s="22" t="inlineStr">
        <is>
          <t>2026 W44</t>
        </is>
      </c>
      <c r="B79" s="22" t="n">
        <v>44</v>
      </c>
      <c r="C79" s="22" t="n"/>
      <c r="D79" s="22" t="n"/>
      <c r="E79" s="22" t="n"/>
      <c r="F79" s="23" t="n">
        <v>217</v>
      </c>
      <c r="G79" s="23" t="n">
        <v>174</v>
      </c>
      <c r="H79" s="23" t="n">
        <v>260</v>
      </c>
      <c r="I79" s="26" t="n">
        <v>0.4</v>
      </c>
      <c r="J79" s="25">
        <f>IF(AND(C79&gt;0,F79&gt;0),ABS(F79-C79)/C79,"")</f>
        <v/>
      </c>
      <c r="K79" s="22">
        <f>IF(AND(C79&gt;0,G79&gt;0),IF(AND(C79&gt;=G79,C79&lt;=H79),"✓","✗"),"")</f>
        <v/>
      </c>
      <c r="L79" s="24">
        <f>IF(AND(C79&gt;0,C78&gt;0),(C79-C78)/C78,"")</f>
        <v/>
      </c>
      <c r="M79" s="22" t="n"/>
      <c r="N79" s="22" t="n"/>
    </row>
    <row r="80">
      <c r="A80" s="22" t="inlineStr">
        <is>
          <t>2026 W45</t>
        </is>
      </c>
      <c r="B80" s="22" t="n">
        <v>45</v>
      </c>
      <c r="C80" s="22" t="n"/>
      <c r="D80" s="22" t="n"/>
      <c r="E80" s="22" t="n"/>
      <c r="F80" s="23" t="n">
        <v>252</v>
      </c>
      <c r="G80" s="23" t="n">
        <v>202</v>
      </c>
      <c r="H80" s="23" t="n">
        <v>302</v>
      </c>
      <c r="I80" s="26" t="n">
        <v>0.4</v>
      </c>
      <c r="J80" s="25">
        <f>IF(AND(C80&gt;0,F80&gt;0),ABS(F80-C80)/C80,"")</f>
        <v/>
      </c>
      <c r="K80" s="22">
        <f>IF(AND(C80&gt;0,G80&gt;0),IF(AND(C80&gt;=G80,C80&lt;=H80),"✓","✗"),"")</f>
        <v/>
      </c>
      <c r="L80" s="24">
        <f>IF(AND(C80&gt;0,C79&gt;0),(C80-C79)/C79,"")</f>
        <v/>
      </c>
      <c r="M80" s="22" t="n"/>
      <c r="N80" s="22" t="n"/>
    </row>
    <row r="81">
      <c r="A81" s="22" t="inlineStr">
        <is>
          <t>2026 W46</t>
        </is>
      </c>
      <c r="B81" s="22" t="n">
        <v>46</v>
      </c>
      <c r="C81" s="22" t="n"/>
      <c r="D81" s="22" t="n"/>
      <c r="E81" s="22" t="n"/>
      <c r="F81" s="23" t="n">
        <v>252</v>
      </c>
      <c r="G81" s="23" t="n">
        <v>202</v>
      </c>
      <c r="H81" s="23" t="n">
        <v>302</v>
      </c>
      <c r="I81" s="26" t="n">
        <v>0.4</v>
      </c>
      <c r="J81" s="25">
        <f>IF(AND(C81&gt;0,F81&gt;0),ABS(F81-C81)/C81,"")</f>
        <v/>
      </c>
      <c r="K81" s="22">
        <f>IF(AND(C81&gt;0,G81&gt;0),IF(AND(C81&gt;=G81,C81&lt;=H81),"✓","✗"),"")</f>
        <v/>
      </c>
      <c r="L81" s="24">
        <f>IF(AND(C81&gt;0,C80&gt;0),(C81-C80)/C80,"")</f>
        <v/>
      </c>
      <c r="M81" s="22" t="n"/>
      <c r="N81" s="22" t="n"/>
    </row>
    <row r="82">
      <c r="A82" s="22" t="inlineStr">
        <is>
          <t>2026 W47</t>
        </is>
      </c>
      <c r="B82" s="22" t="n">
        <v>47</v>
      </c>
      <c r="C82" s="22" t="n"/>
      <c r="D82" s="22" t="n"/>
      <c r="E82" s="22" t="n"/>
      <c r="F82" s="23" t="n">
        <v>252</v>
      </c>
      <c r="G82" s="23" t="n">
        <v>202</v>
      </c>
      <c r="H82" s="23" t="n">
        <v>302</v>
      </c>
      <c r="I82" s="26" t="n">
        <v>0.4</v>
      </c>
      <c r="J82" s="25">
        <f>IF(AND(C82&gt;0,F82&gt;0),ABS(F82-C82)/C82,"")</f>
        <v/>
      </c>
      <c r="K82" s="22">
        <f>IF(AND(C82&gt;0,G82&gt;0),IF(AND(C82&gt;=G82,C82&lt;=H82),"✓","✗"),"")</f>
        <v/>
      </c>
      <c r="L82" s="24">
        <f>IF(AND(C82&gt;0,C81&gt;0),(C82-C81)/C81,"")</f>
        <v/>
      </c>
      <c r="M82" s="22" t="n"/>
      <c r="N82" s="22" t="n"/>
    </row>
    <row r="83">
      <c r="A83" s="22" t="inlineStr">
        <is>
          <t>2026 W48</t>
        </is>
      </c>
      <c r="B83" s="22" t="n">
        <v>48</v>
      </c>
      <c r="C83" s="22" t="n"/>
      <c r="D83" s="22" t="n"/>
      <c r="E83" s="22" t="n"/>
      <c r="F83" s="23" t="n">
        <v>252</v>
      </c>
      <c r="G83" s="23" t="n">
        <v>202</v>
      </c>
      <c r="H83" s="23" t="n">
        <v>302</v>
      </c>
      <c r="I83" s="26" t="n">
        <v>0.4</v>
      </c>
      <c r="J83" s="25">
        <f>IF(AND(C83&gt;0,F83&gt;0),ABS(F83-C83)/C83,"")</f>
        <v/>
      </c>
      <c r="K83" s="22">
        <f>IF(AND(C83&gt;0,G83&gt;0),IF(AND(C83&gt;=G83,C83&lt;=H83),"✓","✗"),"")</f>
        <v/>
      </c>
      <c r="L83" s="24">
        <f>IF(AND(C83&gt;0,C82&gt;0),(C83-C82)/C82,"")</f>
        <v/>
      </c>
      <c r="M83" s="22" t="n"/>
      <c r="N83" s="22" t="n"/>
    </row>
    <row r="84">
      <c r="A84" s="22" t="inlineStr">
        <is>
          <t>2026 W49</t>
        </is>
      </c>
      <c r="B84" s="22" t="n">
        <v>49</v>
      </c>
      <c r="C84" s="22" t="n"/>
      <c r="D84" s="22" t="n"/>
      <c r="E84" s="22" t="n"/>
      <c r="F84" s="23" t="n">
        <v>192</v>
      </c>
      <c r="G84" s="23" t="n">
        <v>154</v>
      </c>
      <c r="H84" s="23" t="n">
        <v>230</v>
      </c>
      <c r="I84" s="26" t="n">
        <v>0.4</v>
      </c>
      <c r="J84" s="25">
        <f>IF(AND(C84&gt;0,F84&gt;0),ABS(F84-C84)/C84,"")</f>
        <v/>
      </c>
      <c r="K84" s="22">
        <f>IF(AND(C84&gt;0,G84&gt;0),IF(AND(C84&gt;=G84,C84&lt;=H84),"✓","✗"),"")</f>
        <v/>
      </c>
      <c r="L84" s="24">
        <f>IF(AND(C84&gt;0,C83&gt;0),(C84-C83)/C83,"")</f>
        <v/>
      </c>
      <c r="M84" s="22" t="n"/>
      <c r="N84" s="22" t="n"/>
    </row>
    <row r="85">
      <c r="A85" s="22" t="inlineStr">
        <is>
          <t>2026 W50</t>
        </is>
      </c>
      <c r="B85" s="22" t="n">
        <v>50</v>
      </c>
      <c r="C85" s="22" t="n"/>
      <c r="D85" s="22" t="n"/>
      <c r="E85" s="22" t="n"/>
      <c r="F85" s="23" t="n">
        <v>192</v>
      </c>
      <c r="G85" s="23" t="n">
        <v>154</v>
      </c>
      <c r="H85" s="23" t="n">
        <v>230</v>
      </c>
      <c r="I85" s="26" t="n">
        <v>0.4</v>
      </c>
      <c r="J85" s="25">
        <f>IF(AND(C85&gt;0,F85&gt;0),ABS(F85-C85)/C85,"")</f>
        <v/>
      </c>
      <c r="K85" s="22">
        <f>IF(AND(C85&gt;0,G85&gt;0),IF(AND(C85&gt;=G85,C85&lt;=H85),"✓","✗"),"")</f>
        <v/>
      </c>
      <c r="L85" s="24">
        <f>IF(AND(C85&gt;0,C84&gt;0),(C85-C84)/C84,"")</f>
        <v/>
      </c>
      <c r="M85" s="22" t="n"/>
      <c r="N85" s="22" t="n"/>
    </row>
    <row r="86">
      <c r="A86" s="22" t="inlineStr">
        <is>
          <t>2026 W51</t>
        </is>
      </c>
      <c r="B86" s="22" t="n">
        <v>51</v>
      </c>
      <c r="C86" s="22" t="n"/>
      <c r="D86" s="22" t="n"/>
      <c r="E86" s="22" t="n"/>
      <c r="F86" s="23" t="n">
        <v>192</v>
      </c>
      <c r="G86" s="23" t="n">
        <v>154</v>
      </c>
      <c r="H86" s="23" t="n">
        <v>230</v>
      </c>
      <c r="I86" s="26" t="n">
        <v>0.4</v>
      </c>
      <c r="J86" s="25">
        <f>IF(AND(C86&gt;0,F86&gt;0),ABS(F86-C86)/C86,"")</f>
        <v/>
      </c>
      <c r="K86" s="22">
        <f>IF(AND(C86&gt;0,G86&gt;0),IF(AND(C86&gt;=G86,C86&lt;=H86),"✓","✗"),"")</f>
        <v/>
      </c>
      <c r="L86" s="24">
        <f>IF(AND(C86&gt;0,C85&gt;0),(C86-C85)/C85,"")</f>
        <v/>
      </c>
      <c r="M86" s="22" t="n"/>
      <c r="N86" s="22" t="n"/>
    </row>
    <row r="87">
      <c r="A87" s="22" t="inlineStr">
        <is>
          <t>2026 W52</t>
        </is>
      </c>
      <c r="B87" s="22" t="n">
        <v>52</v>
      </c>
      <c r="C87" s="22" t="n"/>
      <c r="D87" s="22" t="n"/>
      <c r="E87" s="22" t="n"/>
      <c r="F87" s="23" t="n">
        <v>192</v>
      </c>
      <c r="G87" s="23" t="n">
        <v>154</v>
      </c>
      <c r="H87" s="23" t="n">
        <v>230</v>
      </c>
      <c r="I87" s="26" t="n">
        <v>0.4</v>
      </c>
      <c r="J87" s="25">
        <f>IF(AND(C87&gt;0,F87&gt;0),ABS(F87-C87)/C87,"")</f>
        <v/>
      </c>
      <c r="K87" s="22">
        <f>IF(AND(C87&gt;0,G87&gt;0),IF(AND(C87&gt;=G87,C87&lt;=H87),"✓","✗"),"")</f>
        <v/>
      </c>
      <c r="L87" s="24">
        <f>IF(AND(C87&gt;0,C86&gt;0),(C87-C86)/C86,"")</f>
        <v/>
      </c>
      <c r="M87" s="22" t="n"/>
      <c r="N87" s="22" t="n"/>
    </row>
  </sheetData>
  <mergeCells count="15"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  <mergeCell ref="C3:D3"/>
    <mergeCell ref="A3:B3"/>
    <mergeCell ref="G3:H3"/>
    <mergeCell ref="E3:F3"/>
    <mergeCell ref="A1:N1"/>
  </mergeCells>
  <conditionalFormatting sqref="C36:C87">
    <cfRule type="dataBar" priority="1">
      <dataBar showValue="1">
        <cfvo type="num" val="0"/>
        <cfvo type="max"/>
        <color rgb="0016A085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0027AE60"/>
        <color rgb="00FFFFFF"/>
        <color rgb="00E74C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2026-04-13T20:28:00Z</dcterms:created>
  <dcterms:modified xmlns:dcterms="http://purl.org/dc/terms/" xmlns:xsi="http://www.w3.org/2001/XMLSchema-instance" xsi:type="dcterms:W3CDTF">2026-04-13T20:28:00Z</dcterms:modified>
</cp:coreProperties>
</file>