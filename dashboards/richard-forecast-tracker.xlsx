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9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10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11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xr:revisionPtr revIDLastSave="82" documentId="11_0A5958FECCFFD8545637DBFE50F61A5E4BA984CE" xr6:coauthVersionLast="47" xr6:coauthVersionMax="47" xr10:uidLastSave="{BAE5613B-EF99-4F06-AA80-6217B264D00C}"/>
  <bookViews>
    <workbookView xWindow="0" yWindow="0" windowWidth="0" windowHeight="0" activeTab="1" xr2:uid="{00000000-000D-0000-FFFF-FFFF00000000}"/>
  </bookViews>
  <sheets>
    <sheet name="Dashboard" sheetId="1" r:id="rId1"/>
    <sheet name="US" sheetId="2" r:id="rId2"/>
    <sheet name="UK" sheetId="3" r:id="rId3"/>
    <sheet name="DE" sheetId="4" r:id="rId4"/>
    <sheet name="FR" sheetId="5" r:id="rId5"/>
    <sheet name="IT" sheetId="6" r:id="rId6"/>
    <sheet name="ES" sheetId="7" r:id="rId7"/>
    <sheet name="CA" sheetId="8" r:id="rId8"/>
    <sheet name="JP" sheetId="9" r:id="rId9"/>
    <sheet name="MX" sheetId="10" r:id="rId10"/>
    <sheet name="AU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7" i="11" l="1"/>
  <c r="K87" i="11"/>
  <c r="J87" i="11"/>
  <c r="L86" i="11"/>
  <c r="K86" i="11"/>
  <c r="J86" i="11"/>
  <c r="L85" i="11"/>
  <c r="K85" i="11"/>
  <c r="J85" i="11"/>
  <c r="L84" i="11"/>
  <c r="K84" i="11"/>
  <c r="J84" i="11"/>
  <c r="L83" i="11"/>
  <c r="K83" i="11"/>
  <c r="J83" i="11"/>
  <c r="L82" i="11"/>
  <c r="K82" i="11"/>
  <c r="J82" i="11"/>
  <c r="L81" i="11"/>
  <c r="K81" i="11"/>
  <c r="J81" i="11"/>
  <c r="L80" i="11"/>
  <c r="K80" i="11"/>
  <c r="J80" i="11"/>
  <c r="L79" i="11"/>
  <c r="K79" i="11"/>
  <c r="J79" i="11"/>
  <c r="L78" i="11"/>
  <c r="K78" i="11"/>
  <c r="J78" i="11"/>
  <c r="L77" i="11"/>
  <c r="K77" i="11"/>
  <c r="J77" i="11"/>
  <c r="L76" i="11"/>
  <c r="K76" i="11"/>
  <c r="J76" i="11"/>
  <c r="L75" i="11"/>
  <c r="K75" i="11"/>
  <c r="J75" i="11"/>
  <c r="L74" i="11"/>
  <c r="K74" i="11"/>
  <c r="J74" i="11"/>
  <c r="L73" i="11"/>
  <c r="K73" i="11"/>
  <c r="J73" i="11"/>
  <c r="L72" i="11"/>
  <c r="K72" i="11"/>
  <c r="J72" i="11"/>
  <c r="L71" i="11"/>
  <c r="K71" i="11"/>
  <c r="J71" i="11"/>
  <c r="L70" i="11"/>
  <c r="K70" i="11"/>
  <c r="J70" i="11"/>
  <c r="L69" i="11"/>
  <c r="K69" i="11"/>
  <c r="J69" i="11"/>
  <c r="L68" i="11"/>
  <c r="K68" i="11"/>
  <c r="J68" i="11"/>
  <c r="L67" i="11"/>
  <c r="K67" i="11"/>
  <c r="J67" i="11"/>
  <c r="L66" i="11"/>
  <c r="K66" i="11"/>
  <c r="J66" i="11"/>
  <c r="L65" i="11"/>
  <c r="K65" i="11"/>
  <c r="J65" i="11"/>
  <c r="L64" i="11"/>
  <c r="K64" i="11"/>
  <c r="J64" i="11"/>
  <c r="L63" i="11"/>
  <c r="K63" i="11"/>
  <c r="J63" i="11"/>
  <c r="L62" i="11"/>
  <c r="K62" i="11"/>
  <c r="J62" i="11"/>
  <c r="L61" i="11"/>
  <c r="K61" i="11"/>
  <c r="J61" i="11"/>
  <c r="L60" i="11"/>
  <c r="K60" i="11"/>
  <c r="J60" i="11"/>
  <c r="L59" i="11"/>
  <c r="K59" i="11"/>
  <c r="J59" i="11"/>
  <c r="L58" i="11"/>
  <c r="K58" i="11"/>
  <c r="J58" i="11"/>
  <c r="L57" i="11"/>
  <c r="K57" i="11"/>
  <c r="J57" i="11"/>
  <c r="L56" i="11"/>
  <c r="K56" i="11"/>
  <c r="J56" i="11"/>
  <c r="L55" i="11"/>
  <c r="K55" i="11"/>
  <c r="J55" i="11"/>
  <c r="L54" i="11"/>
  <c r="K54" i="11"/>
  <c r="J54" i="11"/>
  <c r="L53" i="11"/>
  <c r="K53" i="11"/>
  <c r="J53" i="11"/>
  <c r="L52" i="11"/>
  <c r="K52" i="11"/>
  <c r="J52" i="11"/>
  <c r="L51" i="11"/>
  <c r="K51" i="11"/>
  <c r="J51" i="11"/>
  <c r="L50" i="11"/>
  <c r="K50" i="11"/>
  <c r="J50" i="11"/>
  <c r="L49" i="11"/>
  <c r="K49" i="11"/>
  <c r="J49" i="11"/>
  <c r="L48" i="11"/>
  <c r="K48" i="11"/>
  <c r="J48" i="11"/>
  <c r="L47" i="11"/>
  <c r="K47" i="11"/>
  <c r="J47" i="11"/>
  <c r="L46" i="11"/>
  <c r="K46" i="11"/>
  <c r="J46" i="11"/>
  <c r="L45" i="11"/>
  <c r="K45" i="11"/>
  <c r="J45" i="11"/>
  <c r="L44" i="11"/>
  <c r="K44" i="11"/>
  <c r="J44" i="11"/>
  <c r="L43" i="11"/>
  <c r="K43" i="11"/>
  <c r="J43" i="11"/>
  <c r="L42" i="11"/>
  <c r="K42" i="11"/>
  <c r="J42" i="11"/>
  <c r="L41" i="11"/>
  <c r="K41" i="11"/>
  <c r="J41" i="11"/>
  <c r="L40" i="11"/>
  <c r="K40" i="11"/>
  <c r="J40" i="11"/>
  <c r="L39" i="11"/>
  <c r="K39" i="11"/>
  <c r="J39" i="11"/>
  <c r="L38" i="11"/>
  <c r="K38" i="11"/>
  <c r="J38" i="11"/>
  <c r="L37" i="11"/>
  <c r="K37" i="11"/>
  <c r="J37" i="11"/>
  <c r="K36" i="11"/>
  <c r="J36" i="11"/>
  <c r="H32" i="11"/>
  <c r="G32" i="11"/>
  <c r="H31" i="11"/>
  <c r="G31" i="11"/>
  <c r="H30" i="11"/>
  <c r="G30" i="11"/>
  <c r="H29" i="11"/>
  <c r="G29" i="11"/>
  <c r="H28" i="11"/>
  <c r="G28" i="11"/>
  <c r="H27" i="11"/>
  <c r="G27" i="11"/>
  <c r="H26" i="11"/>
  <c r="G26" i="11"/>
  <c r="H25" i="11"/>
  <c r="G25" i="11"/>
  <c r="H24" i="11"/>
  <c r="G24" i="11"/>
  <c r="H23" i="11"/>
  <c r="G23" i="11"/>
  <c r="H22" i="11"/>
  <c r="G22" i="11"/>
  <c r="H21" i="11"/>
  <c r="G21" i="11"/>
  <c r="H17" i="11"/>
  <c r="G17" i="11"/>
  <c r="H16" i="11"/>
  <c r="G16" i="11"/>
  <c r="H15" i="11"/>
  <c r="G15" i="11"/>
  <c r="H14" i="11"/>
  <c r="G14" i="11"/>
  <c r="H10" i="11"/>
  <c r="G10" i="11"/>
  <c r="L87" i="10"/>
  <c r="K87" i="10"/>
  <c r="J87" i="10"/>
  <c r="L86" i="10"/>
  <c r="K86" i="10"/>
  <c r="J86" i="10"/>
  <c r="L85" i="10"/>
  <c r="K85" i="10"/>
  <c r="J85" i="10"/>
  <c r="L84" i="10"/>
  <c r="K84" i="10"/>
  <c r="J84" i="10"/>
  <c r="L83" i="10"/>
  <c r="K83" i="10"/>
  <c r="J83" i="10"/>
  <c r="L82" i="10"/>
  <c r="K82" i="10"/>
  <c r="J82" i="10"/>
  <c r="L81" i="10"/>
  <c r="K81" i="10"/>
  <c r="J81" i="10"/>
  <c r="L80" i="10"/>
  <c r="K80" i="10"/>
  <c r="J80" i="10"/>
  <c r="L79" i="10"/>
  <c r="K79" i="10"/>
  <c r="J79" i="10"/>
  <c r="L78" i="10"/>
  <c r="K78" i="10"/>
  <c r="J78" i="10"/>
  <c r="L77" i="10"/>
  <c r="K77" i="10"/>
  <c r="J77" i="10"/>
  <c r="L76" i="10"/>
  <c r="K76" i="10"/>
  <c r="J76" i="10"/>
  <c r="L75" i="10"/>
  <c r="K75" i="10"/>
  <c r="J75" i="10"/>
  <c r="L74" i="10"/>
  <c r="K74" i="10"/>
  <c r="J74" i="10"/>
  <c r="L73" i="10"/>
  <c r="K73" i="10"/>
  <c r="J73" i="10"/>
  <c r="L72" i="10"/>
  <c r="K72" i="10"/>
  <c r="J72" i="10"/>
  <c r="L71" i="10"/>
  <c r="K71" i="10"/>
  <c r="J71" i="10"/>
  <c r="L70" i="10"/>
  <c r="K70" i="10"/>
  <c r="J70" i="10"/>
  <c r="L69" i="10"/>
  <c r="K69" i="10"/>
  <c r="J69" i="10"/>
  <c r="L68" i="10"/>
  <c r="K68" i="10"/>
  <c r="J68" i="10"/>
  <c r="L67" i="10"/>
  <c r="K67" i="10"/>
  <c r="J67" i="10"/>
  <c r="L66" i="10"/>
  <c r="K66" i="10"/>
  <c r="J66" i="10"/>
  <c r="L65" i="10"/>
  <c r="K65" i="10"/>
  <c r="J65" i="10"/>
  <c r="L64" i="10"/>
  <c r="K64" i="10"/>
  <c r="J64" i="10"/>
  <c r="L63" i="10"/>
  <c r="K63" i="10"/>
  <c r="J63" i="10"/>
  <c r="L62" i="10"/>
  <c r="K62" i="10"/>
  <c r="J62" i="10"/>
  <c r="L61" i="10"/>
  <c r="K61" i="10"/>
  <c r="J61" i="10"/>
  <c r="L60" i="10"/>
  <c r="K60" i="10"/>
  <c r="J60" i="10"/>
  <c r="L59" i="10"/>
  <c r="K59" i="10"/>
  <c r="J59" i="10"/>
  <c r="L58" i="10"/>
  <c r="K58" i="10"/>
  <c r="J58" i="10"/>
  <c r="L57" i="10"/>
  <c r="K57" i="10"/>
  <c r="J57" i="10"/>
  <c r="L56" i="10"/>
  <c r="K56" i="10"/>
  <c r="J56" i="10"/>
  <c r="L55" i="10"/>
  <c r="K55" i="10"/>
  <c r="J55" i="10"/>
  <c r="L54" i="10"/>
  <c r="K54" i="10"/>
  <c r="J54" i="10"/>
  <c r="L53" i="10"/>
  <c r="K53" i="10"/>
  <c r="J53" i="10"/>
  <c r="L52" i="10"/>
  <c r="K52" i="10"/>
  <c r="J52" i="10"/>
  <c r="L51" i="10"/>
  <c r="K51" i="10"/>
  <c r="J51" i="10"/>
  <c r="L50" i="10"/>
  <c r="K50" i="10"/>
  <c r="J50" i="10"/>
  <c r="L49" i="10"/>
  <c r="K49" i="10"/>
  <c r="J49" i="10"/>
  <c r="L48" i="10"/>
  <c r="K48" i="10"/>
  <c r="J48" i="10"/>
  <c r="L47" i="10"/>
  <c r="K47" i="10"/>
  <c r="J47" i="10"/>
  <c r="L46" i="10"/>
  <c r="K46" i="10"/>
  <c r="J46" i="10"/>
  <c r="L45" i="10"/>
  <c r="K45" i="10"/>
  <c r="J45" i="10"/>
  <c r="L44" i="10"/>
  <c r="K44" i="10"/>
  <c r="J44" i="10"/>
  <c r="L43" i="10"/>
  <c r="K43" i="10"/>
  <c r="J43" i="10"/>
  <c r="L42" i="10"/>
  <c r="K42" i="10"/>
  <c r="J42" i="10"/>
  <c r="L41" i="10"/>
  <c r="K41" i="10"/>
  <c r="J41" i="10"/>
  <c r="L40" i="10"/>
  <c r="K40" i="10"/>
  <c r="J40" i="10"/>
  <c r="L39" i="10"/>
  <c r="K39" i="10"/>
  <c r="J39" i="10"/>
  <c r="L38" i="10"/>
  <c r="K38" i="10"/>
  <c r="J38" i="10"/>
  <c r="L37" i="10"/>
  <c r="K37" i="10"/>
  <c r="J37" i="10"/>
  <c r="K36" i="10"/>
  <c r="J36" i="10"/>
  <c r="H32" i="10"/>
  <c r="G32" i="10"/>
  <c r="H31" i="10"/>
  <c r="G31" i="10"/>
  <c r="H30" i="10"/>
  <c r="G30" i="10"/>
  <c r="H29" i="10"/>
  <c r="G29" i="10"/>
  <c r="H28" i="10"/>
  <c r="G28" i="10"/>
  <c r="H27" i="10"/>
  <c r="G27" i="10"/>
  <c r="H26" i="10"/>
  <c r="G26" i="10"/>
  <c r="H25" i="10"/>
  <c r="G25" i="10"/>
  <c r="H24" i="10"/>
  <c r="G24" i="10"/>
  <c r="H23" i="10"/>
  <c r="G23" i="10"/>
  <c r="H22" i="10"/>
  <c r="G22" i="10"/>
  <c r="H21" i="10"/>
  <c r="G21" i="10"/>
  <c r="H17" i="10"/>
  <c r="G17" i="10"/>
  <c r="H16" i="10"/>
  <c r="G16" i="10"/>
  <c r="H15" i="10"/>
  <c r="G15" i="10"/>
  <c r="H14" i="10"/>
  <c r="G14" i="10"/>
  <c r="H10" i="10"/>
  <c r="G10" i="10"/>
  <c r="L87" i="9"/>
  <c r="K87" i="9"/>
  <c r="J87" i="9"/>
  <c r="L86" i="9"/>
  <c r="K86" i="9"/>
  <c r="J86" i="9"/>
  <c r="L85" i="9"/>
  <c r="K85" i="9"/>
  <c r="J85" i="9"/>
  <c r="L84" i="9"/>
  <c r="K84" i="9"/>
  <c r="J84" i="9"/>
  <c r="L83" i="9"/>
  <c r="K83" i="9"/>
  <c r="J83" i="9"/>
  <c r="L82" i="9"/>
  <c r="K82" i="9"/>
  <c r="J82" i="9"/>
  <c r="L81" i="9"/>
  <c r="K81" i="9"/>
  <c r="J81" i="9"/>
  <c r="L80" i="9"/>
  <c r="K80" i="9"/>
  <c r="J80" i="9"/>
  <c r="L79" i="9"/>
  <c r="K79" i="9"/>
  <c r="J79" i="9"/>
  <c r="L78" i="9"/>
  <c r="K78" i="9"/>
  <c r="J78" i="9"/>
  <c r="L77" i="9"/>
  <c r="K77" i="9"/>
  <c r="J77" i="9"/>
  <c r="L76" i="9"/>
  <c r="K76" i="9"/>
  <c r="J76" i="9"/>
  <c r="L75" i="9"/>
  <c r="K75" i="9"/>
  <c r="J75" i="9"/>
  <c r="L74" i="9"/>
  <c r="K74" i="9"/>
  <c r="J74" i="9"/>
  <c r="L73" i="9"/>
  <c r="K73" i="9"/>
  <c r="J73" i="9"/>
  <c r="L72" i="9"/>
  <c r="K72" i="9"/>
  <c r="J72" i="9"/>
  <c r="L71" i="9"/>
  <c r="K71" i="9"/>
  <c r="J71" i="9"/>
  <c r="L70" i="9"/>
  <c r="K70" i="9"/>
  <c r="J70" i="9"/>
  <c r="L69" i="9"/>
  <c r="K69" i="9"/>
  <c r="J69" i="9"/>
  <c r="L68" i="9"/>
  <c r="K68" i="9"/>
  <c r="J68" i="9"/>
  <c r="L67" i="9"/>
  <c r="K67" i="9"/>
  <c r="J67" i="9"/>
  <c r="L66" i="9"/>
  <c r="K66" i="9"/>
  <c r="J66" i="9"/>
  <c r="L65" i="9"/>
  <c r="K65" i="9"/>
  <c r="J65" i="9"/>
  <c r="L64" i="9"/>
  <c r="K64" i="9"/>
  <c r="J64" i="9"/>
  <c r="L63" i="9"/>
  <c r="K63" i="9"/>
  <c r="J63" i="9"/>
  <c r="L62" i="9"/>
  <c r="K62" i="9"/>
  <c r="J62" i="9"/>
  <c r="L61" i="9"/>
  <c r="K61" i="9"/>
  <c r="J61" i="9"/>
  <c r="L60" i="9"/>
  <c r="K60" i="9"/>
  <c r="J60" i="9"/>
  <c r="L59" i="9"/>
  <c r="K59" i="9"/>
  <c r="J59" i="9"/>
  <c r="L58" i="9"/>
  <c r="K58" i="9"/>
  <c r="J58" i="9"/>
  <c r="L57" i="9"/>
  <c r="K57" i="9"/>
  <c r="J57" i="9"/>
  <c r="L56" i="9"/>
  <c r="K56" i="9"/>
  <c r="J56" i="9"/>
  <c r="L55" i="9"/>
  <c r="K55" i="9"/>
  <c r="J55" i="9"/>
  <c r="L54" i="9"/>
  <c r="K54" i="9"/>
  <c r="J54" i="9"/>
  <c r="L53" i="9"/>
  <c r="K53" i="9"/>
  <c r="J53" i="9"/>
  <c r="L52" i="9"/>
  <c r="K52" i="9"/>
  <c r="J52" i="9"/>
  <c r="L51" i="9"/>
  <c r="K51" i="9"/>
  <c r="J51" i="9"/>
  <c r="L50" i="9"/>
  <c r="K50" i="9"/>
  <c r="J50" i="9"/>
  <c r="L49" i="9"/>
  <c r="K49" i="9"/>
  <c r="J49" i="9"/>
  <c r="L48" i="9"/>
  <c r="K48" i="9"/>
  <c r="J48" i="9"/>
  <c r="L47" i="9"/>
  <c r="K47" i="9"/>
  <c r="J47" i="9"/>
  <c r="L46" i="9"/>
  <c r="K46" i="9"/>
  <c r="J46" i="9"/>
  <c r="L45" i="9"/>
  <c r="K45" i="9"/>
  <c r="J45" i="9"/>
  <c r="L44" i="9"/>
  <c r="K44" i="9"/>
  <c r="J44" i="9"/>
  <c r="L43" i="9"/>
  <c r="K43" i="9"/>
  <c r="J43" i="9"/>
  <c r="L42" i="9"/>
  <c r="K42" i="9"/>
  <c r="J42" i="9"/>
  <c r="L41" i="9"/>
  <c r="K41" i="9"/>
  <c r="J41" i="9"/>
  <c r="L40" i="9"/>
  <c r="K40" i="9"/>
  <c r="J40" i="9"/>
  <c r="L39" i="9"/>
  <c r="K39" i="9"/>
  <c r="J39" i="9"/>
  <c r="L38" i="9"/>
  <c r="K38" i="9"/>
  <c r="J38" i="9"/>
  <c r="L37" i="9"/>
  <c r="K37" i="9"/>
  <c r="J37" i="9"/>
  <c r="K36" i="9"/>
  <c r="J36" i="9"/>
  <c r="H32" i="9"/>
  <c r="G32" i="9"/>
  <c r="H31" i="9"/>
  <c r="G31" i="9"/>
  <c r="H30" i="9"/>
  <c r="G30" i="9"/>
  <c r="H29" i="9"/>
  <c r="G29" i="9"/>
  <c r="H28" i="9"/>
  <c r="G28" i="9"/>
  <c r="H27" i="9"/>
  <c r="G27" i="9"/>
  <c r="H26" i="9"/>
  <c r="G26" i="9"/>
  <c r="H25" i="9"/>
  <c r="G25" i="9"/>
  <c r="H24" i="9"/>
  <c r="G24" i="9"/>
  <c r="H23" i="9"/>
  <c r="G23" i="9"/>
  <c r="H22" i="9"/>
  <c r="G22" i="9"/>
  <c r="H21" i="9"/>
  <c r="G21" i="9"/>
  <c r="H17" i="9"/>
  <c r="G17" i="9"/>
  <c r="H16" i="9"/>
  <c r="G16" i="9"/>
  <c r="H15" i="9"/>
  <c r="G15" i="9"/>
  <c r="H14" i="9"/>
  <c r="G14" i="9"/>
  <c r="H10" i="9"/>
  <c r="G10" i="9"/>
  <c r="L87" i="8"/>
  <c r="K87" i="8"/>
  <c r="J87" i="8"/>
  <c r="L86" i="8"/>
  <c r="K86" i="8"/>
  <c r="J86" i="8"/>
  <c r="L85" i="8"/>
  <c r="K85" i="8"/>
  <c r="J85" i="8"/>
  <c r="L84" i="8"/>
  <c r="K84" i="8"/>
  <c r="J84" i="8"/>
  <c r="L83" i="8"/>
  <c r="K83" i="8"/>
  <c r="J83" i="8"/>
  <c r="L82" i="8"/>
  <c r="K82" i="8"/>
  <c r="J82" i="8"/>
  <c r="L81" i="8"/>
  <c r="K81" i="8"/>
  <c r="J81" i="8"/>
  <c r="L80" i="8"/>
  <c r="K80" i="8"/>
  <c r="J80" i="8"/>
  <c r="L79" i="8"/>
  <c r="K79" i="8"/>
  <c r="J79" i="8"/>
  <c r="L78" i="8"/>
  <c r="K78" i="8"/>
  <c r="J78" i="8"/>
  <c r="L77" i="8"/>
  <c r="K77" i="8"/>
  <c r="J77" i="8"/>
  <c r="L76" i="8"/>
  <c r="K76" i="8"/>
  <c r="J76" i="8"/>
  <c r="L75" i="8"/>
  <c r="K75" i="8"/>
  <c r="J75" i="8"/>
  <c r="L74" i="8"/>
  <c r="K74" i="8"/>
  <c r="J74" i="8"/>
  <c r="L73" i="8"/>
  <c r="K73" i="8"/>
  <c r="J73" i="8"/>
  <c r="L72" i="8"/>
  <c r="K72" i="8"/>
  <c r="J72" i="8"/>
  <c r="L71" i="8"/>
  <c r="K71" i="8"/>
  <c r="J71" i="8"/>
  <c r="L70" i="8"/>
  <c r="K70" i="8"/>
  <c r="J70" i="8"/>
  <c r="L69" i="8"/>
  <c r="K69" i="8"/>
  <c r="J69" i="8"/>
  <c r="L68" i="8"/>
  <c r="K68" i="8"/>
  <c r="J68" i="8"/>
  <c r="L67" i="8"/>
  <c r="K67" i="8"/>
  <c r="J67" i="8"/>
  <c r="L66" i="8"/>
  <c r="K66" i="8"/>
  <c r="J66" i="8"/>
  <c r="L65" i="8"/>
  <c r="K65" i="8"/>
  <c r="J65" i="8"/>
  <c r="L64" i="8"/>
  <c r="K64" i="8"/>
  <c r="J64" i="8"/>
  <c r="L63" i="8"/>
  <c r="K63" i="8"/>
  <c r="J63" i="8"/>
  <c r="L62" i="8"/>
  <c r="K62" i="8"/>
  <c r="J62" i="8"/>
  <c r="L61" i="8"/>
  <c r="K61" i="8"/>
  <c r="J61" i="8"/>
  <c r="L60" i="8"/>
  <c r="K60" i="8"/>
  <c r="J60" i="8"/>
  <c r="L59" i="8"/>
  <c r="K59" i="8"/>
  <c r="J59" i="8"/>
  <c r="L58" i="8"/>
  <c r="K58" i="8"/>
  <c r="J58" i="8"/>
  <c r="L57" i="8"/>
  <c r="K57" i="8"/>
  <c r="J57" i="8"/>
  <c r="L56" i="8"/>
  <c r="K56" i="8"/>
  <c r="J56" i="8"/>
  <c r="L55" i="8"/>
  <c r="K55" i="8"/>
  <c r="J55" i="8"/>
  <c r="L54" i="8"/>
  <c r="K54" i="8"/>
  <c r="J54" i="8"/>
  <c r="L53" i="8"/>
  <c r="K53" i="8"/>
  <c r="J53" i="8"/>
  <c r="L52" i="8"/>
  <c r="K52" i="8"/>
  <c r="J52" i="8"/>
  <c r="L51" i="8"/>
  <c r="K51" i="8"/>
  <c r="J51" i="8"/>
  <c r="L50" i="8"/>
  <c r="K50" i="8"/>
  <c r="J50" i="8"/>
  <c r="L49" i="8"/>
  <c r="K49" i="8"/>
  <c r="J49" i="8"/>
  <c r="L48" i="8"/>
  <c r="K48" i="8"/>
  <c r="J48" i="8"/>
  <c r="L47" i="8"/>
  <c r="K47" i="8"/>
  <c r="J47" i="8"/>
  <c r="L46" i="8"/>
  <c r="K46" i="8"/>
  <c r="J46" i="8"/>
  <c r="L45" i="8"/>
  <c r="K45" i="8"/>
  <c r="J45" i="8"/>
  <c r="L44" i="8"/>
  <c r="K44" i="8"/>
  <c r="J44" i="8"/>
  <c r="L43" i="8"/>
  <c r="K43" i="8"/>
  <c r="J43" i="8"/>
  <c r="L42" i="8"/>
  <c r="K42" i="8"/>
  <c r="J42" i="8"/>
  <c r="L41" i="8"/>
  <c r="K41" i="8"/>
  <c r="J41" i="8"/>
  <c r="L40" i="8"/>
  <c r="K40" i="8"/>
  <c r="J40" i="8"/>
  <c r="L39" i="8"/>
  <c r="K39" i="8"/>
  <c r="J39" i="8"/>
  <c r="L38" i="8"/>
  <c r="K38" i="8"/>
  <c r="J38" i="8"/>
  <c r="L37" i="8"/>
  <c r="K37" i="8"/>
  <c r="J37" i="8"/>
  <c r="K36" i="8"/>
  <c r="J36" i="8"/>
  <c r="H32" i="8"/>
  <c r="G32" i="8"/>
  <c r="H31" i="8"/>
  <c r="G31" i="8"/>
  <c r="H30" i="8"/>
  <c r="G30" i="8"/>
  <c r="H29" i="8"/>
  <c r="G29" i="8"/>
  <c r="H28" i="8"/>
  <c r="G28" i="8"/>
  <c r="H27" i="8"/>
  <c r="G27" i="8"/>
  <c r="H26" i="8"/>
  <c r="G26" i="8"/>
  <c r="H25" i="8"/>
  <c r="G25" i="8"/>
  <c r="H24" i="8"/>
  <c r="G24" i="8"/>
  <c r="H23" i="8"/>
  <c r="G23" i="8"/>
  <c r="H22" i="8"/>
  <c r="G22" i="8"/>
  <c r="H21" i="8"/>
  <c r="G21" i="8"/>
  <c r="H17" i="8"/>
  <c r="G17" i="8"/>
  <c r="H16" i="8"/>
  <c r="G16" i="8"/>
  <c r="H15" i="8"/>
  <c r="G15" i="8"/>
  <c r="H14" i="8"/>
  <c r="G14" i="8"/>
  <c r="H10" i="8"/>
  <c r="G10" i="8"/>
  <c r="L87" i="7"/>
  <c r="K87" i="7"/>
  <c r="J87" i="7"/>
  <c r="L86" i="7"/>
  <c r="K86" i="7"/>
  <c r="J86" i="7"/>
  <c r="L85" i="7"/>
  <c r="K85" i="7"/>
  <c r="J85" i="7"/>
  <c r="L84" i="7"/>
  <c r="K84" i="7"/>
  <c r="J84" i="7"/>
  <c r="L83" i="7"/>
  <c r="K83" i="7"/>
  <c r="J83" i="7"/>
  <c r="L82" i="7"/>
  <c r="K82" i="7"/>
  <c r="J82" i="7"/>
  <c r="L81" i="7"/>
  <c r="K81" i="7"/>
  <c r="J81" i="7"/>
  <c r="L80" i="7"/>
  <c r="K80" i="7"/>
  <c r="J80" i="7"/>
  <c r="L79" i="7"/>
  <c r="K79" i="7"/>
  <c r="J79" i="7"/>
  <c r="L78" i="7"/>
  <c r="K78" i="7"/>
  <c r="J78" i="7"/>
  <c r="L77" i="7"/>
  <c r="K77" i="7"/>
  <c r="J77" i="7"/>
  <c r="L76" i="7"/>
  <c r="K76" i="7"/>
  <c r="J76" i="7"/>
  <c r="L75" i="7"/>
  <c r="K75" i="7"/>
  <c r="J75" i="7"/>
  <c r="L74" i="7"/>
  <c r="K74" i="7"/>
  <c r="J74" i="7"/>
  <c r="L73" i="7"/>
  <c r="K73" i="7"/>
  <c r="J73" i="7"/>
  <c r="L72" i="7"/>
  <c r="K72" i="7"/>
  <c r="J72" i="7"/>
  <c r="L71" i="7"/>
  <c r="K71" i="7"/>
  <c r="J71" i="7"/>
  <c r="L70" i="7"/>
  <c r="K70" i="7"/>
  <c r="J70" i="7"/>
  <c r="L69" i="7"/>
  <c r="K69" i="7"/>
  <c r="J69" i="7"/>
  <c r="L68" i="7"/>
  <c r="K68" i="7"/>
  <c r="J68" i="7"/>
  <c r="L67" i="7"/>
  <c r="K67" i="7"/>
  <c r="J67" i="7"/>
  <c r="L66" i="7"/>
  <c r="K66" i="7"/>
  <c r="J66" i="7"/>
  <c r="L65" i="7"/>
  <c r="K65" i="7"/>
  <c r="J65" i="7"/>
  <c r="L64" i="7"/>
  <c r="K64" i="7"/>
  <c r="J64" i="7"/>
  <c r="L63" i="7"/>
  <c r="K63" i="7"/>
  <c r="J63" i="7"/>
  <c r="L62" i="7"/>
  <c r="K62" i="7"/>
  <c r="J62" i="7"/>
  <c r="L61" i="7"/>
  <c r="K61" i="7"/>
  <c r="J61" i="7"/>
  <c r="L60" i="7"/>
  <c r="K60" i="7"/>
  <c r="J60" i="7"/>
  <c r="L59" i="7"/>
  <c r="K59" i="7"/>
  <c r="J59" i="7"/>
  <c r="L58" i="7"/>
  <c r="K58" i="7"/>
  <c r="J58" i="7"/>
  <c r="L57" i="7"/>
  <c r="K57" i="7"/>
  <c r="J57" i="7"/>
  <c r="L56" i="7"/>
  <c r="K56" i="7"/>
  <c r="J56" i="7"/>
  <c r="L55" i="7"/>
  <c r="K55" i="7"/>
  <c r="J55" i="7"/>
  <c r="L54" i="7"/>
  <c r="K54" i="7"/>
  <c r="J54" i="7"/>
  <c r="L53" i="7"/>
  <c r="K53" i="7"/>
  <c r="J53" i="7"/>
  <c r="L52" i="7"/>
  <c r="K52" i="7"/>
  <c r="J52" i="7"/>
  <c r="L51" i="7"/>
  <c r="K51" i="7"/>
  <c r="J51" i="7"/>
  <c r="L50" i="7"/>
  <c r="K50" i="7"/>
  <c r="J50" i="7"/>
  <c r="L49" i="7"/>
  <c r="K49" i="7"/>
  <c r="J49" i="7"/>
  <c r="L48" i="7"/>
  <c r="K48" i="7"/>
  <c r="J48" i="7"/>
  <c r="L47" i="7"/>
  <c r="K47" i="7"/>
  <c r="J47" i="7"/>
  <c r="L46" i="7"/>
  <c r="K46" i="7"/>
  <c r="J46" i="7"/>
  <c r="L45" i="7"/>
  <c r="K45" i="7"/>
  <c r="J45" i="7"/>
  <c r="L44" i="7"/>
  <c r="K44" i="7"/>
  <c r="J44" i="7"/>
  <c r="L43" i="7"/>
  <c r="K43" i="7"/>
  <c r="J43" i="7"/>
  <c r="L42" i="7"/>
  <c r="K42" i="7"/>
  <c r="J42" i="7"/>
  <c r="L41" i="7"/>
  <c r="K41" i="7"/>
  <c r="J41" i="7"/>
  <c r="L40" i="7"/>
  <c r="K40" i="7"/>
  <c r="J40" i="7"/>
  <c r="L39" i="7"/>
  <c r="K39" i="7"/>
  <c r="J39" i="7"/>
  <c r="L38" i="7"/>
  <c r="K38" i="7"/>
  <c r="J38" i="7"/>
  <c r="L37" i="7"/>
  <c r="K37" i="7"/>
  <c r="J37" i="7"/>
  <c r="K36" i="7"/>
  <c r="J36" i="7"/>
  <c r="H32" i="7"/>
  <c r="G32" i="7"/>
  <c r="H31" i="7"/>
  <c r="G31" i="7"/>
  <c r="H30" i="7"/>
  <c r="G30" i="7"/>
  <c r="H29" i="7"/>
  <c r="G29" i="7"/>
  <c r="H28" i="7"/>
  <c r="G28" i="7"/>
  <c r="H27" i="7"/>
  <c r="G27" i="7"/>
  <c r="H26" i="7"/>
  <c r="G26" i="7"/>
  <c r="H25" i="7"/>
  <c r="G25" i="7"/>
  <c r="H24" i="7"/>
  <c r="G24" i="7"/>
  <c r="H23" i="7"/>
  <c r="G23" i="7"/>
  <c r="H22" i="7"/>
  <c r="G22" i="7"/>
  <c r="H21" i="7"/>
  <c r="G21" i="7"/>
  <c r="H17" i="7"/>
  <c r="G17" i="7"/>
  <c r="H16" i="7"/>
  <c r="G16" i="7"/>
  <c r="H15" i="7"/>
  <c r="G15" i="7"/>
  <c r="H14" i="7"/>
  <c r="G14" i="7"/>
  <c r="H10" i="7"/>
  <c r="G10" i="7"/>
  <c r="L87" i="6"/>
  <c r="K87" i="6"/>
  <c r="J87" i="6"/>
  <c r="L86" i="6"/>
  <c r="K86" i="6"/>
  <c r="J86" i="6"/>
  <c r="L85" i="6"/>
  <c r="K85" i="6"/>
  <c r="J85" i="6"/>
  <c r="L84" i="6"/>
  <c r="K84" i="6"/>
  <c r="J84" i="6"/>
  <c r="L83" i="6"/>
  <c r="K83" i="6"/>
  <c r="J83" i="6"/>
  <c r="L82" i="6"/>
  <c r="K82" i="6"/>
  <c r="J82" i="6"/>
  <c r="L81" i="6"/>
  <c r="K81" i="6"/>
  <c r="J81" i="6"/>
  <c r="L80" i="6"/>
  <c r="K80" i="6"/>
  <c r="J80" i="6"/>
  <c r="L79" i="6"/>
  <c r="K79" i="6"/>
  <c r="J79" i="6"/>
  <c r="L78" i="6"/>
  <c r="K78" i="6"/>
  <c r="J78" i="6"/>
  <c r="L77" i="6"/>
  <c r="K77" i="6"/>
  <c r="J77" i="6"/>
  <c r="L76" i="6"/>
  <c r="K76" i="6"/>
  <c r="J76" i="6"/>
  <c r="L75" i="6"/>
  <c r="K75" i="6"/>
  <c r="J75" i="6"/>
  <c r="L74" i="6"/>
  <c r="K74" i="6"/>
  <c r="J74" i="6"/>
  <c r="L73" i="6"/>
  <c r="K73" i="6"/>
  <c r="J73" i="6"/>
  <c r="L72" i="6"/>
  <c r="K72" i="6"/>
  <c r="J72" i="6"/>
  <c r="L71" i="6"/>
  <c r="K71" i="6"/>
  <c r="J71" i="6"/>
  <c r="L70" i="6"/>
  <c r="K70" i="6"/>
  <c r="J70" i="6"/>
  <c r="L69" i="6"/>
  <c r="K69" i="6"/>
  <c r="J69" i="6"/>
  <c r="L68" i="6"/>
  <c r="K68" i="6"/>
  <c r="J68" i="6"/>
  <c r="L67" i="6"/>
  <c r="K67" i="6"/>
  <c r="J67" i="6"/>
  <c r="L66" i="6"/>
  <c r="K66" i="6"/>
  <c r="J66" i="6"/>
  <c r="L65" i="6"/>
  <c r="K65" i="6"/>
  <c r="J65" i="6"/>
  <c r="L64" i="6"/>
  <c r="K64" i="6"/>
  <c r="J64" i="6"/>
  <c r="L63" i="6"/>
  <c r="K63" i="6"/>
  <c r="J63" i="6"/>
  <c r="L62" i="6"/>
  <c r="K62" i="6"/>
  <c r="J62" i="6"/>
  <c r="L61" i="6"/>
  <c r="K61" i="6"/>
  <c r="J61" i="6"/>
  <c r="L60" i="6"/>
  <c r="K60" i="6"/>
  <c r="J60" i="6"/>
  <c r="L59" i="6"/>
  <c r="K59" i="6"/>
  <c r="J59" i="6"/>
  <c r="L58" i="6"/>
  <c r="K58" i="6"/>
  <c r="J58" i="6"/>
  <c r="L57" i="6"/>
  <c r="K57" i="6"/>
  <c r="J57" i="6"/>
  <c r="L56" i="6"/>
  <c r="K56" i="6"/>
  <c r="J56" i="6"/>
  <c r="L55" i="6"/>
  <c r="K55" i="6"/>
  <c r="J55" i="6"/>
  <c r="L54" i="6"/>
  <c r="K54" i="6"/>
  <c r="J54" i="6"/>
  <c r="L53" i="6"/>
  <c r="K53" i="6"/>
  <c r="J53" i="6"/>
  <c r="L52" i="6"/>
  <c r="K52" i="6"/>
  <c r="J52" i="6"/>
  <c r="L51" i="6"/>
  <c r="K51" i="6"/>
  <c r="J51" i="6"/>
  <c r="L50" i="6"/>
  <c r="K50" i="6"/>
  <c r="J50" i="6"/>
  <c r="L49" i="6"/>
  <c r="K49" i="6"/>
  <c r="J49" i="6"/>
  <c r="L48" i="6"/>
  <c r="K48" i="6"/>
  <c r="J48" i="6"/>
  <c r="L47" i="6"/>
  <c r="K47" i="6"/>
  <c r="J47" i="6"/>
  <c r="L46" i="6"/>
  <c r="K46" i="6"/>
  <c r="J46" i="6"/>
  <c r="L45" i="6"/>
  <c r="K45" i="6"/>
  <c r="J45" i="6"/>
  <c r="L44" i="6"/>
  <c r="K44" i="6"/>
  <c r="J44" i="6"/>
  <c r="L43" i="6"/>
  <c r="K43" i="6"/>
  <c r="J43" i="6"/>
  <c r="L42" i="6"/>
  <c r="K42" i="6"/>
  <c r="J42" i="6"/>
  <c r="L41" i="6"/>
  <c r="K41" i="6"/>
  <c r="J41" i="6"/>
  <c r="L40" i="6"/>
  <c r="K40" i="6"/>
  <c r="J40" i="6"/>
  <c r="L39" i="6"/>
  <c r="K39" i="6"/>
  <c r="J39" i="6"/>
  <c r="L38" i="6"/>
  <c r="K38" i="6"/>
  <c r="J38" i="6"/>
  <c r="L37" i="6"/>
  <c r="K37" i="6"/>
  <c r="J37" i="6"/>
  <c r="K36" i="6"/>
  <c r="J36" i="6"/>
  <c r="H32" i="6"/>
  <c r="G32" i="6"/>
  <c r="H31" i="6"/>
  <c r="G31" i="6"/>
  <c r="H30" i="6"/>
  <c r="G30" i="6"/>
  <c r="H29" i="6"/>
  <c r="G29" i="6"/>
  <c r="H28" i="6"/>
  <c r="G28" i="6"/>
  <c r="H27" i="6"/>
  <c r="G27" i="6"/>
  <c r="H26" i="6"/>
  <c r="G26" i="6"/>
  <c r="H25" i="6"/>
  <c r="G25" i="6"/>
  <c r="H24" i="6"/>
  <c r="G24" i="6"/>
  <c r="H23" i="6"/>
  <c r="G23" i="6"/>
  <c r="H22" i="6"/>
  <c r="G22" i="6"/>
  <c r="H21" i="6"/>
  <c r="G21" i="6"/>
  <c r="H17" i="6"/>
  <c r="G17" i="6"/>
  <c r="H16" i="6"/>
  <c r="G16" i="6"/>
  <c r="H15" i="6"/>
  <c r="G15" i="6"/>
  <c r="H14" i="6"/>
  <c r="G14" i="6"/>
  <c r="H10" i="6"/>
  <c r="G10" i="6"/>
  <c r="L87" i="5"/>
  <c r="K87" i="5"/>
  <c r="J87" i="5"/>
  <c r="L86" i="5"/>
  <c r="K86" i="5"/>
  <c r="J86" i="5"/>
  <c r="L85" i="5"/>
  <c r="K85" i="5"/>
  <c r="J85" i="5"/>
  <c r="L84" i="5"/>
  <c r="K84" i="5"/>
  <c r="J84" i="5"/>
  <c r="L83" i="5"/>
  <c r="K83" i="5"/>
  <c r="J83" i="5"/>
  <c r="L82" i="5"/>
  <c r="K82" i="5"/>
  <c r="J82" i="5"/>
  <c r="L81" i="5"/>
  <c r="K81" i="5"/>
  <c r="J81" i="5"/>
  <c r="L80" i="5"/>
  <c r="K80" i="5"/>
  <c r="J80" i="5"/>
  <c r="L79" i="5"/>
  <c r="K79" i="5"/>
  <c r="J79" i="5"/>
  <c r="L78" i="5"/>
  <c r="K78" i="5"/>
  <c r="J78" i="5"/>
  <c r="L77" i="5"/>
  <c r="K77" i="5"/>
  <c r="J77" i="5"/>
  <c r="L76" i="5"/>
  <c r="K76" i="5"/>
  <c r="J76" i="5"/>
  <c r="L75" i="5"/>
  <c r="K75" i="5"/>
  <c r="J75" i="5"/>
  <c r="L74" i="5"/>
  <c r="K74" i="5"/>
  <c r="J74" i="5"/>
  <c r="L73" i="5"/>
  <c r="K73" i="5"/>
  <c r="J73" i="5"/>
  <c r="L72" i="5"/>
  <c r="K72" i="5"/>
  <c r="J72" i="5"/>
  <c r="L71" i="5"/>
  <c r="K71" i="5"/>
  <c r="J71" i="5"/>
  <c r="L70" i="5"/>
  <c r="K70" i="5"/>
  <c r="J70" i="5"/>
  <c r="L69" i="5"/>
  <c r="K69" i="5"/>
  <c r="J69" i="5"/>
  <c r="L68" i="5"/>
  <c r="K68" i="5"/>
  <c r="J68" i="5"/>
  <c r="L67" i="5"/>
  <c r="K67" i="5"/>
  <c r="J67" i="5"/>
  <c r="L66" i="5"/>
  <c r="K66" i="5"/>
  <c r="J66" i="5"/>
  <c r="L65" i="5"/>
  <c r="K65" i="5"/>
  <c r="J65" i="5"/>
  <c r="L64" i="5"/>
  <c r="K64" i="5"/>
  <c r="J64" i="5"/>
  <c r="L63" i="5"/>
  <c r="K63" i="5"/>
  <c r="J63" i="5"/>
  <c r="L62" i="5"/>
  <c r="K62" i="5"/>
  <c r="J62" i="5"/>
  <c r="L61" i="5"/>
  <c r="K61" i="5"/>
  <c r="J61" i="5"/>
  <c r="L60" i="5"/>
  <c r="K60" i="5"/>
  <c r="J60" i="5"/>
  <c r="L59" i="5"/>
  <c r="K59" i="5"/>
  <c r="J59" i="5"/>
  <c r="L58" i="5"/>
  <c r="K58" i="5"/>
  <c r="J58" i="5"/>
  <c r="L57" i="5"/>
  <c r="K57" i="5"/>
  <c r="J57" i="5"/>
  <c r="L56" i="5"/>
  <c r="K56" i="5"/>
  <c r="J56" i="5"/>
  <c r="L55" i="5"/>
  <c r="K55" i="5"/>
  <c r="J55" i="5"/>
  <c r="L54" i="5"/>
  <c r="K54" i="5"/>
  <c r="J54" i="5"/>
  <c r="L53" i="5"/>
  <c r="K53" i="5"/>
  <c r="J53" i="5"/>
  <c r="L52" i="5"/>
  <c r="K52" i="5"/>
  <c r="J52" i="5"/>
  <c r="L51" i="5"/>
  <c r="K51" i="5"/>
  <c r="J51" i="5"/>
  <c r="L50" i="5"/>
  <c r="K50" i="5"/>
  <c r="J50" i="5"/>
  <c r="L49" i="5"/>
  <c r="K49" i="5"/>
  <c r="J49" i="5"/>
  <c r="L48" i="5"/>
  <c r="K48" i="5"/>
  <c r="J48" i="5"/>
  <c r="L47" i="5"/>
  <c r="K47" i="5"/>
  <c r="J47" i="5"/>
  <c r="L46" i="5"/>
  <c r="K46" i="5"/>
  <c r="J46" i="5"/>
  <c r="L45" i="5"/>
  <c r="K45" i="5"/>
  <c r="J45" i="5"/>
  <c r="L44" i="5"/>
  <c r="K44" i="5"/>
  <c r="J44" i="5"/>
  <c r="L43" i="5"/>
  <c r="K43" i="5"/>
  <c r="J43" i="5"/>
  <c r="L42" i="5"/>
  <c r="K42" i="5"/>
  <c r="J42" i="5"/>
  <c r="L41" i="5"/>
  <c r="K41" i="5"/>
  <c r="J41" i="5"/>
  <c r="L40" i="5"/>
  <c r="K40" i="5"/>
  <c r="J40" i="5"/>
  <c r="L39" i="5"/>
  <c r="K39" i="5"/>
  <c r="J39" i="5"/>
  <c r="L38" i="5"/>
  <c r="K38" i="5"/>
  <c r="J38" i="5"/>
  <c r="L37" i="5"/>
  <c r="K37" i="5"/>
  <c r="J37" i="5"/>
  <c r="K36" i="5"/>
  <c r="J36" i="5"/>
  <c r="H32" i="5"/>
  <c r="G32" i="5"/>
  <c r="H31" i="5"/>
  <c r="G31" i="5"/>
  <c r="H30" i="5"/>
  <c r="G30" i="5"/>
  <c r="H29" i="5"/>
  <c r="G29" i="5"/>
  <c r="H28" i="5"/>
  <c r="G28" i="5"/>
  <c r="H27" i="5"/>
  <c r="G27" i="5"/>
  <c r="H26" i="5"/>
  <c r="G26" i="5"/>
  <c r="H25" i="5"/>
  <c r="G25" i="5"/>
  <c r="H24" i="5"/>
  <c r="G24" i="5"/>
  <c r="H23" i="5"/>
  <c r="G23" i="5"/>
  <c r="H22" i="5"/>
  <c r="G22" i="5"/>
  <c r="H21" i="5"/>
  <c r="G21" i="5"/>
  <c r="H17" i="5"/>
  <c r="G17" i="5"/>
  <c r="H16" i="5"/>
  <c r="G16" i="5"/>
  <c r="H15" i="5"/>
  <c r="G15" i="5"/>
  <c r="H14" i="5"/>
  <c r="G14" i="5"/>
  <c r="H10" i="5"/>
  <c r="G10" i="5"/>
  <c r="L87" i="4"/>
  <c r="K87" i="4"/>
  <c r="J87" i="4"/>
  <c r="L86" i="4"/>
  <c r="K86" i="4"/>
  <c r="J86" i="4"/>
  <c r="L85" i="4"/>
  <c r="K85" i="4"/>
  <c r="J85" i="4"/>
  <c r="L84" i="4"/>
  <c r="K84" i="4"/>
  <c r="J84" i="4"/>
  <c r="L83" i="4"/>
  <c r="K83" i="4"/>
  <c r="J83" i="4"/>
  <c r="L82" i="4"/>
  <c r="K82" i="4"/>
  <c r="J82" i="4"/>
  <c r="L81" i="4"/>
  <c r="K81" i="4"/>
  <c r="J81" i="4"/>
  <c r="L80" i="4"/>
  <c r="K80" i="4"/>
  <c r="J80" i="4"/>
  <c r="L79" i="4"/>
  <c r="K79" i="4"/>
  <c r="J79" i="4"/>
  <c r="L78" i="4"/>
  <c r="K78" i="4"/>
  <c r="J78" i="4"/>
  <c r="L77" i="4"/>
  <c r="K77" i="4"/>
  <c r="J77" i="4"/>
  <c r="L76" i="4"/>
  <c r="K76" i="4"/>
  <c r="J76" i="4"/>
  <c r="L75" i="4"/>
  <c r="K75" i="4"/>
  <c r="J75" i="4"/>
  <c r="L74" i="4"/>
  <c r="K74" i="4"/>
  <c r="J74" i="4"/>
  <c r="L73" i="4"/>
  <c r="K73" i="4"/>
  <c r="J73" i="4"/>
  <c r="L72" i="4"/>
  <c r="K72" i="4"/>
  <c r="J72" i="4"/>
  <c r="L71" i="4"/>
  <c r="K71" i="4"/>
  <c r="J71" i="4"/>
  <c r="L70" i="4"/>
  <c r="K70" i="4"/>
  <c r="J70" i="4"/>
  <c r="L69" i="4"/>
  <c r="K69" i="4"/>
  <c r="J69" i="4"/>
  <c r="L68" i="4"/>
  <c r="K68" i="4"/>
  <c r="J68" i="4"/>
  <c r="L67" i="4"/>
  <c r="K67" i="4"/>
  <c r="J67" i="4"/>
  <c r="L66" i="4"/>
  <c r="K66" i="4"/>
  <c r="J66" i="4"/>
  <c r="L65" i="4"/>
  <c r="K65" i="4"/>
  <c r="J65" i="4"/>
  <c r="L64" i="4"/>
  <c r="K64" i="4"/>
  <c r="J64" i="4"/>
  <c r="L63" i="4"/>
  <c r="K63" i="4"/>
  <c r="J63" i="4"/>
  <c r="L62" i="4"/>
  <c r="K62" i="4"/>
  <c r="J62" i="4"/>
  <c r="L61" i="4"/>
  <c r="K61" i="4"/>
  <c r="J61" i="4"/>
  <c r="L60" i="4"/>
  <c r="K60" i="4"/>
  <c r="J60" i="4"/>
  <c r="L59" i="4"/>
  <c r="K59" i="4"/>
  <c r="J59" i="4"/>
  <c r="L58" i="4"/>
  <c r="K58" i="4"/>
  <c r="J58" i="4"/>
  <c r="L57" i="4"/>
  <c r="K57" i="4"/>
  <c r="J57" i="4"/>
  <c r="L56" i="4"/>
  <c r="K56" i="4"/>
  <c r="J56" i="4"/>
  <c r="L55" i="4"/>
  <c r="K55" i="4"/>
  <c r="J55" i="4"/>
  <c r="L54" i="4"/>
  <c r="K54" i="4"/>
  <c r="J54" i="4"/>
  <c r="L53" i="4"/>
  <c r="K53" i="4"/>
  <c r="J53" i="4"/>
  <c r="L52" i="4"/>
  <c r="K52" i="4"/>
  <c r="J52" i="4"/>
  <c r="L51" i="4"/>
  <c r="K51" i="4"/>
  <c r="J51" i="4"/>
  <c r="L50" i="4"/>
  <c r="K50" i="4"/>
  <c r="J50" i="4"/>
  <c r="L49" i="4"/>
  <c r="K49" i="4"/>
  <c r="J49" i="4"/>
  <c r="L48" i="4"/>
  <c r="K48" i="4"/>
  <c r="J48" i="4"/>
  <c r="L47" i="4"/>
  <c r="K47" i="4"/>
  <c r="J47" i="4"/>
  <c r="L46" i="4"/>
  <c r="K46" i="4"/>
  <c r="J46" i="4"/>
  <c r="L45" i="4"/>
  <c r="K45" i="4"/>
  <c r="J45" i="4"/>
  <c r="L44" i="4"/>
  <c r="K44" i="4"/>
  <c r="J44" i="4"/>
  <c r="L43" i="4"/>
  <c r="K43" i="4"/>
  <c r="J43" i="4"/>
  <c r="L42" i="4"/>
  <c r="K42" i="4"/>
  <c r="J42" i="4"/>
  <c r="L41" i="4"/>
  <c r="K41" i="4"/>
  <c r="J41" i="4"/>
  <c r="L40" i="4"/>
  <c r="K40" i="4"/>
  <c r="J40" i="4"/>
  <c r="L39" i="4"/>
  <c r="K39" i="4"/>
  <c r="J39" i="4"/>
  <c r="L38" i="4"/>
  <c r="K38" i="4"/>
  <c r="J38" i="4"/>
  <c r="L37" i="4"/>
  <c r="K37" i="4"/>
  <c r="J37" i="4"/>
  <c r="K36" i="4"/>
  <c r="J36" i="4"/>
  <c r="H32" i="4"/>
  <c r="G32" i="4"/>
  <c r="H31" i="4"/>
  <c r="G31" i="4"/>
  <c r="H30" i="4"/>
  <c r="G30" i="4"/>
  <c r="H29" i="4"/>
  <c r="G29" i="4"/>
  <c r="H28" i="4"/>
  <c r="G28" i="4"/>
  <c r="H27" i="4"/>
  <c r="G27" i="4"/>
  <c r="H26" i="4"/>
  <c r="G26" i="4"/>
  <c r="H25" i="4"/>
  <c r="G25" i="4"/>
  <c r="H24" i="4"/>
  <c r="G24" i="4"/>
  <c r="H23" i="4"/>
  <c r="G23" i="4"/>
  <c r="H22" i="4"/>
  <c r="G22" i="4"/>
  <c r="H21" i="4"/>
  <c r="G21" i="4"/>
  <c r="H17" i="4"/>
  <c r="G17" i="4"/>
  <c r="H16" i="4"/>
  <c r="G16" i="4"/>
  <c r="H15" i="4"/>
  <c r="G15" i="4"/>
  <c r="H14" i="4"/>
  <c r="G14" i="4"/>
  <c r="H10" i="4"/>
  <c r="G10" i="4"/>
  <c r="L87" i="3"/>
  <c r="K87" i="3"/>
  <c r="J87" i="3"/>
  <c r="L86" i="3"/>
  <c r="K86" i="3"/>
  <c r="J86" i="3"/>
  <c r="L85" i="3"/>
  <c r="K85" i="3"/>
  <c r="J85" i="3"/>
  <c r="L84" i="3"/>
  <c r="K84" i="3"/>
  <c r="J84" i="3"/>
  <c r="L83" i="3"/>
  <c r="K83" i="3"/>
  <c r="J83" i="3"/>
  <c r="L82" i="3"/>
  <c r="K82" i="3"/>
  <c r="J82" i="3"/>
  <c r="L81" i="3"/>
  <c r="K81" i="3"/>
  <c r="J81" i="3"/>
  <c r="L80" i="3"/>
  <c r="K80" i="3"/>
  <c r="J80" i="3"/>
  <c r="L79" i="3"/>
  <c r="K79" i="3"/>
  <c r="J79" i="3"/>
  <c r="L78" i="3"/>
  <c r="K78" i="3"/>
  <c r="J78" i="3"/>
  <c r="L77" i="3"/>
  <c r="K77" i="3"/>
  <c r="J77" i="3"/>
  <c r="L76" i="3"/>
  <c r="K76" i="3"/>
  <c r="J76" i="3"/>
  <c r="L75" i="3"/>
  <c r="K75" i="3"/>
  <c r="J75" i="3"/>
  <c r="L74" i="3"/>
  <c r="K74" i="3"/>
  <c r="J74" i="3"/>
  <c r="L73" i="3"/>
  <c r="K73" i="3"/>
  <c r="J73" i="3"/>
  <c r="L72" i="3"/>
  <c r="K72" i="3"/>
  <c r="J72" i="3"/>
  <c r="L71" i="3"/>
  <c r="K71" i="3"/>
  <c r="J71" i="3"/>
  <c r="L70" i="3"/>
  <c r="K70" i="3"/>
  <c r="J70" i="3"/>
  <c r="L69" i="3"/>
  <c r="K69" i="3"/>
  <c r="J69" i="3"/>
  <c r="L68" i="3"/>
  <c r="K68" i="3"/>
  <c r="J68" i="3"/>
  <c r="L67" i="3"/>
  <c r="K67" i="3"/>
  <c r="J67" i="3"/>
  <c r="L66" i="3"/>
  <c r="K66" i="3"/>
  <c r="J66" i="3"/>
  <c r="L65" i="3"/>
  <c r="K65" i="3"/>
  <c r="J65" i="3"/>
  <c r="L64" i="3"/>
  <c r="K64" i="3"/>
  <c r="J64" i="3"/>
  <c r="L63" i="3"/>
  <c r="K63" i="3"/>
  <c r="J63" i="3"/>
  <c r="L62" i="3"/>
  <c r="K62" i="3"/>
  <c r="J62" i="3"/>
  <c r="L61" i="3"/>
  <c r="K61" i="3"/>
  <c r="J61" i="3"/>
  <c r="L60" i="3"/>
  <c r="K60" i="3"/>
  <c r="J60" i="3"/>
  <c r="L59" i="3"/>
  <c r="K59" i="3"/>
  <c r="J59" i="3"/>
  <c r="L58" i="3"/>
  <c r="K58" i="3"/>
  <c r="J58" i="3"/>
  <c r="L57" i="3"/>
  <c r="K57" i="3"/>
  <c r="J57" i="3"/>
  <c r="L56" i="3"/>
  <c r="K56" i="3"/>
  <c r="J56" i="3"/>
  <c r="L55" i="3"/>
  <c r="K55" i="3"/>
  <c r="J55" i="3"/>
  <c r="L54" i="3"/>
  <c r="K54" i="3"/>
  <c r="J54" i="3"/>
  <c r="L53" i="3"/>
  <c r="K53" i="3"/>
  <c r="J53" i="3"/>
  <c r="L52" i="3"/>
  <c r="K52" i="3"/>
  <c r="J52" i="3"/>
  <c r="L51" i="3"/>
  <c r="K51" i="3"/>
  <c r="J51" i="3"/>
  <c r="L50" i="3"/>
  <c r="K50" i="3"/>
  <c r="J50" i="3"/>
  <c r="L49" i="3"/>
  <c r="K49" i="3"/>
  <c r="J49" i="3"/>
  <c r="L48" i="3"/>
  <c r="K48" i="3"/>
  <c r="J48" i="3"/>
  <c r="L47" i="3"/>
  <c r="K47" i="3"/>
  <c r="J47" i="3"/>
  <c r="L46" i="3"/>
  <c r="K46" i="3"/>
  <c r="J46" i="3"/>
  <c r="L45" i="3"/>
  <c r="K45" i="3"/>
  <c r="J45" i="3"/>
  <c r="L44" i="3"/>
  <c r="K44" i="3"/>
  <c r="J44" i="3"/>
  <c r="L43" i="3"/>
  <c r="K43" i="3"/>
  <c r="J43" i="3"/>
  <c r="L42" i="3"/>
  <c r="K42" i="3"/>
  <c r="J42" i="3"/>
  <c r="L41" i="3"/>
  <c r="K41" i="3"/>
  <c r="J41" i="3"/>
  <c r="L40" i="3"/>
  <c r="K40" i="3"/>
  <c r="J40" i="3"/>
  <c r="L39" i="3"/>
  <c r="K39" i="3"/>
  <c r="J39" i="3"/>
  <c r="L38" i="3"/>
  <c r="K38" i="3"/>
  <c r="J38" i="3"/>
  <c r="L37" i="3"/>
  <c r="K37" i="3"/>
  <c r="J37" i="3"/>
  <c r="K36" i="3"/>
  <c r="J36" i="3"/>
  <c r="H32" i="3"/>
  <c r="G32" i="3"/>
  <c r="H31" i="3"/>
  <c r="G31" i="3"/>
  <c r="H30" i="3"/>
  <c r="G30" i="3"/>
  <c r="H29" i="3"/>
  <c r="G29" i="3"/>
  <c r="H28" i="3"/>
  <c r="G28" i="3"/>
  <c r="H27" i="3"/>
  <c r="G27" i="3"/>
  <c r="H26" i="3"/>
  <c r="G26" i="3"/>
  <c r="H25" i="3"/>
  <c r="G25" i="3"/>
  <c r="H24" i="3"/>
  <c r="G24" i="3"/>
  <c r="H23" i="3"/>
  <c r="G23" i="3"/>
  <c r="H22" i="3"/>
  <c r="G22" i="3"/>
  <c r="H21" i="3"/>
  <c r="G21" i="3"/>
  <c r="H17" i="3"/>
  <c r="G17" i="3"/>
  <c r="H16" i="3"/>
  <c r="G16" i="3"/>
  <c r="H15" i="3"/>
  <c r="G15" i="3"/>
  <c r="H14" i="3"/>
  <c r="G14" i="3"/>
  <c r="H10" i="3"/>
  <c r="G10" i="3"/>
  <c r="L87" i="2"/>
  <c r="K87" i="2"/>
  <c r="J87" i="2"/>
  <c r="L86" i="2"/>
  <c r="K86" i="2"/>
  <c r="J86" i="2"/>
  <c r="L85" i="2"/>
  <c r="K85" i="2"/>
  <c r="J85" i="2"/>
  <c r="L84" i="2"/>
  <c r="K84" i="2"/>
  <c r="J84" i="2"/>
  <c r="L83" i="2"/>
  <c r="K83" i="2"/>
  <c r="J83" i="2"/>
  <c r="L82" i="2"/>
  <c r="K82" i="2"/>
  <c r="J82" i="2"/>
  <c r="L81" i="2"/>
  <c r="K81" i="2"/>
  <c r="J81" i="2"/>
  <c r="L80" i="2"/>
  <c r="K80" i="2"/>
  <c r="J80" i="2"/>
  <c r="L79" i="2"/>
  <c r="K79" i="2"/>
  <c r="J79" i="2"/>
  <c r="L78" i="2"/>
  <c r="K78" i="2"/>
  <c r="J78" i="2"/>
  <c r="L77" i="2"/>
  <c r="K77" i="2"/>
  <c r="J77" i="2"/>
  <c r="L76" i="2"/>
  <c r="K76" i="2"/>
  <c r="J76" i="2"/>
  <c r="L75" i="2"/>
  <c r="K75" i="2"/>
  <c r="J75" i="2"/>
  <c r="L74" i="2"/>
  <c r="K74" i="2"/>
  <c r="J74" i="2"/>
  <c r="L73" i="2"/>
  <c r="K73" i="2"/>
  <c r="J73" i="2"/>
  <c r="L72" i="2"/>
  <c r="K72" i="2"/>
  <c r="J72" i="2"/>
  <c r="L71" i="2"/>
  <c r="K71" i="2"/>
  <c r="J71" i="2"/>
  <c r="L70" i="2"/>
  <c r="K70" i="2"/>
  <c r="J70" i="2"/>
  <c r="L69" i="2"/>
  <c r="K69" i="2"/>
  <c r="J69" i="2"/>
  <c r="L68" i="2"/>
  <c r="K68" i="2"/>
  <c r="J68" i="2"/>
  <c r="L67" i="2"/>
  <c r="K67" i="2"/>
  <c r="J67" i="2"/>
  <c r="L66" i="2"/>
  <c r="K66" i="2"/>
  <c r="J66" i="2"/>
  <c r="L65" i="2"/>
  <c r="K65" i="2"/>
  <c r="J65" i="2"/>
  <c r="L64" i="2"/>
  <c r="K64" i="2"/>
  <c r="J64" i="2"/>
  <c r="L63" i="2"/>
  <c r="K63" i="2"/>
  <c r="J63" i="2"/>
  <c r="L62" i="2"/>
  <c r="K62" i="2"/>
  <c r="J62" i="2"/>
  <c r="L61" i="2"/>
  <c r="K61" i="2"/>
  <c r="J61" i="2"/>
  <c r="L60" i="2"/>
  <c r="K60" i="2"/>
  <c r="J60" i="2"/>
  <c r="L59" i="2"/>
  <c r="K59" i="2"/>
  <c r="J59" i="2"/>
  <c r="L58" i="2"/>
  <c r="K58" i="2"/>
  <c r="J58" i="2"/>
  <c r="L57" i="2"/>
  <c r="K57" i="2"/>
  <c r="J57" i="2"/>
  <c r="L56" i="2"/>
  <c r="K56" i="2"/>
  <c r="J56" i="2"/>
  <c r="L55" i="2"/>
  <c r="K55" i="2"/>
  <c r="J55" i="2"/>
  <c r="L54" i="2"/>
  <c r="K54" i="2"/>
  <c r="J54" i="2"/>
  <c r="L53" i="2"/>
  <c r="K53" i="2"/>
  <c r="J53" i="2"/>
  <c r="L52" i="2"/>
  <c r="K52" i="2"/>
  <c r="J52" i="2"/>
  <c r="L51" i="2"/>
  <c r="K51" i="2"/>
  <c r="J51" i="2"/>
  <c r="L50" i="2"/>
  <c r="K50" i="2"/>
  <c r="J50" i="2"/>
  <c r="L49" i="2"/>
  <c r="K49" i="2"/>
  <c r="J49" i="2"/>
  <c r="L48" i="2"/>
  <c r="K48" i="2"/>
  <c r="J48" i="2"/>
  <c r="L47" i="2"/>
  <c r="K47" i="2"/>
  <c r="J47" i="2"/>
  <c r="L46" i="2"/>
  <c r="K46" i="2"/>
  <c r="J46" i="2"/>
  <c r="L45" i="2"/>
  <c r="K45" i="2"/>
  <c r="J45" i="2"/>
  <c r="L44" i="2"/>
  <c r="K44" i="2"/>
  <c r="J44" i="2"/>
  <c r="L43" i="2"/>
  <c r="K43" i="2"/>
  <c r="J43" i="2"/>
  <c r="L42" i="2"/>
  <c r="K42" i="2"/>
  <c r="J42" i="2"/>
  <c r="L41" i="2"/>
  <c r="K41" i="2"/>
  <c r="J41" i="2"/>
  <c r="L40" i="2"/>
  <c r="K40" i="2"/>
  <c r="J40" i="2"/>
  <c r="L39" i="2"/>
  <c r="K39" i="2"/>
  <c r="J39" i="2"/>
  <c r="L38" i="2"/>
  <c r="K38" i="2"/>
  <c r="J38" i="2"/>
  <c r="L37" i="2"/>
  <c r="K37" i="2"/>
  <c r="J37" i="2"/>
  <c r="K36" i="2"/>
  <c r="J36" i="2"/>
  <c r="H32" i="2"/>
  <c r="G32" i="2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17" i="2"/>
  <c r="G17" i="2"/>
  <c r="H16" i="2"/>
  <c r="G16" i="2"/>
  <c r="H15" i="2"/>
  <c r="G15" i="2"/>
  <c r="H14" i="2"/>
  <c r="G14" i="2"/>
  <c r="H10" i="2"/>
  <c r="G10" i="2"/>
</calcChain>
</file>

<file path=xl/sharedStrings.xml><?xml version="1.0" encoding="utf-8"?>
<sst xmlns="http://schemas.openxmlformats.org/spreadsheetml/2006/main" count="1442" uniqueCount="177">
  <si>
    <t>📊 PS Forecast Tracker — 2026</t>
  </si>
  <si>
    <t>Year-End → Quarterly → Monthly → Weekly • Predictions + Actuals + Error Tracking</t>
  </si>
  <si>
    <t>WW YTD REGS</t>
  </si>
  <si>
    <t>WW YTD SPEND</t>
  </si>
  <si>
    <t>WW AVG CPA</t>
  </si>
  <si>
    <t>MARKETS</t>
  </si>
  <si>
    <t>238,962</t>
  </si>
  <si>
    <t>$18,263,775</t>
  </si>
  <si>
    <t>$76.43</t>
  </si>
  <si>
    <t>10</t>
  </si>
  <si>
    <t>W1–W15</t>
  </si>
  <si>
    <t>150 data points</t>
  </si>
  <si>
    <t>Market</t>
  </si>
  <si>
    <t>YTD Regs</t>
  </si>
  <si>
    <t>YTD Spend</t>
  </si>
  <si>
    <t>Avg CPA</t>
  </si>
  <si>
    <t>Avg Wk Regs</t>
  </si>
  <si>
    <t>Latest Wk</t>
  </si>
  <si>
    <t>WoW Δ%</t>
  </si>
  <si>
    <t>Proj Mo Regs</t>
  </si>
  <si>
    <t>vs OP2 %</t>
  </si>
  <si>
    <t>Source</t>
  </si>
  <si>
    <t>US</t>
  </si>
  <si>
    <t>bayesian</t>
  </si>
  <si>
    <t>UK</t>
  </si>
  <si>
    <t>DE</t>
  </si>
  <si>
    <t>FR</t>
  </si>
  <si>
    <t>IT</t>
  </si>
  <si>
    <t>ES</t>
  </si>
  <si>
    <t>CA</t>
  </si>
  <si>
    <t>JP</t>
  </si>
  <si>
    <t>MX</t>
  </si>
  <si>
    <t>AU</t>
  </si>
  <si>
    <t>US — Forecast Tracker 2026</t>
  </si>
  <si>
    <t>YTD REGS</t>
  </si>
  <si>
    <t>YTD SPEND</t>
  </si>
  <si>
    <t>AVG CPA</t>
  </si>
  <si>
    <t>vs OP2</t>
  </si>
  <si>
    <t>125,537</t>
  </si>
  <si>
    <t>$9,534,695</t>
  </si>
  <si>
    <t>$75.95</t>
  </si>
  <si>
    <t>-41.8%</t>
  </si>
  <si>
    <t>YEAR-END PROJECTION</t>
  </si>
  <si>
    <t>Period</t>
  </si>
  <si>
    <t>Actual Regs</t>
  </si>
  <si>
    <t>Pred Regs</t>
  </si>
  <si>
    <t>CI Low</t>
  </si>
  <si>
    <t>CI High</t>
  </si>
  <si>
    <t>OP2 Target</t>
  </si>
  <si>
    <t>Error %</t>
  </si>
  <si>
    <t>Confidence</t>
  </si>
  <si>
    <t>Score</t>
  </si>
  <si>
    <t>Notes</t>
  </si>
  <si>
    <t>2026 Full Year</t>
  </si>
  <si>
    <t>QUARTERLY PROJECTIONS</t>
  </si>
  <si>
    <t>Q1</t>
  </si>
  <si>
    <t>Q2</t>
  </si>
  <si>
    <t>Q3</t>
  </si>
  <si>
    <t>Q4</t>
  </si>
  <si>
    <t>MONTHLY PROJECTIONS</t>
  </si>
  <si>
    <t>Jan</t>
  </si>
  <si>
    <t>Feb</t>
  </si>
  <si>
    <t>Mar</t>
  </si>
  <si>
    <t>Apr</t>
  </si>
  <si>
    <t>OP2 baseline</t>
  </si>
  <si>
    <t>May</t>
  </si>
  <si>
    <t>Jun</t>
  </si>
  <si>
    <t>Jul</t>
  </si>
  <si>
    <t>Aug</t>
  </si>
  <si>
    <t>Sep</t>
  </si>
  <si>
    <t>Oct</t>
  </si>
  <si>
    <t>Nov</t>
  </si>
  <si>
    <t>Dec</t>
  </si>
  <si>
    <t>WEEKLY (W1–W52)</t>
  </si>
  <si>
    <t>Week</t>
  </si>
  <si>
    <t>Wk#</t>
  </si>
  <si>
    <t>Actual Cost</t>
  </si>
  <si>
    <t>Actual CPA</t>
  </si>
  <si>
    <t>Within CI</t>
  </si>
  <si>
    <t>Brand Regs</t>
  </si>
  <si>
    <t>NB Regs</t>
  </si>
  <si>
    <t>2026 W1</t>
  </si>
  <si>
    <t>2026 W2</t>
  </si>
  <si>
    <t>2026 W3</t>
  </si>
  <si>
    <t>2026 W4</t>
  </si>
  <si>
    <t>2026 W5</t>
  </si>
  <si>
    <t>2026 W6</t>
  </si>
  <si>
    <t>2026 W7</t>
  </si>
  <si>
    <t>2026 W8</t>
  </si>
  <si>
    <t>2026 W9</t>
  </si>
  <si>
    <t>2026 W10</t>
  </si>
  <si>
    <t>2026 W11</t>
  </si>
  <si>
    <t>2026 W12</t>
  </si>
  <si>
    <t>2026 W13</t>
  </si>
  <si>
    <t>2026 W14</t>
  </si>
  <si>
    <t>2026 W15</t>
  </si>
  <si>
    <t>2026 W16</t>
  </si>
  <si>
    <t>2026 W17</t>
  </si>
  <si>
    <t>2026 W18</t>
  </si>
  <si>
    <t>2026 W19</t>
  </si>
  <si>
    <t>2026 W20</t>
  </si>
  <si>
    <t>2026 W21</t>
  </si>
  <si>
    <t>2026 W22</t>
  </si>
  <si>
    <t>2026 W23</t>
  </si>
  <si>
    <t>2026 W24</t>
  </si>
  <si>
    <t>2026 W25</t>
  </si>
  <si>
    <t>2026 W26</t>
  </si>
  <si>
    <t>2026 W27</t>
  </si>
  <si>
    <t>2026 W28</t>
  </si>
  <si>
    <t>2026 W29</t>
  </si>
  <si>
    <t>2026 W30</t>
  </si>
  <si>
    <t>2026 W31</t>
  </si>
  <si>
    <t>2026 W32</t>
  </si>
  <si>
    <t>2026 W33</t>
  </si>
  <si>
    <t>2026 W34</t>
  </si>
  <si>
    <t>2026 W35</t>
  </si>
  <si>
    <t>2026 W36</t>
  </si>
  <si>
    <t>2026 W37</t>
  </si>
  <si>
    <t>2026 W38</t>
  </si>
  <si>
    <t>2026 W39</t>
  </si>
  <si>
    <t>2026 W40</t>
  </si>
  <si>
    <t>2026 W41</t>
  </si>
  <si>
    <t>2026 W42</t>
  </si>
  <si>
    <t>2026 W43</t>
  </si>
  <si>
    <t>2026 W44</t>
  </si>
  <si>
    <t>2026 W45</t>
  </si>
  <si>
    <t>2026 W46</t>
  </si>
  <si>
    <t>2026 W47</t>
  </si>
  <si>
    <t>2026 W48</t>
  </si>
  <si>
    <t>2026 W49</t>
  </si>
  <si>
    <t>2026 W50</t>
  </si>
  <si>
    <t>2026 W51</t>
  </si>
  <si>
    <t>2026 W52</t>
  </si>
  <si>
    <t>UK — Forecast Tracker 2026</t>
  </si>
  <si>
    <t>21,270</t>
  </si>
  <si>
    <t>$1,442,080</t>
  </si>
  <si>
    <t>$67.80</t>
  </si>
  <si>
    <t>-38.5%</t>
  </si>
  <si>
    <t>DE — Forecast Tracker 2026</t>
  </si>
  <si>
    <t>20,651</t>
  </si>
  <si>
    <t>$2,375,324</t>
  </si>
  <si>
    <t>$115.02</t>
  </si>
  <si>
    <t>-51.2%</t>
  </si>
  <si>
    <t>FR — Forecast Tracker 2026</t>
  </si>
  <si>
    <t>15,876</t>
  </si>
  <si>
    <t>$957,874</t>
  </si>
  <si>
    <t>$60.33</t>
  </si>
  <si>
    <t>-44.1%</t>
  </si>
  <si>
    <t>IT — Forecast Tracker 2026</t>
  </si>
  <si>
    <t>18,802</t>
  </si>
  <si>
    <t>$1,372,130</t>
  </si>
  <si>
    <t>$72.98</t>
  </si>
  <si>
    <t>-50.4%</t>
  </si>
  <si>
    <t>ES — Forecast Tracker 2026</t>
  </si>
  <si>
    <t>9,148</t>
  </si>
  <si>
    <t>$537,379</t>
  </si>
  <si>
    <t>$58.74</t>
  </si>
  <si>
    <t>-42.0%</t>
  </si>
  <si>
    <t>CA — Forecast Tracker 2026</t>
  </si>
  <si>
    <t>10,416</t>
  </si>
  <si>
    <t>$788,081</t>
  </si>
  <si>
    <t>$75.66</t>
  </si>
  <si>
    <t>JP — Forecast Tracker 2026</t>
  </si>
  <si>
    <t>9,293</t>
  </si>
  <si>
    <t>$524,734</t>
  </si>
  <si>
    <t>$56.47</t>
  </si>
  <si>
    <t>-48.7%</t>
  </si>
  <si>
    <t>MX — Forecast Tracker 2026</t>
  </si>
  <si>
    <t>4,379</t>
  </si>
  <si>
    <t>$259,451</t>
  </si>
  <si>
    <t>$59.25</t>
  </si>
  <si>
    <t>-42.9%</t>
  </si>
  <si>
    <t>AU — Forecast Tracker 2026</t>
  </si>
  <si>
    <t>3,590</t>
  </si>
  <si>
    <t>$472,027</t>
  </si>
  <si>
    <t>$131.48</t>
  </si>
  <si>
    <t>-17.4%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</si>
</sst>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"/>
    <numFmt numFmtId="165" formatCode="\$#,##0.00"/>
    <numFmt numFmtId="166" formatCode="\+0.0&quot;%&quot;;\-0.0&quot;%&quot;"/>
    <numFmt numFmtId="167" formatCode="\+0.0%;\-0.0%"/>
    <numFmt numFmtId="168" formatCode="0.0%"/>
  </numFmts>
  <fonts count="19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sz val="11"/>
      <color rgb="FF95A5A6"/>
      <name val="Calibri"/>
    </font>
    <font>
      <sz val="9"/>
      <color rgb="FF95A5A6"/>
      <name val="Calibri"/>
    </font>
    <font>
      <b/>
      <sz val="20"/>
      <color rgb="FF1F4E79"/>
      <name val="Calibri"/>
    </font>
    <font>
      <b/>
      <sz val="10"/>
      <color rgb="FFFFFFFF"/>
      <name val="Calibri"/>
    </font>
    <font>
      <sz val="10"/>
      <name val="Calibri"/>
    </font>
    <font>
      <b/>
      <sz val="16"/>
      <color rgb="FF3498DB"/>
      <name val="Calibri"/>
    </font>
    <font>
      <b/>
      <sz val="12"/>
      <color rgb="FF1F4E79"/>
      <name val="Calibri"/>
    </font>
    <font>
      <i/>
      <sz val="10"/>
      <color rgb="FFF39C12"/>
      <name val="Calibri"/>
    </font>
    <font>
      <b/>
      <sz val="16"/>
      <color rgb="FF2ECC71"/>
      <name val="Calibri"/>
    </font>
    <font>
      <b/>
      <sz val="16"/>
      <color rgb="FFE67E22"/>
      <name val="Calibri"/>
    </font>
    <font>
      <b/>
      <sz val="16"/>
      <color rgb="FFE74C3C"/>
      <name val="Calibri"/>
    </font>
    <font>
      <b/>
      <sz val="16"/>
      <color rgb="FF1ABC9C"/>
      <name val="Calibri"/>
    </font>
    <font>
      <b/>
      <sz val="16"/>
      <color rgb="FFC0392B"/>
      <name val="Calibri"/>
    </font>
    <font>
      <b/>
      <sz val="16"/>
      <color rgb="FFF1C40F"/>
      <name val="Calibri"/>
    </font>
    <font>
      <b/>
      <sz val="16"/>
      <color rgb="FF9B59B6"/>
      <name val="Calibri"/>
    </font>
    <font>
      <b/>
      <sz val="16"/>
      <color rgb="FFD35400"/>
      <name val="Calibri"/>
    </font>
    <font>
      <b/>
      <sz val="16"/>
      <color rgb="FF16A085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E8F0FE"/>
        <bgColor rgb="FFE8F0FE"/>
      </patternFill>
    </fill>
    <fill>
      <patternFill patternType="solid">
        <fgColor rgb="FF2C3E6B"/>
        <bgColor rgb="FF2C3E6B"/>
      </patternFill>
    </fill>
    <fill>
      <patternFill patternType="solid">
        <fgColor rgb="FFEDF2F9"/>
        <bgColor rgb="FFEDF2F9"/>
      </patternFill>
    </fill>
    <fill>
      <patternFill patternType="solid">
        <fgColor rgb="FF3498DB"/>
        <bgColor rgb="FF3498DB"/>
      </patternFill>
    </fill>
    <fill>
      <patternFill patternType="solid">
        <fgColor rgb="FFFFF9E6"/>
        <bgColor rgb="FFFFF9E6"/>
      </patternFill>
    </fill>
    <fill>
      <patternFill patternType="solid">
        <fgColor rgb="FF2ECC71"/>
        <bgColor rgb="FF2ECC71"/>
      </patternFill>
    </fill>
    <fill>
      <patternFill patternType="solid">
        <fgColor rgb="FFE67E22"/>
        <bgColor rgb="FFE67E22"/>
      </patternFill>
    </fill>
    <fill>
      <patternFill patternType="solid">
        <fgColor rgb="FFE74C3C"/>
        <bgColor rgb="FFE74C3C"/>
      </patternFill>
    </fill>
    <fill>
      <patternFill patternType="solid">
        <fgColor rgb="FF1ABC9C"/>
        <bgColor rgb="FF1ABC9C"/>
      </patternFill>
    </fill>
    <fill>
      <patternFill patternType="solid">
        <fgColor rgb="FFC0392B"/>
        <bgColor rgb="FFC0392B"/>
      </patternFill>
    </fill>
    <fill>
      <patternFill patternType="solid">
        <fgColor rgb="FFF1C40F"/>
        <bgColor rgb="FFF1C40F"/>
      </patternFill>
    </fill>
    <fill>
      <patternFill patternType="solid">
        <fgColor rgb="FF9B59B6"/>
        <bgColor rgb="FF9B59B6"/>
      </patternFill>
    </fill>
    <fill>
      <patternFill patternType="solid">
        <fgColor rgb="FFD35400"/>
        <bgColor rgb="FFD35400"/>
      </patternFill>
    </fill>
    <fill>
      <patternFill patternType="solid">
        <fgColor rgb="FF16A085"/>
        <bgColor rgb="FF16A085"/>
      </patternFill>
    </fill>
  </fills>
  <borders count="6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/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/>
      <top/>
      <bottom style="medium">
        <color rgb="FF1F4E79"/>
      </bottom>
      <diagonal/>
    </border>
    <border>
      <left/>
      <right/>
      <top/>
      <bottom style="thin">
        <color rgb="FFDEE2E6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1" xfId="0" applyFill="1" applyBorder="1"/>
    <xf numFmtId="0" fontId="5" fillId="3" borderId="4" xfId="0" applyFont="1" applyFill="1" applyBorder="1" applyAlignment="1">
      <alignment horizontal="center" vertical="center" wrapText="1"/>
    </xf>
    <xf numFmtId="0" fontId="6" fillId="0" borderId="5" xfId="0" applyFont="1" applyBorder="1"/>
    <xf numFmtId="3" fontId="6" fillId="0" borderId="5" xfId="0" applyNumberFormat="1" applyFont="1" applyBorder="1"/>
    <xf numFmtId="164" fontId="6" fillId="0" borderId="5" xfId="0" applyNumberFormat="1" applyFont="1" applyBorder="1"/>
    <xf numFmtId="165" fontId="6" fillId="0" borderId="5" xfId="0" applyNumberFormat="1" applyFont="1" applyBorder="1"/>
    <xf numFmtId="166" fontId="6" fillId="0" borderId="5" xfId="0" applyNumberFormat="1" applyFont="1" applyBorder="1"/>
    <xf numFmtId="0" fontId="6" fillId="4" borderId="5" xfId="0" applyFont="1" applyFill="1" applyBorder="1"/>
    <xf numFmtId="3" fontId="6" fillId="4" borderId="5" xfId="0" applyNumberFormat="1" applyFont="1" applyFill="1" applyBorder="1"/>
    <xf numFmtId="164" fontId="6" fillId="4" borderId="5" xfId="0" applyNumberFormat="1" applyFont="1" applyFill="1" applyBorder="1"/>
    <xf numFmtId="165" fontId="6" fillId="4" borderId="5" xfId="0" applyNumberFormat="1" applyFont="1" applyFill="1" applyBorder="1"/>
    <xf numFmtId="166" fontId="6" fillId="4" borderId="5" xfId="0" applyNumberFormat="1" applyFont="1" applyFill="1" applyBorder="1"/>
    <xf numFmtId="0" fontId="5" fillId="5" borderId="4" xfId="0" applyFont="1" applyFill="1" applyBorder="1" applyAlignment="1">
      <alignment horizontal="center" vertical="center" wrapText="1"/>
    </xf>
    <xf numFmtId="0" fontId="9" fillId="6" borderId="5" xfId="0" applyFont="1" applyFill="1" applyBorder="1"/>
    <xf numFmtId="3" fontId="9" fillId="6" borderId="5" xfId="0" applyNumberFormat="1" applyFont="1" applyFill="1" applyBorder="1"/>
    <xf numFmtId="167" fontId="9" fillId="6" borderId="5" xfId="0" applyNumberFormat="1" applyFont="1" applyFill="1" applyBorder="1"/>
    <xf numFmtId="168" fontId="9" fillId="6" borderId="5" xfId="0" applyNumberFormat="1" applyFont="1" applyFill="1" applyBorder="1"/>
    <xf numFmtId="9" fontId="9" fillId="6" borderId="5" xfId="0" applyNumberFormat="1" applyFont="1" applyFill="1" applyBorder="1"/>
    <xf numFmtId="167" fontId="6" fillId="0" borderId="5" xfId="0" applyNumberFormat="1" applyFont="1" applyBorder="1"/>
    <xf numFmtId="168" fontId="6" fillId="0" borderId="5" xfId="0" applyNumberFormat="1" applyFont="1" applyBorder="1"/>
    <xf numFmtId="9" fontId="6" fillId="0" borderId="5" xfId="0" applyNumberFormat="1" applyFont="1" applyBorder="1"/>
    <xf numFmtId="167" fontId="6" fillId="4" borderId="5" xfId="0" applyNumberFormat="1" applyFont="1" applyFill="1" applyBorder="1"/>
    <xf numFmtId="168" fontId="6" fillId="4" borderId="5" xfId="0" applyNumberFormat="1" applyFont="1" applyFill="1" applyBorder="1"/>
    <xf numFmtId="9" fontId="6" fillId="4" borderId="5" xfId="0" applyNumberFormat="1" applyFont="1" applyFill="1" applyBorder="1"/>
    <xf numFmtId="0" fontId="5" fillId="14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6" borderId="5" xfId="0" applyFont="1" applyFill="1" applyBorder="1" applyAlignment="1">
      <alignment horizontal="left" vertical="center"/>
    </xf>
    <xf numFmtId="3" fontId="9" fillId="6" borderId="5" xfId="0" applyNumberFormat="1" applyFont="1" applyFill="1" applyBorder="1" applyAlignment="1">
      <alignment horizontal="left" vertical="center"/>
    </xf>
    <xf numFmtId="167" fontId="9" fillId="6" borderId="5" xfId="0" applyNumberFormat="1" applyFont="1" applyFill="1" applyBorder="1" applyAlignment="1">
      <alignment horizontal="left" vertical="center"/>
    </xf>
    <xf numFmtId="168" fontId="9" fillId="6" borderId="5" xfId="0" applyNumberFormat="1" applyFont="1" applyFill="1" applyBorder="1" applyAlignment="1">
      <alignment horizontal="left" vertical="center"/>
    </xf>
    <xf numFmtId="9" fontId="9" fillId="6" borderId="5" xfId="0" applyNumberFormat="1" applyFont="1" applyFill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3" fontId="6" fillId="0" borderId="5" xfId="0" applyNumberFormat="1" applyFont="1" applyBorder="1" applyAlignment="1">
      <alignment horizontal="left" vertical="center"/>
    </xf>
    <xf numFmtId="167" fontId="6" fillId="0" borderId="5" xfId="0" applyNumberFormat="1" applyFont="1" applyBorder="1" applyAlignment="1">
      <alignment horizontal="left" vertical="center"/>
    </xf>
    <xf numFmtId="168" fontId="6" fillId="0" borderId="5" xfId="0" applyNumberFormat="1" applyFont="1" applyBorder="1" applyAlignment="1">
      <alignment horizontal="left" vertical="center"/>
    </xf>
    <xf numFmtId="9" fontId="6" fillId="0" borderId="5" xfId="0" applyNumberFormat="1" applyFont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/>
    </xf>
    <xf numFmtId="3" fontId="6" fillId="4" borderId="5" xfId="0" applyNumberFormat="1" applyFont="1" applyFill="1" applyBorder="1" applyAlignment="1">
      <alignment horizontal="left" vertical="center"/>
    </xf>
    <xf numFmtId="167" fontId="6" fillId="4" borderId="5" xfId="0" applyNumberFormat="1" applyFont="1" applyFill="1" applyBorder="1" applyAlignment="1">
      <alignment horizontal="left" vertical="center"/>
    </xf>
    <xf numFmtId="168" fontId="6" fillId="4" borderId="5" xfId="0" applyNumberFormat="1" applyFont="1" applyFill="1" applyBorder="1" applyAlignment="1">
      <alignment horizontal="left" vertical="center"/>
    </xf>
    <xf numFmtId="9" fontId="6" fillId="4" borderId="5" xfId="0" applyNumberFormat="1" applyFont="1" applyFill="1" applyBorder="1" applyAlignment="1">
      <alignment horizontal="left" vertical="center"/>
    </xf>
    <xf numFmtId="164" fontId="6" fillId="0" borderId="5" xfId="0" applyNumberFormat="1" applyFont="1" applyBorder="1" applyAlignment="1">
      <alignment horizontal="left" vertical="center"/>
    </xf>
    <xf numFmtId="165" fontId="6" fillId="0" borderId="5" xfId="0" applyNumberFormat="1" applyFont="1" applyBorder="1" applyAlignment="1">
      <alignment horizontal="left" vertical="center"/>
    </xf>
    <xf numFmtId="164" fontId="6" fillId="4" borderId="5" xfId="0" applyNumberFormat="1" applyFont="1" applyFill="1" applyBorder="1" applyAlignment="1">
      <alignment horizontal="left" vertical="center"/>
    </xf>
    <xf numFmtId="165" fontId="6" fillId="4" borderId="5" xfId="0" applyNumberFormat="1" applyFont="1" applyFill="1" applyBorder="1" applyAlignment="1">
      <alignment horizontal="left" vertical="center"/>
    </xf>
    <xf numFmtId="0" fontId="5" fillId="15" borderId="4" xfId="0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5" fillId="12" borderId="4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5" fillId="13" borderId="4" xfId="0" applyFont="1" applyFill="1" applyBorder="1" applyAlignment="1">
      <alignment horizontal="left" vertical="center" wrapText="1"/>
    </xf>
    <xf numFmtId="0" fontId="5" fillId="11" borderId="4" xfId="0" applyFont="1" applyFill="1" applyBorder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5" fillId="10" borderId="4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5" fillId="9" borderId="4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5" fillId="8" borderId="4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5" fillId="7" borderId="4" xfId="0" applyFont="1" applyFill="1" applyBorder="1" applyAlignment="1">
      <alignment horizontal="left" vertical="center" wrapText="1"/>
    </xf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/>
    <xf numFmtId="0" fontId="0" fillId="0" borderId="2" xfId="0" applyBorder="1" applyAlignment="1"/>
    <xf numFmtId="0" fontId="0" fillId="0" borderId="3" xfId="0" applyBorder="1" applyAlignment="1"/>
    <xf numFmtId="0" fontId="7" fillId="0" borderId="0" xfId="0" applyFont="1" applyAlignment="1"/>
    <xf numFmtId="0" fontId="8" fillId="0" borderId="0" xfId="0" applyFont="1" applyAlignment="1"/>
    <xf numFmtId="0" fontId="17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YTD Registrations by Market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Dashboard!B9</c:f>
              <c:strCache>
                <c:ptCount val="1"/>
                <c:pt idx="0">
                  <c:v>YTD Regs</c:v>
                </c:pt>
              </c:strCache>
            </c:strRef>
          </c:tx>
          <c:spPr>
            <a:solidFill>
              <a:srgbClr val="4A9EFF"/>
            </a:solidFill>
            <a:ln>
              <a:prstDash val="solid"/>
            </a:ln>
          </c:spPr>
          <c:invertIfNegative val="1"/>
          <c:cat>
            <c:strRef>
              <c:f>Dashboard!$A$10:$A$19</c:f>
              <c:strCache>
                <c:ptCount val="10"/>
                <c:pt idx="0">
                  <c:v>US</c:v>
                </c:pt>
                <c:pt idx="1">
                  <c:v>UK</c:v>
                </c:pt>
                <c:pt idx="2">
                  <c:v>DE</c:v>
                </c:pt>
                <c:pt idx="3">
                  <c:v>FR</c:v>
                </c:pt>
                <c:pt idx="4">
                  <c:v>IT</c:v>
                </c:pt>
                <c:pt idx="5">
                  <c:v>ES</c:v>
                </c:pt>
                <c:pt idx="6">
                  <c:v>CA</c:v>
                </c:pt>
                <c:pt idx="7">
                  <c:v>JP</c:v>
                </c:pt>
                <c:pt idx="8">
                  <c:v>MX</c:v>
                </c:pt>
                <c:pt idx="9">
                  <c:v>AU</c:v>
                </c:pt>
              </c:strCache>
            </c:strRef>
          </c:cat>
          <c:val>
            <c:numRef>
              <c:f>Dashboard!$B$10:$B$19</c:f>
              <c:numCache>
                <c:formatCode>#,##0</c:formatCode>
                <c:ptCount val="10"/>
                <c:pt idx="0">
                  <c:v>125537</c:v>
                </c:pt>
                <c:pt idx="1">
                  <c:v>21270</c:v>
                </c:pt>
                <c:pt idx="2">
                  <c:v>20651</c:v>
                </c:pt>
                <c:pt idx="3">
                  <c:v>15876</c:v>
                </c:pt>
                <c:pt idx="4">
                  <c:v>18802</c:v>
                </c:pt>
                <c:pt idx="5">
                  <c:v>9148</c:v>
                </c:pt>
                <c:pt idx="6">
                  <c:v>10416</c:v>
                </c:pt>
                <c:pt idx="7">
                  <c:v>9293</c:v>
                </c:pt>
                <c:pt idx="8">
                  <c:v>4379</c:v>
                </c:pt>
                <c:pt idx="9">
                  <c:v>3590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A04-4D52-8CDD-933926B2D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Market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Registrations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US — Actual vs Predicted Registrations (W1–W52)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US!C35</c:f>
              <c:strCache>
                <c:ptCount val="1"/>
                <c:pt idx="0">
                  <c:v>Actual Regs</c:v>
                </c:pt>
              </c:strCache>
            </c:strRef>
          </c:tx>
          <c:spPr>
            <a:ln w="28000">
              <a:solidFill>
                <a:srgbClr val="3498DB"/>
              </a:solidFill>
              <a:prstDash val="solid"/>
            </a:ln>
          </c:spPr>
          <c:marker>
            <c:symbol val="none"/>
          </c:marker>
          <c:cat>
            <c:numRef>
              <c:f>US!$B$36:$B$87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US!$C$36:$C$87</c:f>
              <c:numCache>
                <c:formatCode>#,##0</c:formatCode>
                <c:ptCount val="52"/>
                <c:pt idx="0">
                  <c:v>8107</c:v>
                </c:pt>
                <c:pt idx="1">
                  <c:v>9060</c:v>
                </c:pt>
                <c:pt idx="2">
                  <c:v>9133</c:v>
                </c:pt>
                <c:pt idx="3">
                  <c:v>8517</c:v>
                </c:pt>
                <c:pt idx="4">
                  <c:v>8827</c:v>
                </c:pt>
                <c:pt idx="5">
                  <c:v>8852</c:v>
                </c:pt>
                <c:pt idx="6">
                  <c:v>7727</c:v>
                </c:pt>
                <c:pt idx="7">
                  <c:v>7948</c:v>
                </c:pt>
                <c:pt idx="8">
                  <c:v>8007</c:v>
                </c:pt>
                <c:pt idx="9">
                  <c:v>7535</c:v>
                </c:pt>
                <c:pt idx="10">
                  <c:v>8281</c:v>
                </c:pt>
                <c:pt idx="11">
                  <c:v>8129</c:v>
                </c:pt>
                <c:pt idx="12">
                  <c:v>8619</c:v>
                </c:pt>
                <c:pt idx="13">
                  <c:v>7559</c:v>
                </c:pt>
                <c:pt idx="14">
                  <c:v>9236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7D-4BD1-B68D-E15C33AAA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lineChart>
        <c:grouping val="standard"/>
        <c:varyColors val="1"/>
        <c:ser>
          <c:idx val="1"/>
          <c:order val="1"/>
          <c:tx>
            <c:strRef>
              <c:f>US!F35</c:f>
              <c:strCache>
                <c:ptCount val="1"/>
                <c:pt idx="0">
                  <c:v>Pred Regs</c:v>
                </c:pt>
              </c:strCache>
            </c:strRef>
          </c:tx>
          <c:spPr>
            <a:ln w="22000">
              <a:solidFill>
                <a:srgbClr val="F39C12"/>
              </a:solidFill>
              <a:prstDash val="dash"/>
            </a:ln>
          </c:spPr>
          <c:marker>
            <c:symbol val="none"/>
          </c:marker>
          <c:cat>
            <c:numRef>
              <c:f>US!$B$36:$B$87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US!$F$36:$F$87</c:f>
              <c:numCache>
                <c:formatCode>#,##0</c:formatCode>
                <c:ptCount val="52"/>
                <c:pt idx="15">
                  <c:v>7769</c:v>
                </c:pt>
                <c:pt idx="16">
                  <c:v>7769</c:v>
                </c:pt>
                <c:pt idx="17">
                  <c:v>6207</c:v>
                </c:pt>
                <c:pt idx="18">
                  <c:v>6207</c:v>
                </c:pt>
                <c:pt idx="19">
                  <c:v>6207</c:v>
                </c:pt>
                <c:pt idx="20">
                  <c:v>6207</c:v>
                </c:pt>
                <c:pt idx="21">
                  <c:v>6207</c:v>
                </c:pt>
                <c:pt idx="22">
                  <c:v>7473</c:v>
                </c:pt>
                <c:pt idx="23">
                  <c:v>7473</c:v>
                </c:pt>
                <c:pt idx="24">
                  <c:v>7473</c:v>
                </c:pt>
                <c:pt idx="25">
                  <c:v>7473</c:v>
                </c:pt>
                <c:pt idx="26">
                  <c:v>6432</c:v>
                </c:pt>
                <c:pt idx="27">
                  <c:v>6432</c:v>
                </c:pt>
                <c:pt idx="28">
                  <c:v>6432</c:v>
                </c:pt>
                <c:pt idx="29">
                  <c:v>6432</c:v>
                </c:pt>
                <c:pt idx="30">
                  <c:v>6432</c:v>
                </c:pt>
                <c:pt idx="31">
                  <c:v>7708</c:v>
                </c:pt>
                <c:pt idx="32">
                  <c:v>7708</c:v>
                </c:pt>
                <c:pt idx="33">
                  <c:v>7708</c:v>
                </c:pt>
                <c:pt idx="34">
                  <c:v>7708</c:v>
                </c:pt>
                <c:pt idx="35">
                  <c:v>7615</c:v>
                </c:pt>
                <c:pt idx="36">
                  <c:v>7615</c:v>
                </c:pt>
                <c:pt idx="37">
                  <c:v>7615</c:v>
                </c:pt>
                <c:pt idx="38">
                  <c:v>7615</c:v>
                </c:pt>
                <c:pt idx="39">
                  <c:v>6523</c:v>
                </c:pt>
                <c:pt idx="40">
                  <c:v>6523</c:v>
                </c:pt>
                <c:pt idx="41">
                  <c:v>6523</c:v>
                </c:pt>
                <c:pt idx="42">
                  <c:v>6523</c:v>
                </c:pt>
                <c:pt idx="43">
                  <c:v>6523</c:v>
                </c:pt>
                <c:pt idx="44">
                  <c:v>6695</c:v>
                </c:pt>
                <c:pt idx="45">
                  <c:v>6695</c:v>
                </c:pt>
                <c:pt idx="46">
                  <c:v>6695</c:v>
                </c:pt>
                <c:pt idx="47">
                  <c:v>6695</c:v>
                </c:pt>
                <c:pt idx="48">
                  <c:v>6676</c:v>
                </c:pt>
                <c:pt idx="49">
                  <c:v>6676</c:v>
                </c:pt>
                <c:pt idx="50">
                  <c:v>6676</c:v>
                </c:pt>
                <c:pt idx="51">
                  <c:v>6676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7D-4BD1-B68D-E15C33AAA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  <c:max val="52"/>
          <c:min val="1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 Number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Actual Regs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min"/>
        <c:crossBetween val="between"/>
      </c:valAx>
      <c:valAx>
        <c:axId val="200"/>
        <c:scaling>
          <c:orientation val="minMax"/>
        </c:scaling>
        <c:delete val="1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Predicted Regs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US — Actual vs Predicted CPA (W1–W52)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US!E35</c:f>
              <c:strCache>
                <c:ptCount val="1"/>
                <c:pt idx="0">
                  <c:v>Actual CPA</c:v>
                </c:pt>
              </c:strCache>
            </c:strRef>
          </c:tx>
          <c:spPr>
            <a:ln w="25000">
              <a:solidFill>
                <a:srgbClr val="3498DB"/>
              </a:solidFill>
              <a:prstDash val="solid"/>
            </a:ln>
          </c:spPr>
          <c:marker>
            <c:symbol val="none"/>
          </c:marker>
          <c:cat>
            <c:numRef>
              <c:f>US!$B$36:$B$87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US!$E$36:$E$87</c:f>
              <c:numCache>
                <c:formatCode>\$#,##0.00</c:formatCode>
                <c:ptCount val="52"/>
                <c:pt idx="0">
                  <c:v>69.010000000000005</c:v>
                </c:pt>
                <c:pt idx="1">
                  <c:v>70.569999999999993</c:v>
                </c:pt>
                <c:pt idx="2">
                  <c:v>67.41</c:v>
                </c:pt>
                <c:pt idx="3">
                  <c:v>70.33</c:v>
                </c:pt>
                <c:pt idx="4">
                  <c:v>68.72</c:v>
                </c:pt>
                <c:pt idx="5">
                  <c:v>79.239999999999995</c:v>
                </c:pt>
                <c:pt idx="6">
                  <c:v>92.94</c:v>
                </c:pt>
                <c:pt idx="7">
                  <c:v>83.91</c:v>
                </c:pt>
                <c:pt idx="8">
                  <c:v>81.900000000000006</c:v>
                </c:pt>
                <c:pt idx="9">
                  <c:v>79.569999999999993</c:v>
                </c:pt>
                <c:pt idx="10">
                  <c:v>77.930000000000007</c:v>
                </c:pt>
                <c:pt idx="11">
                  <c:v>73.63</c:v>
                </c:pt>
                <c:pt idx="12">
                  <c:v>67.63</c:v>
                </c:pt>
                <c:pt idx="13">
                  <c:v>88.34</c:v>
                </c:pt>
                <c:pt idx="14">
                  <c:v>73.44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BF-4742-AF1C-0E557C323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  <c:max val="52"/>
          <c:min val="1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 Number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CPA ($)</a:t>
                </a:r>
              </a:p>
            </c:rich>
          </c:tx>
          <c:overlay val="1"/>
        </c:title>
        <c:numFmt formatCode="\$#,##0.0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UK — Actual vs Predicted Registrations (W1–W52)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UK!C35</c:f>
              <c:strCache>
                <c:ptCount val="1"/>
                <c:pt idx="0">
                  <c:v>Actual Regs</c:v>
                </c:pt>
              </c:strCache>
            </c:strRef>
          </c:tx>
          <c:spPr>
            <a:ln w="28000">
              <a:solidFill>
                <a:srgbClr val="2ECC71"/>
              </a:solidFill>
              <a:prstDash val="solid"/>
            </a:ln>
          </c:spPr>
          <c:marker>
            <c:symbol val="none"/>
          </c:marker>
          <c:cat>
            <c:numRef>
              <c:f>UK!$B$36:$B$87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UK!$C$36:$C$87</c:f>
              <c:numCache>
                <c:formatCode>#,##0</c:formatCode>
                <c:ptCount val="52"/>
                <c:pt idx="0">
                  <c:v>1005</c:v>
                </c:pt>
                <c:pt idx="1">
                  <c:v>1540</c:v>
                </c:pt>
                <c:pt idx="2">
                  <c:v>1769</c:v>
                </c:pt>
                <c:pt idx="3">
                  <c:v>1598</c:v>
                </c:pt>
                <c:pt idx="4">
                  <c:v>1325</c:v>
                </c:pt>
                <c:pt idx="5">
                  <c:v>1422</c:v>
                </c:pt>
                <c:pt idx="6">
                  <c:v>1369</c:v>
                </c:pt>
                <c:pt idx="7">
                  <c:v>1329</c:v>
                </c:pt>
                <c:pt idx="8">
                  <c:v>1457</c:v>
                </c:pt>
                <c:pt idx="9">
                  <c:v>1388</c:v>
                </c:pt>
                <c:pt idx="10">
                  <c:v>1351</c:v>
                </c:pt>
                <c:pt idx="11">
                  <c:v>1326</c:v>
                </c:pt>
                <c:pt idx="12">
                  <c:v>1480</c:v>
                </c:pt>
                <c:pt idx="13">
                  <c:v>1458</c:v>
                </c:pt>
                <c:pt idx="14">
                  <c:v>1453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9-4AFB-B47F-0E9922246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lineChart>
        <c:grouping val="standard"/>
        <c:varyColors val="1"/>
        <c:ser>
          <c:idx val="1"/>
          <c:order val="1"/>
          <c:tx>
            <c:strRef>
              <c:f>UK!F35</c:f>
              <c:strCache>
                <c:ptCount val="1"/>
                <c:pt idx="0">
                  <c:v>Pred Regs</c:v>
                </c:pt>
              </c:strCache>
            </c:strRef>
          </c:tx>
          <c:spPr>
            <a:ln w="22000">
              <a:solidFill>
                <a:srgbClr val="F39C12"/>
              </a:solidFill>
              <a:prstDash val="dash"/>
            </a:ln>
          </c:spPr>
          <c:marker>
            <c:symbol val="none"/>
          </c:marker>
          <c:cat>
            <c:numRef>
              <c:f>UK!$B$36:$B$87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UK!$F$36:$F$87</c:f>
              <c:numCache>
                <c:formatCode>#,##0</c:formatCode>
                <c:ptCount val="52"/>
                <c:pt idx="15">
                  <c:v>1123</c:v>
                </c:pt>
                <c:pt idx="16">
                  <c:v>1123</c:v>
                </c:pt>
                <c:pt idx="17">
                  <c:v>872</c:v>
                </c:pt>
                <c:pt idx="18">
                  <c:v>872</c:v>
                </c:pt>
                <c:pt idx="19">
                  <c:v>872</c:v>
                </c:pt>
                <c:pt idx="20">
                  <c:v>872</c:v>
                </c:pt>
                <c:pt idx="21">
                  <c:v>872</c:v>
                </c:pt>
                <c:pt idx="22">
                  <c:v>1057</c:v>
                </c:pt>
                <c:pt idx="23">
                  <c:v>1057</c:v>
                </c:pt>
                <c:pt idx="24">
                  <c:v>1057</c:v>
                </c:pt>
                <c:pt idx="25">
                  <c:v>1057</c:v>
                </c:pt>
                <c:pt idx="26">
                  <c:v>949</c:v>
                </c:pt>
                <c:pt idx="27">
                  <c:v>949</c:v>
                </c:pt>
                <c:pt idx="28">
                  <c:v>949</c:v>
                </c:pt>
                <c:pt idx="29">
                  <c:v>949</c:v>
                </c:pt>
                <c:pt idx="30">
                  <c:v>949</c:v>
                </c:pt>
                <c:pt idx="31">
                  <c:v>1034</c:v>
                </c:pt>
                <c:pt idx="32">
                  <c:v>1034</c:v>
                </c:pt>
                <c:pt idx="33">
                  <c:v>1034</c:v>
                </c:pt>
                <c:pt idx="34">
                  <c:v>1034</c:v>
                </c:pt>
                <c:pt idx="35">
                  <c:v>1396</c:v>
                </c:pt>
                <c:pt idx="36">
                  <c:v>1396</c:v>
                </c:pt>
                <c:pt idx="37">
                  <c:v>1396</c:v>
                </c:pt>
                <c:pt idx="38">
                  <c:v>1396</c:v>
                </c:pt>
                <c:pt idx="39">
                  <c:v>1255</c:v>
                </c:pt>
                <c:pt idx="40">
                  <c:v>1255</c:v>
                </c:pt>
                <c:pt idx="41">
                  <c:v>1255</c:v>
                </c:pt>
                <c:pt idx="42">
                  <c:v>1255</c:v>
                </c:pt>
                <c:pt idx="43">
                  <c:v>1255</c:v>
                </c:pt>
                <c:pt idx="44">
                  <c:v>1558</c:v>
                </c:pt>
                <c:pt idx="45">
                  <c:v>1558</c:v>
                </c:pt>
                <c:pt idx="46">
                  <c:v>1558</c:v>
                </c:pt>
                <c:pt idx="47">
                  <c:v>1558</c:v>
                </c:pt>
                <c:pt idx="48">
                  <c:v>1004</c:v>
                </c:pt>
                <c:pt idx="49">
                  <c:v>1004</c:v>
                </c:pt>
                <c:pt idx="50">
                  <c:v>1004</c:v>
                </c:pt>
                <c:pt idx="51">
                  <c:v>1004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9-4AFB-B47F-0E9922246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  <c:max val="52"/>
          <c:min val="1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 Number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Actual Regs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min"/>
        <c:crossBetween val="between"/>
      </c:valAx>
      <c:valAx>
        <c:axId val="200"/>
        <c:scaling>
          <c:orientation val="minMax"/>
        </c:scaling>
        <c:delete val="1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Predicted Regs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UK — Actual vs Predicted CPA (W1–W52)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UK!E35</c:f>
              <c:strCache>
                <c:ptCount val="1"/>
                <c:pt idx="0">
                  <c:v>Actual CPA</c:v>
                </c:pt>
              </c:strCache>
            </c:strRef>
          </c:tx>
          <c:spPr>
            <a:ln w="25000">
              <a:solidFill>
                <a:srgbClr val="2ECC71"/>
              </a:solidFill>
              <a:prstDash val="solid"/>
            </a:ln>
          </c:spPr>
          <c:marker>
            <c:symbol val="none"/>
          </c:marker>
          <c:cat>
            <c:numRef>
              <c:f>UK!$B$36:$B$87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UK!$E$36:$E$87</c:f>
              <c:numCache>
                <c:formatCode>\$#,##0.00</c:formatCode>
                <c:ptCount val="52"/>
                <c:pt idx="0">
                  <c:v>60.17</c:v>
                </c:pt>
                <c:pt idx="1">
                  <c:v>76.58</c:v>
                </c:pt>
                <c:pt idx="2">
                  <c:v>79.92</c:v>
                </c:pt>
                <c:pt idx="3">
                  <c:v>77.28</c:v>
                </c:pt>
                <c:pt idx="4">
                  <c:v>59.56</c:v>
                </c:pt>
                <c:pt idx="5">
                  <c:v>63.34</c:v>
                </c:pt>
                <c:pt idx="6">
                  <c:v>69.010000000000005</c:v>
                </c:pt>
                <c:pt idx="7">
                  <c:v>72.12</c:v>
                </c:pt>
                <c:pt idx="8">
                  <c:v>71.790000000000006</c:v>
                </c:pt>
                <c:pt idx="9">
                  <c:v>68.8</c:v>
                </c:pt>
                <c:pt idx="10">
                  <c:v>64.989999999999995</c:v>
                </c:pt>
                <c:pt idx="11">
                  <c:v>67.790000000000006</c:v>
                </c:pt>
                <c:pt idx="12">
                  <c:v>57.83</c:v>
                </c:pt>
                <c:pt idx="13">
                  <c:v>58.47</c:v>
                </c:pt>
                <c:pt idx="14">
                  <c:v>62.54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A2-4000-B600-2EFAE07FE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  <c:max val="52"/>
          <c:min val="1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 Number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CPA ($)</a:t>
                </a:r>
              </a:p>
            </c:rich>
          </c:tx>
          <c:overlay val="1"/>
        </c:title>
        <c:numFmt formatCode="\$#,##0.0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DE — Actual vs Predicted Registrations (W1–W52)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DE!C35</c:f>
              <c:strCache>
                <c:ptCount val="1"/>
                <c:pt idx="0">
                  <c:v>Actual Regs</c:v>
                </c:pt>
              </c:strCache>
            </c:strRef>
          </c:tx>
          <c:spPr>
            <a:ln w="28000">
              <a:solidFill>
                <a:srgbClr val="E67E22"/>
              </a:solidFill>
              <a:prstDash val="solid"/>
            </a:ln>
          </c:spPr>
          <c:marker>
            <c:symbol val="none"/>
          </c:marker>
          <c:cat>
            <c:numRef>
              <c:f>DE!$B$36:$B$87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DE!$C$36:$C$87</c:f>
              <c:numCache>
                <c:formatCode>#,##0</c:formatCode>
                <c:ptCount val="52"/>
                <c:pt idx="0">
                  <c:v>1079</c:v>
                </c:pt>
                <c:pt idx="1">
                  <c:v>1686</c:v>
                </c:pt>
                <c:pt idx="2">
                  <c:v>1717</c:v>
                </c:pt>
                <c:pt idx="3">
                  <c:v>1744</c:v>
                </c:pt>
                <c:pt idx="4">
                  <c:v>1430</c:v>
                </c:pt>
                <c:pt idx="5">
                  <c:v>1478</c:v>
                </c:pt>
                <c:pt idx="6">
                  <c:v>1504</c:v>
                </c:pt>
                <c:pt idx="7">
                  <c:v>1412</c:v>
                </c:pt>
                <c:pt idx="8">
                  <c:v>1364</c:v>
                </c:pt>
                <c:pt idx="9">
                  <c:v>1393</c:v>
                </c:pt>
                <c:pt idx="10">
                  <c:v>1493</c:v>
                </c:pt>
                <c:pt idx="11">
                  <c:v>1192</c:v>
                </c:pt>
                <c:pt idx="12">
                  <c:v>634</c:v>
                </c:pt>
                <c:pt idx="13">
                  <c:v>1315</c:v>
                </c:pt>
                <c:pt idx="14">
                  <c:v>1210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1E-4E35-8450-818B8383A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lineChart>
        <c:grouping val="standard"/>
        <c:varyColors val="1"/>
        <c:ser>
          <c:idx val="1"/>
          <c:order val="1"/>
          <c:tx>
            <c:strRef>
              <c:f>DE!F35</c:f>
              <c:strCache>
                <c:ptCount val="1"/>
                <c:pt idx="0">
                  <c:v>Pred Regs</c:v>
                </c:pt>
              </c:strCache>
            </c:strRef>
          </c:tx>
          <c:spPr>
            <a:ln w="22000">
              <a:solidFill>
                <a:srgbClr val="F39C12"/>
              </a:solidFill>
              <a:prstDash val="dash"/>
            </a:ln>
          </c:spPr>
          <c:marker>
            <c:symbol val="none"/>
          </c:marker>
          <c:cat>
            <c:numRef>
              <c:f>DE!$B$36:$B$87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DE!$F$36:$F$87</c:f>
              <c:numCache>
                <c:formatCode>#,##0</c:formatCode>
                <c:ptCount val="52"/>
                <c:pt idx="15">
                  <c:v>1437</c:v>
                </c:pt>
                <c:pt idx="16">
                  <c:v>1437</c:v>
                </c:pt>
                <c:pt idx="17">
                  <c:v>1147</c:v>
                </c:pt>
                <c:pt idx="18">
                  <c:v>1147</c:v>
                </c:pt>
                <c:pt idx="19">
                  <c:v>1147</c:v>
                </c:pt>
                <c:pt idx="20">
                  <c:v>1147</c:v>
                </c:pt>
                <c:pt idx="21">
                  <c:v>1147</c:v>
                </c:pt>
                <c:pt idx="22">
                  <c:v>1453</c:v>
                </c:pt>
                <c:pt idx="23">
                  <c:v>1453</c:v>
                </c:pt>
                <c:pt idx="24">
                  <c:v>1453</c:v>
                </c:pt>
                <c:pt idx="25">
                  <c:v>1453</c:v>
                </c:pt>
                <c:pt idx="26">
                  <c:v>1365</c:v>
                </c:pt>
                <c:pt idx="27">
                  <c:v>1365</c:v>
                </c:pt>
                <c:pt idx="28">
                  <c:v>1365</c:v>
                </c:pt>
                <c:pt idx="29">
                  <c:v>1365</c:v>
                </c:pt>
                <c:pt idx="30">
                  <c:v>1365</c:v>
                </c:pt>
                <c:pt idx="31">
                  <c:v>1264</c:v>
                </c:pt>
                <c:pt idx="32">
                  <c:v>1264</c:v>
                </c:pt>
                <c:pt idx="33">
                  <c:v>1264</c:v>
                </c:pt>
                <c:pt idx="34">
                  <c:v>1264</c:v>
                </c:pt>
                <c:pt idx="35">
                  <c:v>1561</c:v>
                </c:pt>
                <c:pt idx="36">
                  <c:v>1561</c:v>
                </c:pt>
                <c:pt idx="37">
                  <c:v>1561</c:v>
                </c:pt>
                <c:pt idx="38">
                  <c:v>1561</c:v>
                </c:pt>
                <c:pt idx="39">
                  <c:v>1352</c:v>
                </c:pt>
                <c:pt idx="40">
                  <c:v>1352</c:v>
                </c:pt>
                <c:pt idx="41">
                  <c:v>1352</c:v>
                </c:pt>
                <c:pt idx="42">
                  <c:v>1352</c:v>
                </c:pt>
                <c:pt idx="43">
                  <c:v>1352</c:v>
                </c:pt>
                <c:pt idx="44">
                  <c:v>1744</c:v>
                </c:pt>
                <c:pt idx="45">
                  <c:v>1744</c:v>
                </c:pt>
                <c:pt idx="46">
                  <c:v>1744</c:v>
                </c:pt>
                <c:pt idx="47">
                  <c:v>1744</c:v>
                </c:pt>
                <c:pt idx="48">
                  <c:v>1232</c:v>
                </c:pt>
                <c:pt idx="49">
                  <c:v>1232</c:v>
                </c:pt>
                <c:pt idx="50">
                  <c:v>1232</c:v>
                </c:pt>
                <c:pt idx="51">
                  <c:v>1232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1E-4E35-8450-818B8383A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  <c:max val="52"/>
          <c:min val="1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 Number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Actual Regs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min"/>
        <c:crossBetween val="between"/>
      </c:valAx>
      <c:valAx>
        <c:axId val="200"/>
        <c:scaling>
          <c:orientation val="minMax"/>
        </c:scaling>
        <c:delete val="1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Predicted Regs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DE — Actual vs Predicted CPA (W1–W52)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DE!E35</c:f>
              <c:strCache>
                <c:ptCount val="1"/>
                <c:pt idx="0">
                  <c:v>Actual CPA</c:v>
                </c:pt>
              </c:strCache>
            </c:strRef>
          </c:tx>
          <c:spPr>
            <a:ln w="25000">
              <a:solidFill>
                <a:srgbClr val="E67E22"/>
              </a:solidFill>
              <a:prstDash val="solid"/>
            </a:ln>
          </c:spPr>
          <c:marker>
            <c:symbol val="none"/>
          </c:marker>
          <c:cat>
            <c:numRef>
              <c:f>DE!$B$36:$B$87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DE!$E$36:$E$87</c:f>
              <c:numCache>
                <c:formatCode>\$#,##0.00</c:formatCode>
                <c:ptCount val="52"/>
                <c:pt idx="0">
                  <c:v>105.23</c:v>
                </c:pt>
                <c:pt idx="1">
                  <c:v>115.5</c:v>
                </c:pt>
                <c:pt idx="2">
                  <c:v>142.72999999999999</c:v>
                </c:pt>
                <c:pt idx="3">
                  <c:v>135.11000000000001</c:v>
                </c:pt>
                <c:pt idx="4">
                  <c:v>88.69</c:v>
                </c:pt>
                <c:pt idx="5">
                  <c:v>104.66</c:v>
                </c:pt>
                <c:pt idx="6">
                  <c:v>106.32</c:v>
                </c:pt>
                <c:pt idx="7">
                  <c:v>114.79</c:v>
                </c:pt>
                <c:pt idx="8">
                  <c:v>140.37</c:v>
                </c:pt>
                <c:pt idx="9">
                  <c:v>113.36</c:v>
                </c:pt>
                <c:pt idx="10">
                  <c:v>114.18</c:v>
                </c:pt>
                <c:pt idx="11">
                  <c:v>116.05</c:v>
                </c:pt>
                <c:pt idx="12">
                  <c:v>172.9</c:v>
                </c:pt>
                <c:pt idx="13">
                  <c:v>77.88</c:v>
                </c:pt>
                <c:pt idx="14">
                  <c:v>93.09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21-4AC3-93F1-98A6AB851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  <c:max val="52"/>
          <c:min val="1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 Number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CPA ($)</a:t>
                </a:r>
              </a:p>
            </c:rich>
          </c:tx>
          <c:overlay val="1"/>
        </c:title>
        <c:numFmt formatCode="\$#,##0.0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FR — Actual vs Predicted Registrations (W1–W52)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FR!C35</c:f>
              <c:strCache>
                <c:ptCount val="1"/>
                <c:pt idx="0">
                  <c:v>Actual Regs</c:v>
                </c:pt>
              </c:strCache>
            </c:strRef>
          </c:tx>
          <c:spPr>
            <a:ln w="28000">
              <a:solidFill>
                <a:srgbClr val="E74C3C"/>
              </a:solidFill>
              <a:prstDash val="solid"/>
            </a:ln>
          </c:spPr>
          <c:marker>
            <c:symbol val="none"/>
          </c:marker>
          <c:cat>
            <c:numRef>
              <c:f>FR!$B$36:$B$87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FR!$C$36:$C$87</c:f>
              <c:numCache>
                <c:formatCode>#,##0</c:formatCode>
                <c:ptCount val="52"/>
                <c:pt idx="0">
                  <c:v>657</c:v>
                </c:pt>
                <c:pt idx="1">
                  <c:v>1116</c:v>
                </c:pt>
                <c:pt idx="2">
                  <c:v>1051</c:v>
                </c:pt>
                <c:pt idx="3">
                  <c:v>1075</c:v>
                </c:pt>
                <c:pt idx="4">
                  <c:v>1051</c:v>
                </c:pt>
                <c:pt idx="5">
                  <c:v>1013</c:v>
                </c:pt>
                <c:pt idx="6">
                  <c:v>1083</c:v>
                </c:pt>
                <c:pt idx="7">
                  <c:v>1121</c:v>
                </c:pt>
                <c:pt idx="8">
                  <c:v>1095</c:v>
                </c:pt>
                <c:pt idx="9">
                  <c:v>1075</c:v>
                </c:pt>
                <c:pt idx="10">
                  <c:v>1195</c:v>
                </c:pt>
                <c:pt idx="11">
                  <c:v>1140</c:v>
                </c:pt>
                <c:pt idx="12">
                  <c:v>1170</c:v>
                </c:pt>
                <c:pt idx="13">
                  <c:v>1148</c:v>
                </c:pt>
                <c:pt idx="14">
                  <c:v>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40-46AF-A671-6A0CEF064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lineChart>
        <c:grouping val="standard"/>
        <c:varyColors val="1"/>
        <c:ser>
          <c:idx val="1"/>
          <c:order val="1"/>
          <c:tx>
            <c:strRef>
              <c:f>FR!F35</c:f>
              <c:strCache>
                <c:ptCount val="1"/>
                <c:pt idx="0">
                  <c:v>Pred Regs</c:v>
                </c:pt>
              </c:strCache>
            </c:strRef>
          </c:tx>
          <c:spPr>
            <a:ln w="22000">
              <a:solidFill>
                <a:srgbClr val="F39C12"/>
              </a:solidFill>
              <a:prstDash val="dash"/>
            </a:ln>
          </c:spPr>
          <c:marker>
            <c:symbol val="none"/>
          </c:marker>
          <c:cat>
            <c:numRef>
              <c:f>FR!$B$36:$B$87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FR!$F$36:$F$87</c:f>
              <c:numCache>
                <c:formatCode>#,##0</c:formatCode>
                <c:ptCount val="52"/>
                <c:pt idx="15">
                  <c:v>1029</c:v>
                </c:pt>
                <c:pt idx="16">
                  <c:v>1029</c:v>
                </c:pt>
                <c:pt idx="17">
                  <c:v>754</c:v>
                </c:pt>
                <c:pt idx="18">
                  <c:v>754</c:v>
                </c:pt>
                <c:pt idx="19">
                  <c:v>754</c:v>
                </c:pt>
                <c:pt idx="20">
                  <c:v>754</c:v>
                </c:pt>
                <c:pt idx="21">
                  <c:v>754</c:v>
                </c:pt>
                <c:pt idx="22">
                  <c:v>1034</c:v>
                </c:pt>
                <c:pt idx="23">
                  <c:v>1034</c:v>
                </c:pt>
                <c:pt idx="24">
                  <c:v>1034</c:v>
                </c:pt>
                <c:pt idx="25">
                  <c:v>1034</c:v>
                </c:pt>
                <c:pt idx="26">
                  <c:v>857</c:v>
                </c:pt>
                <c:pt idx="27">
                  <c:v>857</c:v>
                </c:pt>
                <c:pt idx="28">
                  <c:v>857</c:v>
                </c:pt>
                <c:pt idx="29">
                  <c:v>857</c:v>
                </c:pt>
                <c:pt idx="30">
                  <c:v>857</c:v>
                </c:pt>
                <c:pt idx="31">
                  <c:v>917</c:v>
                </c:pt>
                <c:pt idx="32">
                  <c:v>917</c:v>
                </c:pt>
                <c:pt idx="33">
                  <c:v>917</c:v>
                </c:pt>
                <c:pt idx="34">
                  <c:v>917</c:v>
                </c:pt>
                <c:pt idx="35">
                  <c:v>1303</c:v>
                </c:pt>
                <c:pt idx="36">
                  <c:v>1303</c:v>
                </c:pt>
                <c:pt idx="37">
                  <c:v>1303</c:v>
                </c:pt>
                <c:pt idx="38">
                  <c:v>1303</c:v>
                </c:pt>
                <c:pt idx="39">
                  <c:v>1045</c:v>
                </c:pt>
                <c:pt idx="40">
                  <c:v>1045</c:v>
                </c:pt>
                <c:pt idx="41">
                  <c:v>1045</c:v>
                </c:pt>
                <c:pt idx="42">
                  <c:v>1045</c:v>
                </c:pt>
                <c:pt idx="43">
                  <c:v>1045</c:v>
                </c:pt>
                <c:pt idx="44">
                  <c:v>1336</c:v>
                </c:pt>
                <c:pt idx="45">
                  <c:v>1336</c:v>
                </c:pt>
                <c:pt idx="46">
                  <c:v>1336</c:v>
                </c:pt>
                <c:pt idx="47">
                  <c:v>1336</c:v>
                </c:pt>
                <c:pt idx="48">
                  <c:v>910</c:v>
                </c:pt>
                <c:pt idx="49">
                  <c:v>910</c:v>
                </c:pt>
                <c:pt idx="50">
                  <c:v>910</c:v>
                </c:pt>
                <c:pt idx="51">
                  <c:v>910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40-46AF-A671-6A0CEF064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  <c:max val="52"/>
          <c:min val="1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 Number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Actual Regs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min"/>
        <c:crossBetween val="between"/>
      </c:valAx>
      <c:valAx>
        <c:axId val="200"/>
        <c:scaling>
          <c:orientation val="minMax"/>
        </c:scaling>
        <c:delete val="1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Predicted Regs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FR — Actual vs Predicted CPA (W1–W52)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FR!E35</c:f>
              <c:strCache>
                <c:ptCount val="1"/>
                <c:pt idx="0">
                  <c:v>Actual CPA</c:v>
                </c:pt>
              </c:strCache>
            </c:strRef>
          </c:tx>
          <c:spPr>
            <a:ln w="25000">
              <a:solidFill>
                <a:srgbClr val="E74C3C"/>
              </a:solidFill>
              <a:prstDash val="solid"/>
            </a:ln>
          </c:spPr>
          <c:marker>
            <c:symbol val="none"/>
          </c:marker>
          <c:cat>
            <c:numRef>
              <c:f>FR!$B$36:$B$87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FR!$E$36:$E$87</c:f>
              <c:numCache>
                <c:formatCode>\$#,##0.00</c:formatCode>
                <c:ptCount val="52"/>
                <c:pt idx="0">
                  <c:v>46.04</c:v>
                </c:pt>
                <c:pt idx="1">
                  <c:v>42.72</c:v>
                </c:pt>
                <c:pt idx="2">
                  <c:v>67.239999999999995</c:v>
                </c:pt>
                <c:pt idx="3">
                  <c:v>65.08</c:v>
                </c:pt>
                <c:pt idx="4">
                  <c:v>61.29</c:v>
                </c:pt>
                <c:pt idx="5">
                  <c:v>57.11</c:v>
                </c:pt>
                <c:pt idx="6">
                  <c:v>57.43</c:v>
                </c:pt>
                <c:pt idx="7">
                  <c:v>62.24</c:v>
                </c:pt>
                <c:pt idx="8">
                  <c:v>70.66</c:v>
                </c:pt>
                <c:pt idx="9">
                  <c:v>73.37</c:v>
                </c:pt>
                <c:pt idx="10">
                  <c:v>59.97</c:v>
                </c:pt>
                <c:pt idx="11">
                  <c:v>53.34</c:v>
                </c:pt>
                <c:pt idx="12">
                  <c:v>59.26</c:v>
                </c:pt>
                <c:pt idx="13">
                  <c:v>57.72</c:v>
                </c:pt>
                <c:pt idx="14">
                  <c:v>68.59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9B-486C-8840-7B28A8902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  <c:max val="52"/>
          <c:min val="1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 Number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CPA ($)</a:t>
                </a:r>
              </a:p>
            </c:rich>
          </c:tx>
          <c:overlay val="1"/>
        </c:title>
        <c:numFmt formatCode="\$#,##0.0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IT — Actual vs Predicted Registrations (W1–W52)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IT!C35</c:f>
              <c:strCache>
                <c:ptCount val="1"/>
                <c:pt idx="0">
                  <c:v>Actual Regs</c:v>
                </c:pt>
              </c:strCache>
            </c:strRef>
          </c:tx>
          <c:spPr>
            <a:ln w="28000">
              <a:solidFill>
                <a:srgbClr val="1ABC9C"/>
              </a:solidFill>
              <a:prstDash val="solid"/>
            </a:ln>
          </c:spPr>
          <c:marker>
            <c:symbol val="none"/>
          </c:marker>
          <c:cat>
            <c:numRef>
              <c:f>IT!$B$36:$B$87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IT!$C$36:$C$87</c:f>
              <c:numCache>
                <c:formatCode>#,##0</c:formatCode>
                <c:ptCount val="52"/>
                <c:pt idx="0">
                  <c:v>722</c:v>
                </c:pt>
                <c:pt idx="1">
                  <c:v>1301</c:v>
                </c:pt>
                <c:pt idx="2">
                  <c:v>1372</c:v>
                </c:pt>
                <c:pt idx="3">
                  <c:v>1319</c:v>
                </c:pt>
                <c:pt idx="4">
                  <c:v>1365</c:v>
                </c:pt>
                <c:pt idx="5">
                  <c:v>1340</c:v>
                </c:pt>
                <c:pt idx="6">
                  <c:v>1271</c:v>
                </c:pt>
                <c:pt idx="7">
                  <c:v>1303</c:v>
                </c:pt>
                <c:pt idx="8">
                  <c:v>1327</c:v>
                </c:pt>
                <c:pt idx="9">
                  <c:v>1150</c:v>
                </c:pt>
                <c:pt idx="10">
                  <c:v>1439</c:v>
                </c:pt>
                <c:pt idx="11">
                  <c:v>1244</c:v>
                </c:pt>
                <c:pt idx="12">
                  <c:v>1339</c:v>
                </c:pt>
                <c:pt idx="13">
                  <c:v>1320</c:v>
                </c:pt>
                <c:pt idx="14">
                  <c:v>990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42-42ED-B5C9-6B93A9506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lineChart>
        <c:grouping val="standard"/>
        <c:varyColors val="1"/>
        <c:ser>
          <c:idx val="1"/>
          <c:order val="1"/>
          <c:tx>
            <c:strRef>
              <c:f>IT!F35</c:f>
              <c:strCache>
                <c:ptCount val="1"/>
                <c:pt idx="0">
                  <c:v>Pred Regs</c:v>
                </c:pt>
              </c:strCache>
            </c:strRef>
          </c:tx>
          <c:spPr>
            <a:ln w="22000">
              <a:solidFill>
                <a:srgbClr val="F39C12"/>
              </a:solidFill>
              <a:prstDash val="dash"/>
            </a:ln>
          </c:spPr>
          <c:marker>
            <c:symbol val="none"/>
          </c:marker>
          <c:cat>
            <c:numRef>
              <c:f>IT!$B$36:$B$87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IT!$F$36:$F$87</c:f>
              <c:numCache>
                <c:formatCode>#,##0</c:formatCode>
                <c:ptCount val="52"/>
                <c:pt idx="15">
                  <c:v>1260</c:v>
                </c:pt>
                <c:pt idx="16">
                  <c:v>1260</c:v>
                </c:pt>
                <c:pt idx="17">
                  <c:v>1071</c:v>
                </c:pt>
                <c:pt idx="18">
                  <c:v>1071</c:v>
                </c:pt>
                <c:pt idx="19">
                  <c:v>1071</c:v>
                </c:pt>
                <c:pt idx="20">
                  <c:v>1071</c:v>
                </c:pt>
                <c:pt idx="21">
                  <c:v>1071</c:v>
                </c:pt>
                <c:pt idx="22">
                  <c:v>1236</c:v>
                </c:pt>
                <c:pt idx="23">
                  <c:v>1236</c:v>
                </c:pt>
                <c:pt idx="24">
                  <c:v>1236</c:v>
                </c:pt>
                <c:pt idx="25">
                  <c:v>1236</c:v>
                </c:pt>
                <c:pt idx="26">
                  <c:v>1057</c:v>
                </c:pt>
                <c:pt idx="27">
                  <c:v>1057</c:v>
                </c:pt>
                <c:pt idx="28">
                  <c:v>1057</c:v>
                </c:pt>
                <c:pt idx="29">
                  <c:v>1057</c:v>
                </c:pt>
                <c:pt idx="30">
                  <c:v>1057</c:v>
                </c:pt>
                <c:pt idx="31">
                  <c:v>960</c:v>
                </c:pt>
                <c:pt idx="32">
                  <c:v>960</c:v>
                </c:pt>
                <c:pt idx="33">
                  <c:v>960</c:v>
                </c:pt>
                <c:pt idx="34">
                  <c:v>960</c:v>
                </c:pt>
                <c:pt idx="35">
                  <c:v>1470</c:v>
                </c:pt>
                <c:pt idx="36">
                  <c:v>1470</c:v>
                </c:pt>
                <c:pt idx="37">
                  <c:v>1470</c:v>
                </c:pt>
                <c:pt idx="38">
                  <c:v>1470</c:v>
                </c:pt>
                <c:pt idx="39">
                  <c:v>1282</c:v>
                </c:pt>
                <c:pt idx="40">
                  <c:v>1282</c:v>
                </c:pt>
                <c:pt idx="41">
                  <c:v>1282</c:v>
                </c:pt>
                <c:pt idx="42">
                  <c:v>1282</c:v>
                </c:pt>
                <c:pt idx="43">
                  <c:v>1282</c:v>
                </c:pt>
                <c:pt idx="44">
                  <c:v>1612</c:v>
                </c:pt>
                <c:pt idx="45">
                  <c:v>1612</c:v>
                </c:pt>
                <c:pt idx="46">
                  <c:v>1612</c:v>
                </c:pt>
                <c:pt idx="47">
                  <c:v>1612</c:v>
                </c:pt>
                <c:pt idx="48">
                  <c:v>1172</c:v>
                </c:pt>
                <c:pt idx="49">
                  <c:v>1172</c:v>
                </c:pt>
                <c:pt idx="50">
                  <c:v>1172</c:v>
                </c:pt>
                <c:pt idx="51">
                  <c:v>1172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42-42ED-B5C9-6B93A9506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  <c:max val="52"/>
          <c:min val="1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 Number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Actual Regs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min"/>
        <c:crossBetween val="between"/>
      </c:valAx>
      <c:valAx>
        <c:axId val="200"/>
        <c:scaling>
          <c:orientation val="minMax"/>
        </c:scaling>
        <c:delete val="1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Predicted Regs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IT — Actual vs Predicted CPA (W1–W52)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IT!E35</c:f>
              <c:strCache>
                <c:ptCount val="1"/>
                <c:pt idx="0">
                  <c:v>Actual CPA</c:v>
                </c:pt>
              </c:strCache>
            </c:strRef>
          </c:tx>
          <c:spPr>
            <a:ln w="25000">
              <a:solidFill>
                <a:srgbClr val="1ABC9C"/>
              </a:solidFill>
              <a:prstDash val="solid"/>
            </a:ln>
          </c:spPr>
          <c:marker>
            <c:symbol val="none"/>
          </c:marker>
          <c:cat>
            <c:numRef>
              <c:f>IT!$B$36:$B$87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IT!$E$36:$E$87</c:f>
              <c:numCache>
                <c:formatCode>\$#,##0.00</c:formatCode>
                <c:ptCount val="52"/>
                <c:pt idx="0">
                  <c:v>56.46</c:v>
                </c:pt>
                <c:pt idx="1">
                  <c:v>58.89</c:v>
                </c:pt>
                <c:pt idx="2">
                  <c:v>87.7</c:v>
                </c:pt>
                <c:pt idx="3">
                  <c:v>87.8</c:v>
                </c:pt>
                <c:pt idx="4">
                  <c:v>61.19</c:v>
                </c:pt>
                <c:pt idx="5">
                  <c:v>57.69</c:v>
                </c:pt>
                <c:pt idx="6">
                  <c:v>74.75</c:v>
                </c:pt>
                <c:pt idx="7">
                  <c:v>78.8</c:v>
                </c:pt>
                <c:pt idx="8">
                  <c:v>74.09</c:v>
                </c:pt>
                <c:pt idx="9">
                  <c:v>85.95</c:v>
                </c:pt>
                <c:pt idx="10">
                  <c:v>64.95</c:v>
                </c:pt>
                <c:pt idx="11">
                  <c:v>62.44</c:v>
                </c:pt>
                <c:pt idx="12">
                  <c:v>72.53</c:v>
                </c:pt>
                <c:pt idx="13">
                  <c:v>71.989999999999995</c:v>
                </c:pt>
                <c:pt idx="14">
                  <c:v>100.67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E2-413D-B848-7FB9C3FEA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  <c:max val="52"/>
          <c:min val="1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 Number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CPA ($)</a:t>
                </a:r>
              </a:p>
            </c:rich>
          </c:tx>
          <c:overlay val="1"/>
        </c:title>
        <c:numFmt formatCode="\$#,##0.0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ES — Actual vs Predicted Registrations (W1–W52)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ES!C35</c:f>
              <c:strCache>
                <c:ptCount val="1"/>
                <c:pt idx="0">
                  <c:v>Actual Regs</c:v>
                </c:pt>
              </c:strCache>
            </c:strRef>
          </c:tx>
          <c:spPr>
            <a:ln w="28000">
              <a:solidFill>
                <a:srgbClr val="C0392B"/>
              </a:solidFill>
              <a:prstDash val="solid"/>
            </a:ln>
          </c:spPr>
          <c:marker>
            <c:symbol val="none"/>
          </c:marker>
          <c:cat>
            <c:numRef>
              <c:f>ES!$B$36:$B$87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ES!$C$36:$C$87</c:f>
              <c:numCache>
                <c:formatCode>#,##0</c:formatCode>
                <c:ptCount val="52"/>
                <c:pt idx="0">
                  <c:v>390</c:v>
                </c:pt>
                <c:pt idx="1">
                  <c:v>506</c:v>
                </c:pt>
                <c:pt idx="2">
                  <c:v>679</c:v>
                </c:pt>
                <c:pt idx="3">
                  <c:v>665</c:v>
                </c:pt>
                <c:pt idx="4">
                  <c:v>676</c:v>
                </c:pt>
                <c:pt idx="5">
                  <c:v>635</c:v>
                </c:pt>
                <c:pt idx="6">
                  <c:v>646</c:v>
                </c:pt>
                <c:pt idx="7">
                  <c:v>622</c:v>
                </c:pt>
                <c:pt idx="8">
                  <c:v>639</c:v>
                </c:pt>
                <c:pt idx="9">
                  <c:v>634</c:v>
                </c:pt>
                <c:pt idx="10">
                  <c:v>711</c:v>
                </c:pt>
                <c:pt idx="11">
                  <c:v>641</c:v>
                </c:pt>
                <c:pt idx="12">
                  <c:v>631</c:v>
                </c:pt>
                <c:pt idx="13">
                  <c:v>474</c:v>
                </c:pt>
                <c:pt idx="14">
                  <c:v>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0F-4F1B-B2DA-6CA7169B0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lineChart>
        <c:grouping val="standard"/>
        <c:varyColors val="1"/>
        <c:ser>
          <c:idx val="1"/>
          <c:order val="1"/>
          <c:tx>
            <c:strRef>
              <c:f>ES!F35</c:f>
              <c:strCache>
                <c:ptCount val="1"/>
                <c:pt idx="0">
                  <c:v>Pred Regs</c:v>
                </c:pt>
              </c:strCache>
            </c:strRef>
          </c:tx>
          <c:spPr>
            <a:ln w="22000">
              <a:solidFill>
                <a:srgbClr val="F39C12"/>
              </a:solidFill>
              <a:prstDash val="dash"/>
            </a:ln>
          </c:spPr>
          <c:marker>
            <c:symbol val="none"/>
          </c:marker>
          <c:cat>
            <c:numRef>
              <c:f>ES!$B$36:$B$87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ES!$F$36:$F$87</c:f>
              <c:numCache>
                <c:formatCode>#,##0</c:formatCode>
                <c:ptCount val="52"/>
                <c:pt idx="15">
                  <c:v>491</c:v>
                </c:pt>
                <c:pt idx="16">
                  <c:v>491</c:v>
                </c:pt>
                <c:pt idx="17">
                  <c:v>469</c:v>
                </c:pt>
                <c:pt idx="18">
                  <c:v>469</c:v>
                </c:pt>
                <c:pt idx="19">
                  <c:v>469</c:v>
                </c:pt>
                <c:pt idx="20">
                  <c:v>469</c:v>
                </c:pt>
                <c:pt idx="21">
                  <c:v>469</c:v>
                </c:pt>
                <c:pt idx="22">
                  <c:v>615</c:v>
                </c:pt>
                <c:pt idx="23">
                  <c:v>615</c:v>
                </c:pt>
                <c:pt idx="24">
                  <c:v>615</c:v>
                </c:pt>
                <c:pt idx="25">
                  <c:v>615</c:v>
                </c:pt>
                <c:pt idx="26">
                  <c:v>524</c:v>
                </c:pt>
                <c:pt idx="27">
                  <c:v>524</c:v>
                </c:pt>
                <c:pt idx="28">
                  <c:v>524</c:v>
                </c:pt>
                <c:pt idx="29">
                  <c:v>524</c:v>
                </c:pt>
                <c:pt idx="30">
                  <c:v>524</c:v>
                </c:pt>
                <c:pt idx="31">
                  <c:v>474</c:v>
                </c:pt>
                <c:pt idx="32">
                  <c:v>474</c:v>
                </c:pt>
                <c:pt idx="33">
                  <c:v>474</c:v>
                </c:pt>
                <c:pt idx="34">
                  <c:v>474</c:v>
                </c:pt>
                <c:pt idx="35">
                  <c:v>715</c:v>
                </c:pt>
                <c:pt idx="36">
                  <c:v>715</c:v>
                </c:pt>
                <c:pt idx="37">
                  <c:v>715</c:v>
                </c:pt>
                <c:pt idx="38">
                  <c:v>715</c:v>
                </c:pt>
                <c:pt idx="39">
                  <c:v>650</c:v>
                </c:pt>
                <c:pt idx="40">
                  <c:v>650</c:v>
                </c:pt>
                <c:pt idx="41">
                  <c:v>650</c:v>
                </c:pt>
                <c:pt idx="42">
                  <c:v>650</c:v>
                </c:pt>
                <c:pt idx="43">
                  <c:v>650</c:v>
                </c:pt>
                <c:pt idx="44">
                  <c:v>847</c:v>
                </c:pt>
                <c:pt idx="45">
                  <c:v>847</c:v>
                </c:pt>
                <c:pt idx="46">
                  <c:v>847</c:v>
                </c:pt>
                <c:pt idx="47">
                  <c:v>847</c:v>
                </c:pt>
                <c:pt idx="48">
                  <c:v>473</c:v>
                </c:pt>
                <c:pt idx="49">
                  <c:v>473</c:v>
                </c:pt>
                <c:pt idx="50">
                  <c:v>473</c:v>
                </c:pt>
                <c:pt idx="51">
                  <c:v>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0F-4F1B-B2DA-6CA7169B0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  <c:max val="52"/>
          <c:min val="1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 Number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Actual Regs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min"/>
        <c:crossBetween val="between"/>
      </c:valAx>
      <c:valAx>
        <c:axId val="200"/>
        <c:scaling>
          <c:orientation val="minMax"/>
        </c:scaling>
        <c:delete val="1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Predicted Regs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ES — Actual vs Predicted CPA (W1–W52)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ES!E35</c:f>
              <c:strCache>
                <c:ptCount val="1"/>
                <c:pt idx="0">
                  <c:v>Actual CPA</c:v>
                </c:pt>
              </c:strCache>
            </c:strRef>
          </c:tx>
          <c:spPr>
            <a:ln w="25000">
              <a:solidFill>
                <a:srgbClr val="C0392B"/>
              </a:solidFill>
              <a:prstDash val="solid"/>
            </a:ln>
          </c:spPr>
          <c:marker>
            <c:symbol val="none"/>
          </c:marker>
          <c:cat>
            <c:numRef>
              <c:f>ES!$B$36:$B$87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ES!$E$36:$E$87</c:f>
              <c:numCache>
                <c:formatCode>\$#,##0.00</c:formatCode>
                <c:ptCount val="52"/>
                <c:pt idx="0">
                  <c:v>54.91</c:v>
                </c:pt>
                <c:pt idx="1">
                  <c:v>75.95</c:v>
                </c:pt>
                <c:pt idx="2">
                  <c:v>60.12</c:v>
                </c:pt>
                <c:pt idx="3">
                  <c:v>49.42</c:v>
                </c:pt>
                <c:pt idx="4">
                  <c:v>48.76</c:v>
                </c:pt>
                <c:pt idx="5">
                  <c:v>51.35</c:v>
                </c:pt>
                <c:pt idx="6">
                  <c:v>54.77</c:v>
                </c:pt>
                <c:pt idx="7">
                  <c:v>59.77</c:v>
                </c:pt>
                <c:pt idx="8">
                  <c:v>63.39</c:v>
                </c:pt>
                <c:pt idx="9">
                  <c:v>68.709999999999994</c:v>
                </c:pt>
                <c:pt idx="10">
                  <c:v>56.63</c:v>
                </c:pt>
                <c:pt idx="11">
                  <c:v>50.96</c:v>
                </c:pt>
                <c:pt idx="12">
                  <c:v>60.48</c:v>
                </c:pt>
                <c:pt idx="13">
                  <c:v>63.82</c:v>
                </c:pt>
                <c:pt idx="14">
                  <c:v>67.3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3F-4A21-B73E-02207E0899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  <c:max val="52"/>
          <c:min val="1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 Number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CPA ($)</a:t>
                </a:r>
              </a:p>
            </c:rich>
          </c:tx>
          <c:overlay val="1"/>
        </c:title>
        <c:numFmt formatCode="\$#,##0.0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CA — Actual vs Predicted Registrations (W1–W52)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CA!C35</c:f>
              <c:strCache>
                <c:ptCount val="1"/>
                <c:pt idx="0">
                  <c:v>Actual Regs</c:v>
                </c:pt>
              </c:strCache>
            </c:strRef>
          </c:tx>
          <c:spPr>
            <a:ln w="28000">
              <a:solidFill>
                <a:srgbClr val="F1C40F"/>
              </a:solidFill>
              <a:prstDash val="solid"/>
            </a:ln>
          </c:spPr>
          <c:marker>
            <c:symbol val="none"/>
          </c:marker>
          <c:cat>
            <c:numRef>
              <c:f>CA!$B$36:$B$87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CA!$C$36:$C$87</c:f>
              <c:numCache>
                <c:formatCode>#,##0</c:formatCode>
                <c:ptCount val="52"/>
                <c:pt idx="0">
                  <c:v>612</c:v>
                </c:pt>
                <c:pt idx="1">
                  <c:v>641</c:v>
                </c:pt>
                <c:pt idx="2">
                  <c:v>716</c:v>
                </c:pt>
                <c:pt idx="3">
                  <c:v>743</c:v>
                </c:pt>
                <c:pt idx="4">
                  <c:v>750</c:v>
                </c:pt>
                <c:pt idx="5">
                  <c:v>729</c:v>
                </c:pt>
                <c:pt idx="6">
                  <c:v>699</c:v>
                </c:pt>
                <c:pt idx="7">
                  <c:v>688</c:v>
                </c:pt>
                <c:pt idx="8">
                  <c:v>689</c:v>
                </c:pt>
                <c:pt idx="9">
                  <c:v>642</c:v>
                </c:pt>
                <c:pt idx="10">
                  <c:v>744</c:v>
                </c:pt>
                <c:pt idx="11">
                  <c:v>676</c:v>
                </c:pt>
                <c:pt idx="12">
                  <c:v>773</c:v>
                </c:pt>
                <c:pt idx="13">
                  <c:v>634</c:v>
                </c:pt>
                <c:pt idx="14">
                  <c:v>680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C6-4109-902E-257F5123F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lineChart>
        <c:grouping val="standard"/>
        <c:varyColors val="1"/>
        <c:ser>
          <c:idx val="1"/>
          <c:order val="1"/>
          <c:tx>
            <c:strRef>
              <c:f>CA!F35</c:f>
              <c:strCache>
                <c:ptCount val="1"/>
                <c:pt idx="0">
                  <c:v>Pred Regs</c:v>
                </c:pt>
              </c:strCache>
            </c:strRef>
          </c:tx>
          <c:spPr>
            <a:ln w="22000">
              <a:solidFill>
                <a:srgbClr val="F39C12"/>
              </a:solidFill>
              <a:prstDash val="dash"/>
            </a:ln>
          </c:spPr>
          <c:marker>
            <c:symbol val="none"/>
          </c:marker>
          <c:cat>
            <c:numRef>
              <c:f>CA!$B$36:$B$87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CA!$F$36:$F$87</c:f>
              <c:numCache>
                <c:formatCode>#,##0</c:formatCode>
                <c:ptCount val="52"/>
                <c:pt idx="15">
                  <c:v>612</c:v>
                </c:pt>
                <c:pt idx="16">
                  <c:v>612</c:v>
                </c:pt>
                <c:pt idx="17">
                  <c:v>544</c:v>
                </c:pt>
                <c:pt idx="18">
                  <c:v>544</c:v>
                </c:pt>
                <c:pt idx="19">
                  <c:v>544</c:v>
                </c:pt>
                <c:pt idx="20">
                  <c:v>544</c:v>
                </c:pt>
                <c:pt idx="21">
                  <c:v>544</c:v>
                </c:pt>
                <c:pt idx="22">
                  <c:v>674</c:v>
                </c:pt>
                <c:pt idx="23">
                  <c:v>674</c:v>
                </c:pt>
                <c:pt idx="24">
                  <c:v>674</c:v>
                </c:pt>
                <c:pt idx="25">
                  <c:v>674</c:v>
                </c:pt>
                <c:pt idx="26">
                  <c:v>613</c:v>
                </c:pt>
                <c:pt idx="27">
                  <c:v>613</c:v>
                </c:pt>
                <c:pt idx="28">
                  <c:v>613</c:v>
                </c:pt>
                <c:pt idx="29">
                  <c:v>613</c:v>
                </c:pt>
                <c:pt idx="30">
                  <c:v>613</c:v>
                </c:pt>
                <c:pt idx="31">
                  <c:v>737</c:v>
                </c:pt>
                <c:pt idx="32">
                  <c:v>737</c:v>
                </c:pt>
                <c:pt idx="33">
                  <c:v>737</c:v>
                </c:pt>
                <c:pt idx="34">
                  <c:v>737</c:v>
                </c:pt>
                <c:pt idx="35">
                  <c:v>824</c:v>
                </c:pt>
                <c:pt idx="36">
                  <c:v>824</c:v>
                </c:pt>
                <c:pt idx="37">
                  <c:v>824</c:v>
                </c:pt>
                <c:pt idx="38">
                  <c:v>824</c:v>
                </c:pt>
                <c:pt idx="39">
                  <c:v>710</c:v>
                </c:pt>
                <c:pt idx="40">
                  <c:v>710</c:v>
                </c:pt>
                <c:pt idx="41">
                  <c:v>710</c:v>
                </c:pt>
                <c:pt idx="42">
                  <c:v>710</c:v>
                </c:pt>
                <c:pt idx="43">
                  <c:v>710</c:v>
                </c:pt>
                <c:pt idx="44">
                  <c:v>720</c:v>
                </c:pt>
                <c:pt idx="45">
                  <c:v>720</c:v>
                </c:pt>
                <c:pt idx="46">
                  <c:v>720</c:v>
                </c:pt>
                <c:pt idx="47">
                  <c:v>720</c:v>
                </c:pt>
                <c:pt idx="48">
                  <c:v>644</c:v>
                </c:pt>
                <c:pt idx="49">
                  <c:v>644</c:v>
                </c:pt>
                <c:pt idx="50">
                  <c:v>644</c:v>
                </c:pt>
                <c:pt idx="51">
                  <c:v>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C6-4109-902E-257F5123F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  <c:max val="52"/>
          <c:min val="1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 Number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Actual Regs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min"/>
        <c:crossBetween val="between"/>
      </c:valAx>
      <c:valAx>
        <c:axId val="200"/>
        <c:scaling>
          <c:orientation val="minMax"/>
        </c:scaling>
        <c:delete val="1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Predicted Regs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CA — Actual vs Predicted CPA (W1–W52)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CA!E35</c:f>
              <c:strCache>
                <c:ptCount val="1"/>
                <c:pt idx="0">
                  <c:v>Actual CPA</c:v>
                </c:pt>
              </c:strCache>
            </c:strRef>
          </c:tx>
          <c:spPr>
            <a:ln w="25000">
              <a:solidFill>
                <a:srgbClr val="F1C40F"/>
              </a:solidFill>
              <a:prstDash val="solid"/>
            </a:ln>
          </c:spPr>
          <c:marker>
            <c:symbol val="none"/>
          </c:marker>
          <c:cat>
            <c:numRef>
              <c:f>CA!$B$36:$B$87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CA!$E$36:$E$87</c:f>
              <c:numCache>
                <c:formatCode>\$#,##0.00</c:formatCode>
                <c:ptCount val="52"/>
                <c:pt idx="0">
                  <c:v>85.84</c:v>
                </c:pt>
                <c:pt idx="1">
                  <c:v>85.93</c:v>
                </c:pt>
                <c:pt idx="2">
                  <c:v>76.72</c:v>
                </c:pt>
                <c:pt idx="3">
                  <c:v>70.67</c:v>
                </c:pt>
                <c:pt idx="4">
                  <c:v>67.819999999999993</c:v>
                </c:pt>
                <c:pt idx="5">
                  <c:v>70.87</c:v>
                </c:pt>
                <c:pt idx="6">
                  <c:v>71.81</c:v>
                </c:pt>
                <c:pt idx="7">
                  <c:v>77.75</c:v>
                </c:pt>
                <c:pt idx="8">
                  <c:v>75.88</c:v>
                </c:pt>
                <c:pt idx="9">
                  <c:v>78.63</c:v>
                </c:pt>
                <c:pt idx="10">
                  <c:v>69.959999999999994</c:v>
                </c:pt>
                <c:pt idx="11">
                  <c:v>78.12</c:v>
                </c:pt>
                <c:pt idx="12">
                  <c:v>67.27</c:v>
                </c:pt>
                <c:pt idx="13">
                  <c:v>80.06</c:v>
                </c:pt>
                <c:pt idx="14">
                  <c:v>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4F-42E8-9A21-2EE2C9122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  <c:max val="52"/>
          <c:min val="1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 Number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CPA ($)</a:t>
                </a:r>
              </a:p>
            </c:rich>
          </c:tx>
          <c:overlay val="1"/>
        </c:title>
        <c:numFmt formatCode="\$#,##0.0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JP — Actual vs Predicted Registrations (W1–W52)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JP!C35</c:f>
              <c:strCache>
                <c:ptCount val="1"/>
                <c:pt idx="0">
                  <c:v>Actual Regs</c:v>
                </c:pt>
              </c:strCache>
            </c:strRef>
          </c:tx>
          <c:spPr>
            <a:ln w="28000">
              <a:solidFill>
                <a:srgbClr val="9B59B6"/>
              </a:solidFill>
              <a:prstDash val="solid"/>
            </a:ln>
          </c:spPr>
          <c:marker>
            <c:symbol val="none"/>
          </c:marker>
          <c:cat>
            <c:numRef>
              <c:f>JP!$B$36:$B$87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JP!$C$36:$C$87</c:f>
              <c:numCache>
                <c:formatCode>#,##0</c:formatCode>
                <c:ptCount val="52"/>
                <c:pt idx="0">
                  <c:v>289</c:v>
                </c:pt>
                <c:pt idx="1">
                  <c:v>1003</c:v>
                </c:pt>
                <c:pt idx="2">
                  <c:v>972</c:v>
                </c:pt>
                <c:pt idx="3">
                  <c:v>1044</c:v>
                </c:pt>
                <c:pt idx="4">
                  <c:v>1004</c:v>
                </c:pt>
                <c:pt idx="5">
                  <c:v>495</c:v>
                </c:pt>
                <c:pt idx="6">
                  <c:v>435</c:v>
                </c:pt>
                <c:pt idx="7">
                  <c:v>439</c:v>
                </c:pt>
                <c:pt idx="8">
                  <c:v>404</c:v>
                </c:pt>
                <c:pt idx="9">
                  <c:v>526</c:v>
                </c:pt>
                <c:pt idx="10">
                  <c:v>513</c:v>
                </c:pt>
                <c:pt idx="11">
                  <c:v>423</c:v>
                </c:pt>
                <c:pt idx="12">
                  <c:v>545</c:v>
                </c:pt>
                <c:pt idx="13">
                  <c:v>606</c:v>
                </c:pt>
                <c:pt idx="14">
                  <c:v>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EE-4219-AD2A-3369B45C8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lineChart>
        <c:grouping val="standard"/>
        <c:varyColors val="1"/>
        <c:ser>
          <c:idx val="1"/>
          <c:order val="1"/>
          <c:tx>
            <c:strRef>
              <c:f>JP!F35</c:f>
              <c:strCache>
                <c:ptCount val="1"/>
                <c:pt idx="0">
                  <c:v>Pred Regs</c:v>
                </c:pt>
              </c:strCache>
            </c:strRef>
          </c:tx>
          <c:spPr>
            <a:ln w="22000">
              <a:solidFill>
                <a:srgbClr val="F39C12"/>
              </a:solidFill>
              <a:prstDash val="dash"/>
            </a:ln>
          </c:spPr>
          <c:marker>
            <c:symbol val="none"/>
          </c:marker>
          <c:cat>
            <c:numRef>
              <c:f>JP!$B$36:$B$87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JP!$F$36:$F$87</c:f>
              <c:numCache>
                <c:formatCode>#,##0</c:formatCode>
                <c:ptCount val="52"/>
                <c:pt idx="15">
                  <c:v>480</c:v>
                </c:pt>
                <c:pt idx="16">
                  <c:v>480</c:v>
                </c:pt>
                <c:pt idx="17">
                  <c:v>326</c:v>
                </c:pt>
                <c:pt idx="18">
                  <c:v>326</c:v>
                </c:pt>
                <c:pt idx="19">
                  <c:v>326</c:v>
                </c:pt>
                <c:pt idx="20">
                  <c:v>326</c:v>
                </c:pt>
                <c:pt idx="21">
                  <c:v>326</c:v>
                </c:pt>
                <c:pt idx="22">
                  <c:v>435</c:v>
                </c:pt>
                <c:pt idx="23">
                  <c:v>435</c:v>
                </c:pt>
                <c:pt idx="24">
                  <c:v>435</c:v>
                </c:pt>
                <c:pt idx="25">
                  <c:v>435</c:v>
                </c:pt>
                <c:pt idx="26">
                  <c:v>417</c:v>
                </c:pt>
                <c:pt idx="27">
                  <c:v>417</c:v>
                </c:pt>
                <c:pt idx="28">
                  <c:v>417</c:v>
                </c:pt>
                <c:pt idx="29">
                  <c:v>417</c:v>
                </c:pt>
                <c:pt idx="30">
                  <c:v>417</c:v>
                </c:pt>
                <c:pt idx="31">
                  <c:v>461</c:v>
                </c:pt>
                <c:pt idx="32">
                  <c:v>461</c:v>
                </c:pt>
                <c:pt idx="33">
                  <c:v>461</c:v>
                </c:pt>
                <c:pt idx="34">
                  <c:v>461</c:v>
                </c:pt>
                <c:pt idx="35">
                  <c:v>514</c:v>
                </c:pt>
                <c:pt idx="36">
                  <c:v>514</c:v>
                </c:pt>
                <c:pt idx="37">
                  <c:v>514</c:v>
                </c:pt>
                <c:pt idx="38">
                  <c:v>514</c:v>
                </c:pt>
                <c:pt idx="39">
                  <c:v>487</c:v>
                </c:pt>
                <c:pt idx="40">
                  <c:v>487</c:v>
                </c:pt>
                <c:pt idx="41">
                  <c:v>487</c:v>
                </c:pt>
                <c:pt idx="42">
                  <c:v>487</c:v>
                </c:pt>
                <c:pt idx="43">
                  <c:v>487</c:v>
                </c:pt>
                <c:pt idx="44">
                  <c:v>678</c:v>
                </c:pt>
                <c:pt idx="45">
                  <c:v>678</c:v>
                </c:pt>
                <c:pt idx="46">
                  <c:v>678</c:v>
                </c:pt>
                <c:pt idx="47">
                  <c:v>678</c:v>
                </c:pt>
                <c:pt idx="48">
                  <c:v>495</c:v>
                </c:pt>
                <c:pt idx="49">
                  <c:v>495</c:v>
                </c:pt>
                <c:pt idx="50">
                  <c:v>495</c:v>
                </c:pt>
                <c:pt idx="51">
                  <c:v>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EE-4219-AD2A-3369B45C8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  <c:max val="52"/>
          <c:min val="1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 Number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Actual Regs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min"/>
        <c:crossBetween val="between"/>
      </c:valAx>
      <c:valAx>
        <c:axId val="200"/>
        <c:scaling>
          <c:orientation val="minMax"/>
        </c:scaling>
        <c:delete val="1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Predicted Regs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JP — Actual vs Predicted CPA (W1–W52)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JP!E35</c:f>
              <c:strCache>
                <c:ptCount val="1"/>
                <c:pt idx="0">
                  <c:v>Actual CPA</c:v>
                </c:pt>
              </c:strCache>
            </c:strRef>
          </c:tx>
          <c:spPr>
            <a:ln w="25000">
              <a:solidFill>
                <a:srgbClr val="9B59B6"/>
              </a:solidFill>
              <a:prstDash val="solid"/>
            </a:ln>
          </c:spPr>
          <c:marker>
            <c:symbol val="none"/>
          </c:marker>
          <c:cat>
            <c:numRef>
              <c:f>JP!$B$36:$B$87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JP!$E$36:$E$87</c:f>
              <c:numCache>
                <c:formatCode>\$#,##0.00</c:formatCode>
                <c:ptCount val="52"/>
                <c:pt idx="0">
                  <c:v>47.76</c:v>
                </c:pt>
                <c:pt idx="1">
                  <c:v>39.42</c:v>
                </c:pt>
                <c:pt idx="2">
                  <c:v>31.91</c:v>
                </c:pt>
                <c:pt idx="3">
                  <c:v>36.159999999999997</c:v>
                </c:pt>
                <c:pt idx="4">
                  <c:v>33.6</c:v>
                </c:pt>
                <c:pt idx="5">
                  <c:v>66.53</c:v>
                </c:pt>
                <c:pt idx="6">
                  <c:v>65.03</c:v>
                </c:pt>
                <c:pt idx="7">
                  <c:v>67.14</c:v>
                </c:pt>
                <c:pt idx="8">
                  <c:v>74.989999999999995</c:v>
                </c:pt>
                <c:pt idx="9">
                  <c:v>74.61</c:v>
                </c:pt>
                <c:pt idx="10">
                  <c:v>74.73</c:v>
                </c:pt>
                <c:pt idx="11">
                  <c:v>86.35</c:v>
                </c:pt>
                <c:pt idx="12">
                  <c:v>87.08</c:v>
                </c:pt>
                <c:pt idx="13">
                  <c:v>75.540000000000006</c:v>
                </c:pt>
                <c:pt idx="14">
                  <c:v>68.150000000000006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D7-4AE3-8FF2-0C880D001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  <c:max val="52"/>
          <c:min val="1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 Number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CPA ($)</a:t>
                </a:r>
              </a:p>
            </c:rich>
          </c:tx>
          <c:overlay val="1"/>
        </c:title>
        <c:numFmt formatCode="\$#,##0.0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MX — Actual vs Predicted Registrations (W1–W52)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MX!C35</c:f>
              <c:strCache>
                <c:ptCount val="1"/>
                <c:pt idx="0">
                  <c:v>Actual Regs</c:v>
                </c:pt>
              </c:strCache>
            </c:strRef>
          </c:tx>
          <c:spPr>
            <a:ln w="28000">
              <a:solidFill>
                <a:srgbClr val="D35400"/>
              </a:solidFill>
              <a:prstDash val="solid"/>
            </a:ln>
          </c:spPr>
          <c:marker>
            <c:symbol val="none"/>
          </c:marker>
          <c:cat>
            <c:numRef>
              <c:f>MX!$B$36:$B$87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MX!$C$36:$C$87</c:f>
              <c:numCache>
                <c:formatCode>#,##0</c:formatCode>
                <c:ptCount val="52"/>
                <c:pt idx="0">
                  <c:v>183</c:v>
                </c:pt>
                <c:pt idx="1">
                  <c:v>252</c:v>
                </c:pt>
                <c:pt idx="2">
                  <c:v>270</c:v>
                </c:pt>
                <c:pt idx="3">
                  <c:v>240</c:v>
                </c:pt>
                <c:pt idx="4">
                  <c:v>224</c:v>
                </c:pt>
                <c:pt idx="5">
                  <c:v>229</c:v>
                </c:pt>
                <c:pt idx="6">
                  <c:v>246</c:v>
                </c:pt>
                <c:pt idx="7">
                  <c:v>368</c:v>
                </c:pt>
                <c:pt idx="8">
                  <c:v>262</c:v>
                </c:pt>
                <c:pt idx="9">
                  <c:v>297</c:v>
                </c:pt>
                <c:pt idx="10">
                  <c:v>390</c:v>
                </c:pt>
                <c:pt idx="11">
                  <c:v>324</c:v>
                </c:pt>
                <c:pt idx="12">
                  <c:v>352</c:v>
                </c:pt>
                <c:pt idx="13">
                  <c:v>238</c:v>
                </c:pt>
                <c:pt idx="14">
                  <c:v>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CB-49B8-863E-FFDB853AE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lineChart>
        <c:grouping val="standard"/>
        <c:varyColors val="1"/>
        <c:ser>
          <c:idx val="1"/>
          <c:order val="1"/>
          <c:tx>
            <c:strRef>
              <c:f>MX!F35</c:f>
              <c:strCache>
                <c:ptCount val="1"/>
                <c:pt idx="0">
                  <c:v>Pred Regs</c:v>
                </c:pt>
              </c:strCache>
            </c:strRef>
          </c:tx>
          <c:spPr>
            <a:ln w="22000">
              <a:solidFill>
                <a:srgbClr val="F39C12"/>
              </a:solidFill>
              <a:prstDash val="dash"/>
            </a:ln>
          </c:spPr>
          <c:marker>
            <c:symbol val="none"/>
          </c:marker>
          <c:cat>
            <c:numRef>
              <c:f>MX!$B$36:$B$87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MX!$F$36:$F$87</c:f>
              <c:numCache>
                <c:formatCode>#,##0</c:formatCode>
                <c:ptCount val="52"/>
                <c:pt idx="15">
                  <c:v>198</c:v>
                </c:pt>
                <c:pt idx="16">
                  <c:v>198</c:v>
                </c:pt>
                <c:pt idx="17">
                  <c:v>197</c:v>
                </c:pt>
                <c:pt idx="18">
                  <c:v>197</c:v>
                </c:pt>
                <c:pt idx="19">
                  <c:v>197</c:v>
                </c:pt>
                <c:pt idx="20">
                  <c:v>197</c:v>
                </c:pt>
                <c:pt idx="21">
                  <c:v>197</c:v>
                </c:pt>
                <c:pt idx="22">
                  <c:v>255</c:v>
                </c:pt>
                <c:pt idx="23">
                  <c:v>255</c:v>
                </c:pt>
                <c:pt idx="24">
                  <c:v>255</c:v>
                </c:pt>
                <c:pt idx="25">
                  <c:v>255</c:v>
                </c:pt>
                <c:pt idx="26">
                  <c:v>223</c:v>
                </c:pt>
                <c:pt idx="27">
                  <c:v>223</c:v>
                </c:pt>
                <c:pt idx="28">
                  <c:v>223</c:v>
                </c:pt>
                <c:pt idx="29">
                  <c:v>223</c:v>
                </c:pt>
                <c:pt idx="30">
                  <c:v>223</c:v>
                </c:pt>
                <c:pt idx="31">
                  <c:v>194</c:v>
                </c:pt>
                <c:pt idx="32">
                  <c:v>194</c:v>
                </c:pt>
                <c:pt idx="33">
                  <c:v>194</c:v>
                </c:pt>
                <c:pt idx="34">
                  <c:v>194</c:v>
                </c:pt>
                <c:pt idx="35">
                  <c:v>155</c:v>
                </c:pt>
                <c:pt idx="36">
                  <c:v>155</c:v>
                </c:pt>
                <c:pt idx="37">
                  <c:v>155</c:v>
                </c:pt>
                <c:pt idx="38">
                  <c:v>155</c:v>
                </c:pt>
                <c:pt idx="39">
                  <c:v>232</c:v>
                </c:pt>
                <c:pt idx="40">
                  <c:v>232</c:v>
                </c:pt>
                <c:pt idx="41">
                  <c:v>232</c:v>
                </c:pt>
                <c:pt idx="42">
                  <c:v>232</c:v>
                </c:pt>
                <c:pt idx="43">
                  <c:v>232</c:v>
                </c:pt>
                <c:pt idx="44">
                  <c:v>308</c:v>
                </c:pt>
                <c:pt idx="45">
                  <c:v>308</c:v>
                </c:pt>
                <c:pt idx="46">
                  <c:v>308</c:v>
                </c:pt>
                <c:pt idx="47">
                  <c:v>308</c:v>
                </c:pt>
                <c:pt idx="48">
                  <c:v>189</c:v>
                </c:pt>
                <c:pt idx="49">
                  <c:v>189</c:v>
                </c:pt>
                <c:pt idx="50">
                  <c:v>189</c:v>
                </c:pt>
                <c:pt idx="51">
                  <c:v>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CB-49B8-863E-FFDB853AE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  <c:max val="52"/>
          <c:min val="1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 Number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Actual Regs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min"/>
        <c:crossBetween val="between"/>
      </c:valAx>
      <c:valAx>
        <c:axId val="200"/>
        <c:scaling>
          <c:orientation val="minMax"/>
        </c:scaling>
        <c:delete val="1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Predicted Regs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MX — Actual vs Predicted CPA (W1–W52)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MX!E35</c:f>
              <c:strCache>
                <c:ptCount val="1"/>
                <c:pt idx="0">
                  <c:v>Actual CPA</c:v>
                </c:pt>
              </c:strCache>
            </c:strRef>
          </c:tx>
          <c:spPr>
            <a:ln w="25000">
              <a:solidFill>
                <a:srgbClr val="D35400"/>
              </a:solidFill>
              <a:prstDash val="solid"/>
            </a:ln>
          </c:spPr>
          <c:marker>
            <c:symbol val="none"/>
          </c:marker>
          <c:cat>
            <c:numRef>
              <c:f>MX!$B$36:$B$87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MX!$E$36:$E$87</c:f>
              <c:numCache>
                <c:formatCode>\$#,##0.00</c:formatCode>
                <c:ptCount val="52"/>
                <c:pt idx="0">
                  <c:v>40.57</c:v>
                </c:pt>
                <c:pt idx="1">
                  <c:v>34.33</c:v>
                </c:pt>
                <c:pt idx="2">
                  <c:v>47.49</c:v>
                </c:pt>
                <c:pt idx="3">
                  <c:v>61.13</c:v>
                </c:pt>
                <c:pt idx="4">
                  <c:v>74.87</c:v>
                </c:pt>
                <c:pt idx="5">
                  <c:v>67.819999999999993</c:v>
                </c:pt>
                <c:pt idx="6">
                  <c:v>56.89</c:v>
                </c:pt>
                <c:pt idx="7">
                  <c:v>50.73</c:v>
                </c:pt>
                <c:pt idx="8">
                  <c:v>75.319999999999993</c:v>
                </c:pt>
                <c:pt idx="9">
                  <c:v>69.05</c:v>
                </c:pt>
                <c:pt idx="10">
                  <c:v>57.59</c:v>
                </c:pt>
                <c:pt idx="11">
                  <c:v>62.14</c:v>
                </c:pt>
                <c:pt idx="12">
                  <c:v>65.959999999999994</c:v>
                </c:pt>
                <c:pt idx="13">
                  <c:v>81.59</c:v>
                </c:pt>
                <c:pt idx="14">
                  <c:v>50.48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20-42D3-A4FA-2787FF00E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  <c:max val="52"/>
          <c:min val="1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 Number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CPA ($)</a:t>
                </a:r>
              </a:p>
            </c:rich>
          </c:tx>
          <c:overlay val="1"/>
        </c:title>
        <c:numFmt formatCode="\$#,##0.0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AU — Actual vs Predicted Registrations (W1–W52)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AU!C35</c:f>
              <c:strCache>
                <c:ptCount val="1"/>
                <c:pt idx="0">
                  <c:v>Actual Regs</c:v>
                </c:pt>
              </c:strCache>
            </c:strRef>
          </c:tx>
          <c:spPr>
            <a:ln w="28000">
              <a:solidFill>
                <a:srgbClr val="16A085"/>
              </a:solidFill>
              <a:prstDash val="solid"/>
            </a:ln>
          </c:spPr>
          <c:marker>
            <c:symbol val="none"/>
          </c:marker>
          <c:cat>
            <c:numRef>
              <c:f>AU!$B$36:$B$87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AU!$C$36:$C$87</c:f>
              <c:numCache>
                <c:formatCode>#,##0</c:formatCode>
                <c:ptCount val="52"/>
                <c:pt idx="0">
                  <c:v>156</c:v>
                </c:pt>
                <c:pt idx="1">
                  <c:v>256</c:v>
                </c:pt>
                <c:pt idx="2">
                  <c:v>290</c:v>
                </c:pt>
                <c:pt idx="3">
                  <c:v>273</c:v>
                </c:pt>
                <c:pt idx="4">
                  <c:v>239</c:v>
                </c:pt>
                <c:pt idx="5">
                  <c:v>256</c:v>
                </c:pt>
                <c:pt idx="6">
                  <c:v>328</c:v>
                </c:pt>
                <c:pt idx="7">
                  <c:v>256</c:v>
                </c:pt>
                <c:pt idx="8">
                  <c:v>256</c:v>
                </c:pt>
                <c:pt idx="9">
                  <c:v>251</c:v>
                </c:pt>
                <c:pt idx="10">
                  <c:v>241</c:v>
                </c:pt>
                <c:pt idx="11">
                  <c:v>244</c:v>
                </c:pt>
                <c:pt idx="12">
                  <c:v>208</c:v>
                </c:pt>
                <c:pt idx="13">
                  <c:v>170</c:v>
                </c:pt>
                <c:pt idx="14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5E-424C-9015-42503EE62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lineChart>
        <c:grouping val="standard"/>
        <c:varyColors val="1"/>
        <c:ser>
          <c:idx val="1"/>
          <c:order val="1"/>
          <c:tx>
            <c:strRef>
              <c:f>AU!F35</c:f>
              <c:strCache>
                <c:ptCount val="1"/>
                <c:pt idx="0">
                  <c:v>Pred Regs</c:v>
                </c:pt>
              </c:strCache>
            </c:strRef>
          </c:tx>
          <c:spPr>
            <a:ln w="22000">
              <a:solidFill>
                <a:srgbClr val="F39C12"/>
              </a:solidFill>
              <a:prstDash val="dash"/>
            </a:ln>
          </c:spPr>
          <c:marker>
            <c:symbol val="none"/>
          </c:marker>
          <c:cat>
            <c:numRef>
              <c:f>AU!$B$36:$B$87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AU!$F$36:$F$87</c:f>
              <c:numCache>
                <c:formatCode>#,##0</c:formatCode>
                <c:ptCount val="52"/>
                <c:pt idx="15">
                  <c:v>268</c:v>
                </c:pt>
                <c:pt idx="16">
                  <c:v>268</c:v>
                </c:pt>
                <c:pt idx="17">
                  <c:v>238</c:v>
                </c:pt>
                <c:pt idx="18">
                  <c:v>238</c:v>
                </c:pt>
                <c:pt idx="19">
                  <c:v>238</c:v>
                </c:pt>
                <c:pt idx="20">
                  <c:v>238</c:v>
                </c:pt>
                <c:pt idx="21">
                  <c:v>238</c:v>
                </c:pt>
                <c:pt idx="22">
                  <c:v>305</c:v>
                </c:pt>
                <c:pt idx="23">
                  <c:v>305</c:v>
                </c:pt>
                <c:pt idx="24">
                  <c:v>305</c:v>
                </c:pt>
                <c:pt idx="25">
                  <c:v>305</c:v>
                </c:pt>
                <c:pt idx="26">
                  <c:v>221</c:v>
                </c:pt>
                <c:pt idx="27">
                  <c:v>221</c:v>
                </c:pt>
                <c:pt idx="28">
                  <c:v>221</c:v>
                </c:pt>
                <c:pt idx="29">
                  <c:v>221</c:v>
                </c:pt>
                <c:pt idx="30">
                  <c:v>221</c:v>
                </c:pt>
                <c:pt idx="31">
                  <c:v>265</c:v>
                </c:pt>
                <c:pt idx="32">
                  <c:v>265</c:v>
                </c:pt>
                <c:pt idx="33">
                  <c:v>265</c:v>
                </c:pt>
                <c:pt idx="34">
                  <c:v>265</c:v>
                </c:pt>
                <c:pt idx="35">
                  <c:v>268</c:v>
                </c:pt>
                <c:pt idx="36">
                  <c:v>268</c:v>
                </c:pt>
                <c:pt idx="37">
                  <c:v>268</c:v>
                </c:pt>
                <c:pt idx="38">
                  <c:v>268</c:v>
                </c:pt>
                <c:pt idx="39">
                  <c:v>217</c:v>
                </c:pt>
                <c:pt idx="40">
                  <c:v>217</c:v>
                </c:pt>
                <c:pt idx="41">
                  <c:v>217</c:v>
                </c:pt>
                <c:pt idx="42">
                  <c:v>217</c:v>
                </c:pt>
                <c:pt idx="43">
                  <c:v>217</c:v>
                </c:pt>
                <c:pt idx="44">
                  <c:v>252</c:v>
                </c:pt>
                <c:pt idx="45">
                  <c:v>252</c:v>
                </c:pt>
                <c:pt idx="46">
                  <c:v>252</c:v>
                </c:pt>
                <c:pt idx="47">
                  <c:v>252</c:v>
                </c:pt>
                <c:pt idx="48">
                  <c:v>192</c:v>
                </c:pt>
                <c:pt idx="49">
                  <c:v>192</c:v>
                </c:pt>
                <c:pt idx="50">
                  <c:v>192</c:v>
                </c:pt>
                <c:pt idx="51">
                  <c:v>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5E-424C-9015-42503EE62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  <c:max val="52"/>
          <c:min val="1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 Number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Actual Regs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min"/>
        <c:crossBetween val="between"/>
      </c:valAx>
      <c:valAx>
        <c:axId val="200"/>
        <c:scaling>
          <c:orientation val="minMax"/>
        </c:scaling>
        <c:delete val="1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Predicted Regs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AU — Actual vs Predicted CPA (W1–W52)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AU!E35</c:f>
              <c:strCache>
                <c:ptCount val="1"/>
                <c:pt idx="0">
                  <c:v>Actual CPA</c:v>
                </c:pt>
              </c:strCache>
            </c:strRef>
          </c:tx>
          <c:spPr>
            <a:ln w="25000">
              <a:solidFill>
                <a:srgbClr val="16A085"/>
              </a:solidFill>
              <a:prstDash val="solid"/>
            </a:ln>
          </c:spPr>
          <c:marker>
            <c:symbol val="none"/>
          </c:marker>
          <c:cat>
            <c:numRef>
              <c:f>AU!$B$36:$B$87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AU!$E$36:$E$87</c:f>
              <c:numCache>
                <c:formatCode>\$#,##0.00</c:formatCode>
                <c:ptCount val="52"/>
                <c:pt idx="0">
                  <c:v>92.11</c:v>
                </c:pt>
                <c:pt idx="1">
                  <c:v>112.76</c:v>
                </c:pt>
                <c:pt idx="2">
                  <c:v>125.25</c:v>
                </c:pt>
                <c:pt idx="3">
                  <c:v>112.9</c:v>
                </c:pt>
                <c:pt idx="4">
                  <c:v>167.74</c:v>
                </c:pt>
                <c:pt idx="5">
                  <c:v>166.72</c:v>
                </c:pt>
                <c:pt idx="6">
                  <c:v>129.26</c:v>
                </c:pt>
                <c:pt idx="7">
                  <c:v>145.30000000000001</c:v>
                </c:pt>
                <c:pt idx="8">
                  <c:v>142.22</c:v>
                </c:pt>
                <c:pt idx="9">
                  <c:v>125.85</c:v>
                </c:pt>
                <c:pt idx="10">
                  <c:v>128.63</c:v>
                </c:pt>
                <c:pt idx="11">
                  <c:v>114.77</c:v>
                </c:pt>
                <c:pt idx="12">
                  <c:v>117.22</c:v>
                </c:pt>
                <c:pt idx="13">
                  <c:v>129.84</c:v>
                </c:pt>
                <c:pt idx="14">
                  <c:v>155.59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92-4473-BAEA-B34ED30E2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  <c:max val="52"/>
          <c:min val="1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 Number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CPA ($)</a:t>
                </a:r>
              </a:p>
            </c:rich>
          </c:tx>
          <c:overlay val="1"/>
        </c:title>
        <c:numFmt formatCode="\$#,##0.0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8</xdr:row>
      <xdr:rowOff>0</xdr:rowOff>
    </xdr:from>
    <xdr:ext cx="864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7</xdr:row>
      <xdr:rowOff>0</xdr:rowOff>
    </xdr:from>
    <xdr:ext cx="11520000" cy="64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15</xdr:col>
      <xdr:colOff>0</xdr:colOff>
      <xdr:row>29</xdr:row>
      <xdr:rowOff>0</xdr:rowOff>
    </xdr:from>
    <xdr:ext cx="11520000" cy="57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7</xdr:row>
      <xdr:rowOff>0</xdr:rowOff>
    </xdr:from>
    <xdr:ext cx="11520000" cy="64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15</xdr:col>
      <xdr:colOff>0</xdr:colOff>
      <xdr:row>29</xdr:row>
      <xdr:rowOff>0</xdr:rowOff>
    </xdr:from>
    <xdr:ext cx="11520000" cy="57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7</xdr:row>
      <xdr:rowOff>0</xdr:rowOff>
    </xdr:from>
    <xdr:ext cx="11520000" cy="64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15</xdr:col>
      <xdr:colOff>0</xdr:colOff>
      <xdr:row>29</xdr:row>
      <xdr:rowOff>0</xdr:rowOff>
    </xdr:from>
    <xdr:ext cx="11520000" cy="57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7</xdr:row>
      <xdr:rowOff>0</xdr:rowOff>
    </xdr:from>
    <xdr:ext cx="11520000" cy="64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15</xdr:col>
      <xdr:colOff>0</xdr:colOff>
      <xdr:row>29</xdr:row>
      <xdr:rowOff>0</xdr:rowOff>
    </xdr:from>
    <xdr:ext cx="11520000" cy="57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7</xdr:row>
      <xdr:rowOff>0</xdr:rowOff>
    </xdr:from>
    <xdr:ext cx="11520000" cy="64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15</xdr:col>
      <xdr:colOff>0</xdr:colOff>
      <xdr:row>29</xdr:row>
      <xdr:rowOff>0</xdr:rowOff>
    </xdr:from>
    <xdr:ext cx="11520000" cy="57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7</xdr:row>
      <xdr:rowOff>0</xdr:rowOff>
    </xdr:from>
    <xdr:ext cx="11520000" cy="64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15</xdr:col>
      <xdr:colOff>0</xdr:colOff>
      <xdr:row>29</xdr:row>
      <xdr:rowOff>0</xdr:rowOff>
    </xdr:from>
    <xdr:ext cx="11520000" cy="57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7</xdr:row>
      <xdr:rowOff>0</xdr:rowOff>
    </xdr:from>
    <xdr:ext cx="11520000" cy="64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15</xdr:col>
      <xdr:colOff>0</xdr:colOff>
      <xdr:row>29</xdr:row>
      <xdr:rowOff>0</xdr:rowOff>
    </xdr:from>
    <xdr:ext cx="11520000" cy="57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7</xdr:row>
      <xdr:rowOff>0</xdr:rowOff>
    </xdr:from>
    <xdr:ext cx="11520000" cy="64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15</xdr:col>
      <xdr:colOff>0</xdr:colOff>
      <xdr:row>29</xdr:row>
      <xdr:rowOff>0</xdr:rowOff>
    </xdr:from>
    <xdr:ext cx="11520000" cy="57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85725</xdr:colOff>
      <xdr:row>0</xdr:row>
      <xdr:rowOff>85725</xdr:rowOff>
    </xdr:from>
    <xdr:ext cx="11520000" cy="64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15</xdr:col>
      <xdr:colOff>47625</xdr:colOff>
      <xdr:row>29</xdr:row>
      <xdr:rowOff>28575</xdr:rowOff>
    </xdr:from>
    <xdr:ext cx="11520000" cy="57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  <a:ext uri="{147F2762-F138-4A5C-976F-8EAC2B608ADB}">
              <a16:predDERef xmlns:a16="http://schemas.microsoft.com/office/drawing/2014/main" pre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76200</xdr:colOff>
      <xdr:row>0</xdr:row>
      <xdr:rowOff>114300</xdr:rowOff>
    </xdr:from>
    <xdr:ext cx="11520000" cy="64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15</xdr:col>
      <xdr:colOff>66675</xdr:colOff>
      <xdr:row>34</xdr:row>
      <xdr:rowOff>28575</xdr:rowOff>
    </xdr:from>
    <xdr:ext cx="11520000" cy="57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  <a:ext uri="{147F2762-F138-4A5C-976F-8EAC2B608ADB}">
              <a16:predDERef xmlns:a16="http://schemas.microsoft.com/office/drawing/2014/main" pre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L19"/>
  <sheetViews>
    <sheetView showGridLines="0" workbookViewId="0">
      <pane ySplit="9" topLeftCell="A10" activePane="bottomLeft" state="frozen"/>
      <selection pane="bottomLeft" activeCell="F23" sqref="F23"/>
    </sheetView>
  </sheetViews>
  <sheetFormatPr defaultColWidth="17.7109375" defaultRowHeight="15"/>
  <cols>
    <col min="1" max="1" width="6.85546875" bestFit="1" customWidth="1"/>
    <col min="2" max="2" width="8.28515625" bestFit="1" customWidth="1"/>
    <col min="3" max="3" width="9.5703125" bestFit="1" customWidth="1"/>
    <col min="4" max="4" width="7.5703125" bestFit="1" customWidth="1"/>
    <col min="5" max="5" width="11" bestFit="1" customWidth="1"/>
    <col min="6" max="6" width="8.85546875" bestFit="1" customWidth="1"/>
    <col min="7" max="7" width="9.28515625" bestFit="1" customWidth="1"/>
    <col min="8" max="8" width="11.28515625" bestFit="1" customWidth="1"/>
    <col min="9" max="9" width="8.140625" bestFit="1" customWidth="1"/>
    <col min="10" max="10" width="7.85546875" bestFit="1" customWidth="1"/>
  </cols>
  <sheetData>
    <row r="1" spans="1:12" ht="23.25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2">
      <c r="A2" s="72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4" spans="1:12">
      <c r="A4" s="26" t="s">
        <v>2</v>
      </c>
      <c r="B4" s="73"/>
      <c r="C4" s="74"/>
      <c r="D4" s="26" t="s">
        <v>3</v>
      </c>
      <c r="E4" s="73"/>
      <c r="F4" s="74"/>
      <c r="G4" s="26" t="s">
        <v>4</v>
      </c>
      <c r="H4" s="74"/>
      <c r="I4" s="26" t="s">
        <v>5</v>
      </c>
      <c r="J4" s="74"/>
    </row>
    <row r="5" spans="1:12" ht="26.25">
      <c r="A5" s="27" t="s">
        <v>6</v>
      </c>
      <c r="B5" s="73"/>
      <c r="C5" s="74"/>
      <c r="D5" s="27" t="s">
        <v>7</v>
      </c>
      <c r="E5" s="73"/>
      <c r="F5" s="74"/>
      <c r="G5" s="27" t="s">
        <v>8</v>
      </c>
      <c r="H5" s="74"/>
      <c r="I5" s="27" t="s">
        <v>9</v>
      </c>
      <c r="J5" s="74"/>
    </row>
    <row r="6" spans="1:12">
      <c r="A6" s="26" t="s">
        <v>10</v>
      </c>
      <c r="B6" s="73"/>
      <c r="C6" s="74"/>
      <c r="D6" s="1"/>
      <c r="E6" s="1"/>
      <c r="F6" s="1"/>
      <c r="G6" s="1"/>
      <c r="H6" s="1"/>
      <c r="I6" s="26" t="s">
        <v>11</v>
      </c>
      <c r="J6" s="74"/>
    </row>
    <row r="9" spans="1:12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18</v>
      </c>
      <c r="H9" s="2" t="s">
        <v>19</v>
      </c>
      <c r="I9" s="2" t="s">
        <v>20</v>
      </c>
      <c r="J9" s="2" t="s">
        <v>21</v>
      </c>
    </row>
    <row r="10" spans="1:12">
      <c r="A10" s="3" t="s">
        <v>22</v>
      </c>
      <c r="B10" s="4">
        <v>125537</v>
      </c>
      <c r="C10" s="5">
        <v>9534695</v>
      </c>
      <c r="D10" s="6">
        <v>75.95</v>
      </c>
      <c r="E10" s="4">
        <v>8369</v>
      </c>
      <c r="F10" s="4">
        <v>9236</v>
      </c>
      <c r="G10" s="7">
        <v>22.2</v>
      </c>
      <c r="H10" s="4">
        <v>384625</v>
      </c>
      <c r="I10" s="7">
        <v>-41.836611218446983</v>
      </c>
      <c r="J10" s="3" t="s">
        <v>23</v>
      </c>
    </row>
    <row r="11" spans="1:12">
      <c r="A11" s="8" t="s">
        <v>24</v>
      </c>
      <c r="B11" s="9">
        <v>21270</v>
      </c>
      <c r="C11" s="10">
        <v>1442080</v>
      </c>
      <c r="D11" s="11">
        <v>67.8</v>
      </c>
      <c r="E11" s="9">
        <v>1418</v>
      </c>
      <c r="F11" s="9">
        <v>1453</v>
      </c>
      <c r="G11" s="12">
        <v>-0.3</v>
      </c>
      <c r="H11" s="9">
        <v>64618</v>
      </c>
      <c r="I11" s="12">
        <v>-38.454563312717653</v>
      </c>
      <c r="J11" s="8" t="s">
        <v>23</v>
      </c>
    </row>
    <row r="12" spans="1:12">
      <c r="A12" s="3" t="s">
        <v>25</v>
      </c>
      <c r="B12" s="4">
        <v>20651</v>
      </c>
      <c r="C12" s="5">
        <v>2375324</v>
      </c>
      <c r="D12" s="6">
        <v>115.02</v>
      </c>
      <c r="E12" s="4">
        <v>1377</v>
      </c>
      <c r="F12" s="4">
        <v>1210</v>
      </c>
      <c r="G12" s="7">
        <v>-8</v>
      </c>
      <c r="H12" s="4">
        <v>65529</v>
      </c>
      <c r="I12" s="7">
        <v>-51.150427594965343</v>
      </c>
      <c r="J12" s="3" t="s">
        <v>23</v>
      </c>
    </row>
    <row r="13" spans="1:12">
      <c r="A13" s="8" t="s">
        <v>26</v>
      </c>
      <c r="B13" s="9">
        <v>15876</v>
      </c>
      <c r="C13" s="10">
        <v>957874</v>
      </c>
      <c r="D13" s="11">
        <v>60.33</v>
      </c>
      <c r="E13" s="9">
        <v>1058</v>
      </c>
      <c r="F13" s="9">
        <v>886</v>
      </c>
      <c r="G13" s="12">
        <v>-22.8</v>
      </c>
      <c r="H13" s="9">
        <v>59348</v>
      </c>
      <c r="I13" s="12">
        <v>-44.134083846273803</v>
      </c>
      <c r="J13" s="8" t="s">
        <v>23</v>
      </c>
    </row>
    <row r="14" spans="1:12">
      <c r="A14" s="3" t="s">
        <v>27</v>
      </c>
      <c r="B14" s="4">
        <v>18802</v>
      </c>
      <c r="C14" s="5">
        <v>1372130</v>
      </c>
      <c r="D14" s="6">
        <v>72.98</v>
      </c>
      <c r="E14" s="4">
        <v>1253</v>
      </c>
      <c r="F14" s="4">
        <v>990</v>
      </c>
      <c r="G14" s="7">
        <v>-25</v>
      </c>
      <c r="H14" s="4">
        <v>68957</v>
      </c>
      <c r="I14" s="7">
        <v>-50.369079839066998</v>
      </c>
      <c r="J14" s="3" t="s">
        <v>23</v>
      </c>
    </row>
    <row r="15" spans="1:12">
      <c r="A15" s="8" t="s">
        <v>28</v>
      </c>
      <c r="B15" s="9">
        <v>9148</v>
      </c>
      <c r="C15" s="10">
        <v>537379</v>
      </c>
      <c r="D15" s="11">
        <v>58.74</v>
      </c>
      <c r="E15" s="9">
        <v>610</v>
      </c>
      <c r="F15" s="9">
        <v>599</v>
      </c>
      <c r="G15" s="12">
        <v>26.4</v>
      </c>
      <c r="H15" s="9">
        <v>35234</v>
      </c>
      <c r="I15" s="12">
        <v>-41.980779248579999</v>
      </c>
      <c r="J15" s="8" t="s">
        <v>23</v>
      </c>
    </row>
    <row r="16" spans="1:12">
      <c r="A16" s="3" t="s">
        <v>29</v>
      </c>
      <c r="B16" s="4">
        <v>10416</v>
      </c>
      <c r="C16" s="5">
        <v>788081</v>
      </c>
      <c r="D16" s="6">
        <v>75.66</v>
      </c>
      <c r="E16" s="4">
        <v>694</v>
      </c>
      <c r="F16" s="4">
        <v>680</v>
      </c>
      <c r="G16" s="7">
        <v>7.3</v>
      </c>
      <c r="H16" s="4">
        <v>37695</v>
      </c>
      <c r="I16" s="7">
        <v>-50.377873741820153</v>
      </c>
      <c r="J16" s="3" t="s">
        <v>23</v>
      </c>
    </row>
    <row r="17" spans="1:10">
      <c r="A17" s="8" t="s">
        <v>30</v>
      </c>
      <c r="B17" s="9">
        <v>9293</v>
      </c>
      <c r="C17" s="10">
        <v>524734</v>
      </c>
      <c r="D17" s="11">
        <v>56.47</v>
      </c>
      <c r="E17" s="9">
        <v>620</v>
      </c>
      <c r="F17" s="9">
        <v>595</v>
      </c>
      <c r="G17" s="12">
        <v>-1.8</v>
      </c>
      <c r="H17" s="9">
        <v>27292</v>
      </c>
      <c r="I17" s="12">
        <v>-48.717240019944803</v>
      </c>
      <c r="J17" s="8" t="s">
        <v>23</v>
      </c>
    </row>
    <row r="18" spans="1:10">
      <c r="A18" s="3" t="s">
        <v>31</v>
      </c>
      <c r="B18" s="4">
        <v>4379</v>
      </c>
      <c r="C18" s="5">
        <v>259451</v>
      </c>
      <c r="D18" s="6">
        <v>59.25</v>
      </c>
      <c r="E18" s="4">
        <v>292</v>
      </c>
      <c r="F18" s="4">
        <v>504</v>
      </c>
      <c r="G18" s="7">
        <v>111.8</v>
      </c>
      <c r="H18" s="4">
        <v>13089</v>
      </c>
      <c r="I18" s="7">
        <v>-42.923566414403297</v>
      </c>
      <c r="J18" s="3" t="s">
        <v>23</v>
      </c>
    </row>
    <row r="19" spans="1:10">
      <c r="A19" s="8" t="s">
        <v>32</v>
      </c>
      <c r="B19" s="9">
        <v>3590</v>
      </c>
      <c r="C19" s="10">
        <v>472027</v>
      </c>
      <c r="D19" s="11">
        <v>131.47999999999999</v>
      </c>
      <c r="E19" s="9">
        <v>239</v>
      </c>
      <c r="F19" s="9">
        <v>166</v>
      </c>
      <c r="G19" s="12">
        <v>-2.4</v>
      </c>
      <c r="H19" s="9">
        <v>14247</v>
      </c>
      <c r="I19" s="12">
        <v>-17.387291117130609</v>
      </c>
      <c r="J19" s="8" t="s">
        <v>23</v>
      </c>
    </row>
  </sheetData>
  <mergeCells count="12">
    <mergeCell ref="A1:L1"/>
    <mergeCell ref="A6:C6"/>
    <mergeCell ref="D4:F4"/>
    <mergeCell ref="G5:H5"/>
    <mergeCell ref="I5:J5"/>
    <mergeCell ref="A4:C4"/>
    <mergeCell ref="G4:H4"/>
    <mergeCell ref="A2:L2"/>
    <mergeCell ref="I4:J4"/>
    <mergeCell ref="I6:J6"/>
    <mergeCell ref="D5:F5"/>
    <mergeCell ref="A5:C5"/>
  </mergeCells>
  <conditionalFormatting sqref="B10:B19">
    <cfRule type="dataBar" priority="1">
      <dataBar>
        <cfvo type="min"/>
        <cfvo type="max"/>
        <color rgb="FF4A9EFF"/>
      </dataBar>
    </cfRule>
  </conditionalFormatting>
  <conditionalFormatting sqref="D10:D19">
    <cfRule type="colorScale" priority="2">
      <colorScale>
        <cfvo type="min"/>
        <cfvo type="percentile" val="50"/>
        <cfvo type="max"/>
        <color rgb="FF27AE60"/>
        <color rgb="FFFFFFFF"/>
        <color rgb="FFE74C3C"/>
      </colorScale>
    </cfRule>
  </conditionalFormatting>
  <conditionalFormatting sqref="G10:G19">
    <cfRule type="iconSet" priority="3">
      <iconSet iconSet="3Arrows">
        <cfvo type="num" val="-5"/>
        <cfvo type="num" val="0"/>
        <cfvo type="num" val="5"/>
      </iconSet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498DB"/>
  </sheetPr>
  <dimension ref="A1:N87"/>
  <sheetViews>
    <sheetView showGridLines="0" tabSelected="1" workbookViewId="0">
      <selection activeCell="H6" sqref="H6"/>
    </sheetView>
  </sheetViews>
  <sheetFormatPr defaultColWidth="12.7109375" defaultRowHeight="15"/>
  <cols>
    <col min="1" max="1" width="11.85546875" bestFit="1" customWidth="1"/>
    <col min="2" max="3" width="10.140625" bestFit="1" customWidth="1"/>
    <col min="4" max="4" width="9.85546875" bestFit="1" customWidth="1"/>
    <col min="5" max="5" width="9.5703125" bestFit="1" customWidth="1"/>
    <col min="6" max="6" width="9.7109375" bestFit="1" customWidth="1"/>
    <col min="7" max="7" width="8.140625" bestFit="1" customWidth="1"/>
    <col min="8" max="8" width="6.85546875" bestFit="1" customWidth="1"/>
    <col min="9" max="9" width="9.85546875" bestFit="1" customWidth="1"/>
    <col min="10" max="10" width="6.85546875" bestFit="1" customWidth="1"/>
    <col min="11" max="11" width="10.85546875" bestFit="1" customWidth="1"/>
    <col min="12" max="12" width="8.28515625" bestFit="1" customWidth="1"/>
    <col min="13" max="13" width="9.7109375" bestFit="1" customWidth="1"/>
    <col min="14" max="14" width="7.42578125" bestFit="1" customWidth="1"/>
  </cols>
  <sheetData>
    <row r="1" spans="1:14" ht="21">
      <c r="A1" s="75" t="s">
        <v>33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3" spans="1:14">
      <c r="A3" s="26" t="s">
        <v>34</v>
      </c>
      <c r="B3" s="74"/>
      <c r="C3" s="26" t="s">
        <v>35</v>
      </c>
      <c r="D3" s="74"/>
      <c r="E3" s="26" t="s">
        <v>36</v>
      </c>
      <c r="F3" s="74"/>
      <c r="G3" s="26" t="s">
        <v>37</v>
      </c>
      <c r="H3" s="74"/>
    </row>
    <row r="4" spans="1:14" ht="26.25">
      <c r="A4" s="27" t="s">
        <v>38</v>
      </c>
      <c r="B4" s="74"/>
      <c r="C4" s="27" t="s">
        <v>39</v>
      </c>
      <c r="D4" s="74"/>
      <c r="E4" s="27" t="s">
        <v>40</v>
      </c>
      <c r="F4" s="74"/>
      <c r="G4" s="27" t="s">
        <v>41</v>
      </c>
      <c r="H4" s="74"/>
    </row>
    <row r="5" spans="1:14">
      <c r="A5" s="26" t="s">
        <v>10</v>
      </c>
      <c r="B5" s="74"/>
      <c r="C5" s="1"/>
      <c r="D5" s="1"/>
      <c r="E5" s="1"/>
      <c r="F5" s="1"/>
      <c r="G5" s="26" t="s">
        <v>23</v>
      </c>
      <c r="H5" s="74"/>
    </row>
    <row r="8" spans="1:14" ht="15.75">
      <c r="A8" s="76" t="s">
        <v>42</v>
      </c>
      <c r="B8" s="71"/>
      <c r="C8" s="71"/>
      <c r="D8" s="71"/>
      <c r="E8" s="71"/>
      <c r="F8" s="71"/>
      <c r="G8" s="71"/>
      <c r="H8" s="71"/>
      <c r="I8" s="71"/>
      <c r="J8" s="71"/>
      <c r="K8" s="71"/>
    </row>
    <row r="9" spans="1:14">
      <c r="A9" s="13" t="s">
        <v>43</v>
      </c>
      <c r="B9" s="13" t="s">
        <v>44</v>
      </c>
      <c r="C9" s="13" t="s">
        <v>45</v>
      </c>
      <c r="D9" s="13" t="s">
        <v>46</v>
      </c>
      <c r="E9" s="13" t="s">
        <v>47</v>
      </c>
      <c r="F9" s="13" t="s">
        <v>48</v>
      </c>
      <c r="G9" s="13" t="s">
        <v>20</v>
      </c>
      <c r="H9" s="13" t="s">
        <v>49</v>
      </c>
      <c r="I9" s="13" t="s">
        <v>50</v>
      </c>
      <c r="J9" s="13" t="s">
        <v>51</v>
      </c>
      <c r="K9" s="13" t="s">
        <v>52</v>
      </c>
    </row>
    <row r="10" spans="1:14">
      <c r="A10" s="14" t="s">
        <v>53</v>
      </c>
      <c r="B10" s="15"/>
      <c r="C10" s="15"/>
      <c r="D10" s="15"/>
      <c r="E10" s="15"/>
      <c r="F10" s="15">
        <v>360832.76</v>
      </c>
      <c r="G10" s="16" t="str">
        <f>IF(AND(B10&gt;0,F10&gt;0),(B10-F10)/F10,"")</f>
        <v/>
      </c>
      <c r="H10" s="17" t="str">
        <f>IF(AND(B10&gt;0,C10&gt;0),ABS(C10-B10)/B10,"")</f>
        <v/>
      </c>
      <c r="I10" s="18"/>
      <c r="J10" s="14"/>
      <c r="K10" s="14"/>
    </row>
    <row r="12" spans="1:14" ht="15.75">
      <c r="A12" s="76" t="s">
        <v>54</v>
      </c>
      <c r="B12" s="71"/>
      <c r="C12" s="71"/>
      <c r="D12" s="71"/>
      <c r="E12" s="71"/>
      <c r="F12" s="71"/>
      <c r="G12" s="71"/>
      <c r="H12" s="71"/>
      <c r="I12" s="71"/>
      <c r="J12" s="71"/>
      <c r="K12" s="71"/>
    </row>
    <row r="13" spans="1:14">
      <c r="A13" s="13" t="s">
        <v>43</v>
      </c>
      <c r="B13" s="13" t="s">
        <v>44</v>
      </c>
      <c r="C13" s="13" t="s">
        <v>45</v>
      </c>
      <c r="D13" s="13" t="s">
        <v>46</v>
      </c>
      <c r="E13" s="13" t="s">
        <v>47</v>
      </c>
      <c r="F13" s="13" t="s">
        <v>48</v>
      </c>
      <c r="G13" s="13" t="s">
        <v>20</v>
      </c>
      <c r="H13" s="13" t="s">
        <v>49</v>
      </c>
      <c r="I13" s="13" t="s">
        <v>50</v>
      </c>
      <c r="J13" s="13" t="s">
        <v>51</v>
      </c>
      <c r="K13" s="13" t="s">
        <v>52</v>
      </c>
    </row>
    <row r="14" spans="1:14">
      <c r="A14" s="3" t="s">
        <v>55</v>
      </c>
      <c r="B14" s="4">
        <v>108742</v>
      </c>
      <c r="C14" s="4"/>
      <c r="D14" s="4"/>
      <c r="E14" s="4"/>
      <c r="F14" s="4">
        <v>89274.52</v>
      </c>
      <c r="G14" s="19">
        <f>IF(AND(B14&gt;0,F14&gt;0),(B14-F14)/F14,"")</f>
        <v>0.21806311588121666</v>
      </c>
      <c r="H14" s="20" t="str">
        <f>IF(AND(B14&gt;0,C14&gt;0),ABS(C14-B14)/B14,"")</f>
        <v/>
      </c>
      <c r="I14" s="21"/>
      <c r="J14" s="3"/>
      <c r="K14" s="3"/>
    </row>
    <row r="15" spans="1:14">
      <c r="A15" s="14" t="s">
        <v>56</v>
      </c>
      <c r="B15" s="14"/>
      <c r="C15" s="15"/>
      <c r="D15" s="15"/>
      <c r="E15" s="15"/>
      <c r="F15" s="15">
        <v>92003.05</v>
      </c>
      <c r="G15" s="16" t="str">
        <f>IF(AND(B15&gt;0,F15&gt;0),(B15-F15)/F15,"")</f>
        <v/>
      </c>
      <c r="H15" s="17" t="str">
        <f>IF(AND(B15&gt;0,C15&gt;0),ABS(C15-B15)/B15,"")</f>
        <v/>
      </c>
      <c r="I15" s="18"/>
      <c r="J15" s="14"/>
      <c r="K15" s="14"/>
    </row>
    <row r="16" spans="1:14">
      <c r="A16" s="14" t="s">
        <v>57</v>
      </c>
      <c r="B16" s="14"/>
      <c r="C16" s="15"/>
      <c r="D16" s="15"/>
      <c r="E16" s="15"/>
      <c r="F16" s="15">
        <v>93453.91</v>
      </c>
      <c r="G16" s="16" t="str">
        <f>IF(AND(B16&gt;0,F16&gt;0),(B16-F16)/F16,"")</f>
        <v/>
      </c>
      <c r="H16" s="17" t="str">
        <f>IF(AND(B16&gt;0,C16&gt;0),ABS(C16-B16)/B16,"")</f>
        <v/>
      </c>
      <c r="I16" s="18"/>
      <c r="J16" s="14"/>
      <c r="K16" s="14"/>
    </row>
    <row r="17" spans="1:11">
      <c r="A17" s="14" t="s">
        <v>58</v>
      </c>
      <c r="B17" s="14"/>
      <c r="C17" s="15"/>
      <c r="D17" s="15"/>
      <c r="E17" s="15"/>
      <c r="F17" s="15">
        <v>86101.28</v>
      </c>
      <c r="G17" s="16" t="str">
        <f>IF(AND(B17&gt;0,F17&gt;0),(B17-F17)/F17,"")</f>
        <v/>
      </c>
      <c r="H17" s="17" t="str">
        <f>IF(AND(B17&gt;0,C17&gt;0),ABS(C17-B17)/B17,"")</f>
        <v/>
      </c>
      <c r="I17" s="18"/>
      <c r="J17" s="14"/>
      <c r="K17" s="14"/>
    </row>
    <row r="19" spans="1:11" ht="15.75">
      <c r="A19" s="76" t="s">
        <v>59</v>
      </c>
      <c r="B19" s="71"/>
      <c r="C19" s="71"/>
      <c r="D19" s="71"/>
      <c r="E19" s="71"/>
      <c r="F19" s="71"/>
      <c r="G19" s="71"/>
      <c r="H19" s="71"/>
      <c r="I19" s="71"/>
      <c r="J19" s="71"/>
      <c r="K19" s="71"/>
    </row>
    <row r="20" spans="1:11">
      <c r="A20" s="13" t="s">
        <v>43</v>
      </c>
      <c r="B20" s="13" t="s">
        <v>44</v>
      </c>
      <c r="C20" s="13" t="s">
        <v>45</v>
      </c>
      <c r="D20" s="13" t="s">
        <v>46</v>
      </c>
      <c r="E20" s="13" t="s">
        <v>47</v>
      </c>
      <c r="F20" s="13" t="s">
        <v>48</v>
      </c>
      <c r="G20" s="13" t="s">
        <v>20</v>
      </c>
      <c r="H20" s="13" t="s">
        <v>49</v>
      </c>
      <c r="I20" s="13" t="s">
        <v>50</v>
      </c>
      <c r="J20" s="13" t="s">
        <v>51</v>
      </c>
      <c r="K20" s="13" t="s">
        <v>52</v>
      </c>
    </row>
    <row r="21" spans="1:11">
      <c r="A21" s="3" t="s">
        <v>60</v>
      </c>
      <c r="B21" s="4">
        <v>34817</v>
      </c>
      <c r="C21" s="4"/>
      <c r="D21" s="4"/>
      <c r="E21" s="4"/>
      <c r="F21" s="4">
        <v>30434.87</v>
      </c>
      <c r="G21" s="19">
        <f>IF(AND(B21&gt;0,F21&gt;0),(B21-F21)/F21,"")</f>
        <v>0.14398385798920782</v>
      </c>
      <c r="H21" s="20" t="str">
        <f>IF(AND(B21&gt;0,C21&gt;0),ABS(C21-B21)/B21,"")</f>
        <v/>
      </c>
      <c r="I21" s="21"/>
      <c r="J21" s="3"/>
      <c r="K21" s="3"/>
    </row>
    <row r="22" spans="1:11">
      <c r="A22" s="8" t="s">
        <v>61</v>
      </c>
      <c r="B22" s="9">
        <v>33354</v>
      </c>
      <c r="C22" s="9"/>
      <c r="D22" s="9"/>
      <c r="E22" s="9"/>
      <c r="F22" s="9">
        <v>28322.84</v>
      </c>
      <c r="G22" s="22">
        <f>IF(AND(B22&gt;0,F22&gt;0),(B22-F22)/F22,"")</f>
        <v>0.17763614100845818</v>
      </c>
      <c r="H22" s="23" t="str">
        <f>IF(AND(B22&gt;0,C22&gt;0),ABS(C22-B22)/B22,"")</f>
        <v/>
      </c>
      <c r="I22" s="24"/>
      <c r="J22" s="8"/>
      <c r="K22" s="8"/>
    </row>
    <row r="23" spans="1:11">
      <c r="A23" s="3" t="s">
        <v>62</v>
      </c>
      <c r="B23" s="4">
        <v>40571</v>
      </c>
      <c r="C23" s="4"/>
      <c r="D23" s="4"/>
      <c r="E23" s="4"/>
      <c r="F23" s="4">
        <v>30516.81</v>
      </c>
      <c r="G23" s="19">
        <f>IF(AND(B23&gt;0,F23&gt;0),(B23-F23)/F23,"")</f>
        <v>0.32946399050228375</v>
      </c>
      <c r="H23" s="20" t="str">
        <f>IF(AND(B23&gt;0,C23&gt;0),ABS(C23-B23)/B23,"")</f>
        <v/>
      </c>
      <c r="I23" s="21"/>
      <c r="J23" s="3"/>
      <c r="K23" s="3"/>
    </row>
    <row r="24" spans="1:11">
      <c r="A24" s="14" t="s">
        <v>63</v>
      </c>
      <c r="B24" s="15"/>
      <c r="C24" s="15">
        <v>31075.56</v>
      </c>
      <c r="D24" s="15">
        <v>26414</v>
      </c>
      <c r="E24" s="15">
        <v>35737</v>
      </c>
      <c r="F24" s="15">
        <v>31075.56</v>
      </c>
      <c r="G24" s="16" t="str">
        <f>IF(AND(B24&gt;0,F24&gt;0),(B24-F24)/F24,"")</f>
        <v/>
      </c>
      <c r="H24" s="17" t="str">
        <f>IF(AND(B24&gt;0,C24&gt;0),ABS(C24-B24)/B24,"")</f>
        <v/>
      </c>
      <c r="I24" s="18">
        <v>0.5</v>
      </c>
      <c r="J24" s="14"/>
      <c r="K24" s="14" t="s">
        <v>64</v>
      </c>
    </row>
    <row r="25" spans="1:11">
      <c r="A25" s="14" t="s">
        <v>65</v>
      </c>
      <c r="B25" s="15"/>
      <c r="C25" s="15">
        <v>31036.21</v>
      </c>
      <c r="D25" s="15">
        <v>26381</v>
      </c>
      <c r="E25" s="15">
        <v>35692</v>
      </c>
      <c r="F25" s="15">
        <v>31036.21</v>
      </c>
      <c r="G25" s="16" t="str">
        <f>IF(AND(B25&gt;0,F25&gt;0),(B25-F25)/F25,"")</f>
        <v/>
      </c>
      <c r="H25" s="17" t="str">
        <f>IF(AND(B25&gt;0,C25&gt;0),ABS(C25-B25)/B25,"")</f>
        <v/>
      </c>
      <c r="I25" s="18">
        <v>0.5</v>
      </c>
      <c r="J25" s="14"/>
      <c r="K25" s="14" t="s">
        <v>64</v>
      </c>
    </row>
    <row r="26" spans="1:11">
      <c r="A26" s="14" t="s">
        <v>66</v>
      </c>
      <c r="B26" s="15"/>
      <c r="C26" s="15">
        <v>29891.279999999999</v>
      </c>
      <c r="D26" s="15">
        <v>25408</v>
      </c>
      <c r="E26" s="15">
        <v>34375</v>
      </c>
      <c r="F26" s="15">
        <v>29891.279999999999</v>
      </c>
      <c r="G26" s="16" t="str">
        <f>IF(AND(B26&gt;0,F26&gt;0),(B26-F26)/F26,"")</f>
        <v/>
      </c>
      <c r="H26" s="17" t="str">
        <f>IF(AND(B26&gt;0,C26&gt;0),ABS(C26-B26)/B26,"")</f>
        <v/>
      </c>
      <c r="I26" s="18">
        <v>0.5</v>
      </c>
      <c r="J26" s="14"/>
      <c r="K26" s="14" t="s">
        <v>64</v>
      </c>
    </row>
    <row r="27" spans="1:11">
      <c r="A27" s="14" t="s">
        <v>67</v>
      </c>
      <c r="B27" s="15"/>
      <c r="C27" s="15">
        <v>32161.67</v>
      </c>
      <c r="D27" s="15">
        <v>27337</v>
      </c>
      <c r="E27" s="15">
        <v>36986</v>
      </c>
      <c r="F27" s="15">
        <v>32161.67</v>
      </c>
      <c r="G27" s="16" t="str">
        <f>IF(AND(B27&gt;0,F27&gt;0),(B27-F27)/F27,"")</f>
        <v/>
      </c>
      <c r="H27" s="17" t="str">
        <f>IF(AND(B27&gt;0,C27&gt;0),ABS(C27-B27)/B27,"")</f>
        <v/>
      </c>
      <c r="I27" s="18">
        <v>0.5</v>
      </c>
      <c r="J27" s="14"/>
      <c r="K27" s="14" t="s">
        <v>64</v>
      </c>
    </row>
    <row r="28" spans="1:11">
      <c r="A28" s="14" t="s">
        <v>68</v>
      </c>
      <c r="B28" s="15"/>
      <c r="C28" s="15">
        <v>30832.28</v>
      </c>
      <c r="D28" s="15">
        <v>26207</v>
      </c>
      <c r="E28" s="15">
        <v>35457</v>
      </c>
      <c r="F28" s="15">
        <v>30832.28</v>
      </c>
      <c r="G28" s="16" t="str">
        <f>IF(AND(B28&gt;0,F28&gt;0),(B28-F28)/F28,"")</f>
        <v/>
      </c>
      <c r="H28" s="17" t="str">
        <f>IF(AND(B28&gt;0,C28&gt;0),ABS(C28-B28)/B28,"")</f>
        <v/>
      </c>
      <c r="I28" s="18">
        <v>0.5</v>
      </c>
      <c r="J28" s="14"/>
      <c r="K28" s="14" t="s">
        <v>64</v>
      </c>
    </row>
    <row r="29" spans="1:11">
      <c r="A29" s="14" t="s">
        <v>69</v>
      </c>
      <c r="B29" s="15"/>
      <c r="C29" s="15">
        <v>30459.96</v>
      </c>
      <c r="D29" s="15">
        <v>25891</v>
      </c>
      <c r="E29" s="15">
        <v>35029</v>
      </c>
      <c r="F29" s="15">
        <v>30459.96</v>
      </c>
      <c r="G29" s="16" t="str">
        <f>IF(AND(B29&gt;0,F29&gt;0),(B29-F29)/F29,"")</f>
        <v/>
      </c>
      <c r="H29" s="17" t="str">
        <f>IF(AND(B29&gt;0,C29&gt;0),ABS(C29-B29)/B29,"")</f>
        <v/>
      </c>
      <c r="I29" s="18">
        <v>0.5</v>
      </c>
      <c r="J29" s="14"/>
      <c r="K29" s="14" t="s">
        <v>64</v>
      </c>
    </row>
    <row r="30" spans="1:11">
      <c r="A30" s="14" t="s">
        <v>70</v>
      </c>
      <c r="B30" s="15"/>
      <c r="C30" s="15">
        <v>32616.84</v>
      </c>
      <c r="D30" s="15">
        <v>27724</v>
      </c>
      <c r="E30" s="15">
        <v>37509</v>
      </c>
      <c r="F30" s="15">
        <v>32616.84</v>
      </c>
      <c r="G30" s="16" t="str">
        <f>IF(AND(B30&gt;0,F30&gt;0),(B30-F30)/F30,"")</f>
        <v/>
      </c>
      <c r="H30" s="17" t="str">
        <f>IF(AND(B30&gt;0,C30&gt;0),ABS(C30-B30)/B30,"")</f>
        <v/>
      </c>
      <c r="I30" s="18">
        <v>0.5</v>
      </c>
      <c r="J30" s="14"/>
      <c r="K30" s="14" t="s">
        <v>64</v>
      </c>
    </row>
    <row r="31" spans="1:11">
      <c r="A31" s="14" t="s">
        <v>71</v>
      </c>
      <c r="B31" s="15"/>
      <c r="C31" s="15">
        <v>26780.15</v>
      </c>
      <c r="D31" s="15">
        <v>22763</v>
      </c>
      <c r="E31" s="15">
        <v>30797</v>
      </c>
      <c r="F31" s="15">
        <v>26780.15</v>
      </c>
      <c r="G31" s="16" t="str">
        <f>IF(AND(B31&gt;0,F31&gt;0),(B31-F31)/F31,"")</f>
        <v/>
      </c>
      <c r="H31" s="17" t="str">
        <f>IF(AND(B31&gt;0,C31&gt;0),ABS(C31-B31)/B31,"")</f>
        <v/>
      </c>
      <c r="I31" s="18">
        <v>0.5</v>
      </c>
      <c r="J31" s="14"/>
      <c r="K31" s="14" t="s">
        <v>64</v>
      </c>
    </row>
    <row r="32" spans="1:11">
      <c r="A32" s="14" t="s">
        <v>72</v>
      </c>
      <c r="B32" s="15"/>
      <c r="C32" s="15">
        <v>26704.29</v>
      </c>
      <c r="D32" s="15">
        <v>22699</v>
      </c>
      <c r="E32" s="15">
        <v>30710</v>
      </c>
      <c r="F32" s="15">
        <v>26704.29</v>
      </c>
      <c r="G32" s="16" t="str">
        <f>IF(AND(B32&gt;0,F32&gt;0),(B32-F32)/F32,"")</f>
        <v/>
      </c>
      <c r="H32" s="17" t="str">
        <f>IF(AND(B32&gt;0,C32&gt;0),ABS(C32-B32)/B32,"")</f>
        <v/>
      </c>
      <c r="I32" s="18">
        <v>0.5</v>
      </c>
      <c r="J32" s="14"/>
      <c r="K32" s="14" t="s">
        <v>64</v>
      </c>
    </row>
    <row r="34" spans="1:14" ht="15.75">
      <c r="A34" s="76" t="s">
        <v>73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</row>
    <row r="35" spans="1:14">
      <c r="A35" s="13" t="s">
        <v>74</v>
      </c>
      <c r="B35" s="13" t="s">
        <v>75</v>
      </c>
      <c r="C35" s="13" t="s">
        <v>44</v>
      </c>
      <c r="D35" s="13" t="s">
        <v>76</v>
      </c>
      <c r="E35" s="13" t="s">
        <v>77</v>
      </c>
      <c r="F35" s="13" t="s">
        <v>45</v>
      </c>
      <c r="G35" s="13" t="s">
        <v>46</v>
      </c>
      <c r="H35" s="13" t="s">
        <v>47</v>
      </c>
      <c r="I35" s="13" t="s">
        <v>50</v>
      </c>
      <c r="J35" s="13" t="s">
        <v>49</v>
      </c>
      <c r="K35" s="13" t="s">
        <v>78</v>
      </c>
      <c r="L35" s="13" t="s">
        <v>18</v>
      </c>
      <c r="M35" s="13" t="s">
        <v>79</v>
      </c>
      <c r="N35" s="13" t="s">
        <v>80</v>
      </c>
    </row>
    <row r="36" spans="1:14">
      <c r="A36" s="3" t="s">
        <v>81</v>
      </c>
      <c r="B36" s="3">
        <v>1</v>
      </c>
      <c r="C36" s="4">
        <v>8107</v>
      </c>
      <c r="D36" s="5">
        <v>559432</v>
      </c>
      <c r="E36" s="6">
        <v>69.010000000000005</v>
      </c>
      <c r="F36" s="4"/>
      <c r="G36" s="4"/>
      <c r="H36" s="4"/>
      <c r="I36" s="21"/>
      <c r="J36" s="20" t="str">
        <f>IF(AND(C36&gt;0,F36&gt;0),ABS(F36-C36)/C36,"")</f>
        <v/>
      </c>
      <c r="K36" s="3" t="str">
        <f>IF(AND(C36&gt;0,G36&gt;0),IF(AND(C36&gt;=G36,C36&lt;=H36),"✓","✗"),"")</f>
        <v/>
      </c>
      <c r="L36" s="3"/>
      <c r="M36" s="4">
        <v>2373</v>
      </c>
      <c r="N36" s="4">
        <v>5734</v>
      </c>
    </row>
    <row r="37" spans="1:14">
      <c r="A37" s="8" t="s">
        <v>82</v>
      </c>
      <c r="B37" s="8">
        <v>2</v>
      </c>
      <c r="C37" s="9">
        <v>9060</v>
      </c>
      <c r="D37" s="10">
        <v>639407</v>
      </c>
      <c r="E37" s="11">
        <v>70.569999999999993</v>
      </c>
      <c r="F37" s="9"/>
      <c r="G37" s="9"/>
      <c r="H37" s="9"/>
      <c r="I37" s="24"/>
      <c r="J37" s="23" t="str">
        <f>IF(AND(C37&gt;0,F37&gt;0),ABS(F37-C37)/C37,"")</f>
        <v/>
      </c>
      <c r="K37" s="8" t="str">
        <f>IF(AND(C37&gt;0,G37&gt;0),IF(AND(C37&gt;=G37,C37&lt;=H37),"✓","✗"),"")</f>
        <v/>
      </c>
      <c r="L37" s="22">
        <f>IF(AND(C37&gt;0,C36&gt;0),(C37-C36)/C36,"")</f>
        <v>0.11755273220673491</v>
      </c>
      <c r="M37" s="9">
        <v>2957</v>
      </c>
      <c r="N37" s="9">
        <v>6103</v>
      </c>
    </row>
    <row r="38" spans="1:14">
      <c r="A38" s="3" t="s">
        <v>83</v>
      </c>
      <c r="B38" s="3">
        <v>3</v>
      </c>
      <c r="C38" s="4">
        <v>9133</v>
      </c>
      <c r="D38" s="5">
        <v>615693</v>
      </c>
      <c r="E38" s="6">
        <v>67.41</v>
      </c>
      <c r="F38" s="4"/>
      <c r="G38" s="4"/>
      <c r="H38" s="4"/>
      <c r="I38" s="21"/>
      <c r="J38" s="20" t="str">
        <f>IF(AND(C38&gt;0,F38&gt;0),ABS(F38-C38)/C38,"")</f>
        <v/>
      </c>
      <c r="K38" s="3" t="str">
        <f>IF(AND(C38&gt;0,G38&gt;0),IF(AND(C38&gt;=G38,C38&lt;=H38),"✓","✗"),"")</f>
        <v/>
      </c>
      <c r="L38" s="19">
        <f>IF(AND(C38&gt;0,C37&gt;0),(C38-C37)/C37,"")</f>
        <v>8.0573951434878589E-3</v>
      </c>
      <c r="M38" s="4">
        <v>2995</v>
      </c>
      <c r="N38" s="4">
        <v>6138</v>
      </c>
    </row>
    <row r="39" spans="1:14">
      <c r="A39" s="8" t="s">
        <v>84</v>
      </c>
      <c r="B39" s="8">
        <v>4</v>
      </c>
      <c r="C39" s="9">
        <v>8517</v>
      </c>
      <c r="D39" s="10">
        <v>598992</v>
      </c>
      <c r="E39" s="11">
        <v>70.33</v>
      </c>
      <c r="F39" s="9"/>
      <c r="G39" s="9"/>
      <c r="H39" s="9"/>
      <c r="I39" s="24"/>
      <c r="J39" s="23" t="str">
        <f>IF(AND(C39&gt;0,F39&gt;0),ABS(F39-C39)/C39,"")</f>
        <v/>
      </c>
      <c r="K39" s="8" t="str">
        <f>IF(AND(C39&gt;0,G39&gt;0),IF(AND(C39&gt;=G39,C39&lt;=H39),"✓","✗"),"")</f>
        <v/>
      </c>
      <c r="L39" s="22">
        <f>IF(AND(C39&gt;0,C38&gt;0),(C39-C38)/C38,"")</f>
        <v>-6.7447717069966051E-2</v>
      </c>
      <c r="M39" s="9">
        <v>2734</v>
      </c>
      <c r="N39" s="9">
        <v>5783</v>
      </c>
    </row>
    <row r="40" spans="1:14">
      <c r="A40" s="3" t="s">
        <v>85</v>
      </c>
      <c r="B40" s="3">
        <v>5</v>
      </c>
      <c r="C40" s="4">
        <v>8827</v>
      </c>
      <c r="D40" s="5">
        <v>606584</v>
      </c>
      <c r="E40" s="6">
        <v>68.72</v>
      </c>
      <c r="F40" s="4"/>
      <c r="G40" s="4"/>
      <c r="H40" s="4"/>
      <c r="I40" s="21"/>
      <c r="J40" s="20" t="str">
        <f>IF(AND(C40&gt;0,F40&gt;0),ABS(F40-C40)/C40,"")</f>
        <v/>
      </c>
      <c r="K40" s="3" t="str">
        <f>IF(AND(C40&gt;0,G40&gt;0),IF(AND(C40&gt;=G40,C40&lt;=H40),"✓","✗"),"")</f>
        <v/>
      </c>
      <c r="L40" s="19">
        <f>IF(AND(C40&gt;0,C39&gt;0),(C40-C39)/C39,"")</f>
        <v>3.6397792649994126E-2</v>
      </c>
      <c r="M40" s="4">
        <v>2895</v>
      </c>
      <c r="N40" s="4">
        <v>5932</v>
      </c>
    </row>
    <row r="41" spans="1:14">
      <c r="A41" s="8" t="s">
        <v>86</v>
      </c>
      <c r="B41" s="8">
        <v>6</v>
      </c>
      <c r="C41" s="9">
        <v>8852</v>
      </c>
      <c r="D41" s="10">
        <v>701435</v>
      </c>
      <c r="E41" s="11">
        <v>79.239999999999995</v>
      </c>
      <c r="F41" s="9"/>
      <c r="G41" s="9"/>
      <c r="H41" s="9"/>
      <c r="I41" s="24"/>
      <c r="J41" s="23" t="str">
        <f>IF(AND(C41&gt;0,F41&gt;0),ABS(F41-C41)/C41,"")</f>
        <v/>
      </c>
      <c r="K41" s="8" t="str">
        <f>IF(AND(C41&gt;0,G41&gt;0),IF(AND(C41&gt;=G41,C41&lt;=H41),"✓","✗"),"")</f>
        <v/>
      </c>
      <c r="L41" s="22">
        <f>IF(AND(C41&gt;0,C40&gt;0),(C41-C40)/C40,"")</f>
        <v>2.8322193270646878E-3</v>
      </c>
      <c r="M41" s="9">
        <v>2867</v>
      </c>
      <c r="N41" s="9">
        <v>5985</v>
      </c>
    </row>
    <row r="42" spans="1:14">
      <c r="A42" s="3" t="s">
        <v>87</v>
      </c>
      <c r="B42" s="3">
        <v>7</v>
      </c>
      <c r="C42" s="4">
        <v>7727</v>
      </c>
      <c r="D42" s="5">
        <v>718117</v>
      </c>
      <c r="E42" s="6">
        <v>92.94</v>
      </c>
      <c r="F42" s="4"/>
      <c r="G42" s="4"/>
      <c r="H42" s="4"/>
      <c r="I42" s="21"/>
      <c r="J42" s="20" t="str">
        <f>IF(AND(C42&gt;0,F42&gt;0),ABS(F42-C42)/C42,"")</f>
        <v/>
      </c>
      <c r="K42" s="3" t="str">
        <f>IF(AND(C42&gt;0,G42&gt;0),IF(AND(C42&gt;=G42,C42&lt;=H42),"✓","✗"),"")</f>
        <v/>
      </c>
      <c r="L42" s="19">
        <f>IF(AND(C42&gt;0,C41&gt;0),(C42-C41)/C41,"")</f>
        <v>-0.12708992318120199</v>
      </c>
      <c r="M42" s="4">
        <v>2490</v>
      </c>
      <c r="N42" s="4">
        <v>5237</v>
      </c>
    </row>
    <row r="43" spans="1:14">
      <c r="A43" s="8" t="s">
        <v>88</v>
      </c>
      <c r="B43" s="8">
        <v>8</v>
      </c>
      <c r="C43" s="9">
        <v>7948</v>
      </c>
      <c r="D43" s="10">
        <v>666881</v>
      </c>
      <c r="E43" s="11">
        <v>83.91</v>
      </c>
      <c r="F43" s="9"/>
      <c r="G43" s="9"/>
      <c r="H43" s="9"/>
      <c r="I43" s="24"/>
      <c r="J43" s="23" t="str">
        <f>IF(AND(C43&gt;0,F43&gt;0),ABS(F43-C43)/C43,"")</f>
        <v/>
      </c>
      <c r="K43" s="8" t="str">
        <f>IF(AND(C43&gt;0,G43&gt;0),IF(AND(C43&gt;=G43,C43&lt;=H43),"✓","✗"),"")</f>
        <v/>
      </c>
      <c r="L43" s="22">
        <f>IF(AND(C43&gt;0,C42&gt;0),(C43-C42)/C42,"")</f>
        <v>2.8601009447392262E-2</v>
      </c>
      <c r="M43" s="9">
        <v>2582</v>
      </c>
      <c r="N43" s="9">
        <v>5366</v>
      </c>
    </row>
    <row r="44" spans="1:14">
      <c r="A44" s="3" t="s">
        <v>89</v>
      </c>
      <c r="B44" s="3">
        <v>9</v>
      </c>
      <c r="C44" s="4">
        <v>8007</v>
      </c>
      <c r="D44" s="5">
        <v>655795</v>
      </c>
      <c r="E44" s="6">
        <v>81.900000000000006</v>
      </c>
      <c r="F44" s="4"/>
      <c r="G44" s="4"/>
      <c r="H44" s="4"/>
      <c r="I44" s="21"/>
      <c r="J44" s="20" t="str">
        <f>IF(AND(C44&gt;0,F44&gt;0),ABS(F44-C44)/C44,"")</f>
        <v/>
      </c>
      <c r="K44" s="3" t="str">
        <f>IF(AND(C44&gt;0,G44&gt;0),IF(AND(C44&gt;=G44,C44&lt;=H44),"✓","✗"),"")</f>
        <v/>
      </c>
      <c r="L44" s="19">
        <f>IF(AND(C44&gt;0,C43&gt;0),(C44-C43)/C43,"")</f>
        <v>7.4232511323603419E-3</v>
      </c>
      <c r="M44" s="4">
        <v>2476</v>
      </c>
      <c r="N44" s="4">
        <v>5531</v>
      </c>
    </row>
    <row r="45" spans="1:14">
      <c r="A45" s="8" t="s">
        <v>90</v>
      </c>
      <c r="B45" s="8">
        <v>10</v>
      </c>
      <c r="C45" s="9">
        <v>7535</v>
      </c>
      <c r="D45" s="10">
        <v>599583</v>
      </c>
      <c r="E45" s="11">
        <v>79.569999999999993</v>
      </c>
      <c r="F45" s="9"/>
      <c r="G45" s="9"/>
      <c r="H45" s="9"/>
      <c r="I45" s="24"/>
      <c r="J45" s="23" t="str">
        <f>IF(AND(C45&gt;0,F45&gt;0),ABS(F45-C45)/C45,"")</f>
        <v/>
      </c>
      <c r="K45" s="8" t="str">
        <f>IF(AND(C45&gt;0,G45&gt;0),IF(AND(C45&gt;=G45,C45&lt;=H45),"✓","✗"),"")</f>
        <v/>
      </c>
      <c r="L45" s="22">
        <f>IF(AND(C45&gt;0,C44&gt;0),(C45-C44)/C44,"")</f>
        <v>-5.8948420132384161E-2</v>
      </c>
      <c r="M45" s="9">
        <v>2420</v>
      </c>
      <c r="N45" s="9">
        <v>5115</v>
      </c>
    </row>
    <row r="46" spans="1:14">
      <c r="A46" s="3" t="s">
        <v>91</v>
      </c>
      <c r="B46" s="3">
        <v>11</v>
      </c>
      <c r="C46" s="4">
        <v>8281</v>
      </c>
      <c r="D46" s="5">
        <v>645300</v>
      </c>
      <c r="E46" s="6">
        <v>77.930000000000007</v>
      </c>
      <c r="F46" s="4"/>
      <c r="G46" s="4"/>
      <c r="H46" s="4"/>
      <c r="I46" s="21"/>
      <c r="J46" s="20" t="str">
        <f>IF(AND(C46&gt;0,F46&gt;0),ABS(F46-C46)/C46,"")</f>
        <v/>
      </c>
      <c r="K46" s="3" t="str">
        <f>IF(AND(C46&gt;0,G46&gt;0),IF(AND(C46&gt;=G46,C46&lt;=H46),"✓","✗"),"")</f>
        <v/>
      </c>
      <c r="L46" s="19">
        <f>IF(AND(C46&gt;0,C45&gt;0),(C46-C45)/C45,"")</f>
        <v>9.900464499004645E-2</v>
      </c>
      <c r="M46" s="4">
        <v>2497</v>
      </c>
      <c r="N46" s="4">
        <v>5784</v>
      </c>
    </row>
    <row r="47" spans="1:14">
      <c r="A47" s="8" t="s">
        <v>92</v>
      </c>
      <c r="B47" s="8">
        <v>12</v>
      </c>
      <c r="C47" s="9">
        <v>8129</v>
      </c>
      <c r="D47" s="10">
        <v>598574</v>
      </c>
      <c r="E47" s="11">
        <v>73.63</v>
      </c>
      <c r="F47" s="9"/>
      <c r="G47" s="9"/>
      <c r="H47" s="9"/>
      <c r="I47" s="24"/>
      <c r="J47" s="23" t="str">
        <f>IF(AND(C47&gt;0,F47&gt;0),ABS(F47-C47)/C47,"")</f>
        <v/>
      </c>
      <c r="K47" s="8" t="str">
        <f>IF(AND(C47&gt;0,G47&gt;0),IF(AND(C47&gt;=G47,C47&lt;=H47),"✓","✗"),"")</f>
        <v/>
      </c>
      <c r="L47" s="22">
        <f>IF(AND(C47&gt;0,C46&gt;0),(C47-C46)/C46,"")</f>
        <v>-1.835527110252385E-2</v>
      </c>
      <c r="M47" s="9">
        <v>2504</v>
      </c>
      <c r="N47" s="9">
        <v>5625</v>
      </c>
    </row>
    <row r="48" spans="1:14">
      <c r="A48" s="3" t="s">
        <v>93</v>
      </c>
      <c r="B48" s="3">
        <v>13</v>
      </c>
      <c r="C48" s="4">
        <v>8619</v>
      </c>
      <c r="D48" s="5">
        <v>582890</v>
      </c>
      <c r="E48" s="6">
        <v>67.63</v>
      </c>
      <c r="F48" s="4"/>
      <c r="G48" s="4"/>
      <c r="H48" s="4"/>
      <c r="I48" s="21"/>
      <c r="J48" s="20" t="str">
        <f>IF(AND(C48&gt;0,F48&gt;0),ABS(F48-C48)/C48,"")</f>
        <v/>
      </c>
      <c r="K48" s="3" t="str">
        <f>IF(AND(C48&gt;0,G48&gt;0),IF(AND(C48&gt;=G48,C48&lt;=H48),"✓","✗"),"")</f>
        <v/>
      </c>
      <c r="L48" s="19">
        <f>IF(AND(C48&gt;0,C47&gt;0),(C48-C47)/C47,"")</f>
        <v>6.0278016976257842E-2</v>
      </c>
      <c r="M48" s="4">
        <v>2639</v>
      </c>
      <c r="N48" s="4">
        <v>5980</v>
      </c>
    </row>
    <row r="49" spans="1:14">
      <c r="A49" s="8" t="s">
        <v>94</v>
      </c>
      <c r="B49" s="8">
        <v>14</v>
      </c>
      <c r="C49" s="9">
        <v>7559</v>
      </c>
      <c r="D49" s="10">
        <v>667731</v>
      </c>
      <c r="E49" s="11">
        <v>88.34</v>
      </c>
      <c r="F49" s="9"/>
      <c r="G49" s="9"/>
      <c r="H49" s="9"/>
      <c r="I49" s="24"/>
      <c r="J49" s="23" t="str">
        <f>IF(AND(C49&gt;0,F49&gt;0),ABS(F49-C49)/C49,"")</f>
        <v/>
      </c>
      <c r="K49" s="8" t="str">
        <f>IF(AND(C49&gt;0,G49&gt;0),IF(AND(C49&gt;=G49,C49&lt;=H49),"✓","✗"),"")</f>
        <v/>
      </c>
      <c r="L49" s="22">
        <f>IF(AND(C49&gt;0,C48&gt;0),(C49-C48)/C48,"")</f>
        <v>-0.12298410488455737</v>
      </c>
      <c r="M49" s="9">
        <v>2091</v>
      </c>
      <c r="N49" s="9">
        <v>5468</v>
      </c>
    </row>
    <row r="50" spans="1:14">
      <c r="A50" s="3" t="s">
        <v>95</v>
      </c>
      <c r="B50" s="3">
        <v>15</v>
      </c>
      <c r="C50" s="4">
        <v>9236</v>
      </c>
      <c r="D50" s="5">
        <v>678282</v>
      </c>
      <c r="E50" s="6">
        <v>73.44</v>
      </c>
      <c r="F50" s="4"/>
      <c r="G50" s="4"/>
      <c r="H50" s="4"/>
      <c r="I50" s="21"/>
      <c r="J50" s="20" t="str">
        <f>IF(AND(C50&gt;0,F50&gt;0),ABS(F50-C50)/C50,"")</f>
        <v/>
      </c>
      <c r="K50" s="3" t="str">
        <f>IF(AND(C50&gt;0,G50&gt;0),IF(AND(C50&gt;=G50,C50&lt;=H50),"✓","✗"),"")</f>
        <v/>
      </c>
      <c r="L50" s="19">
        <f>IF(AND(C50&gt;0,C49&gt;0),(C50-C49)/C49,"")</f>
        <v>0.22185474269083211</v>
      </c>
      <c r="M50" s="4">
        <v>2696</v>
      </c>
      <c r="N50" s="4">
        <v>6540</v>
      </c>
    </row>
    <row r="51" spans="1:14">
      <c r="A51" s="14" t="s">
        <v>96</v>
      </c>
      <c r="B51" s="14">
        <v>16</v>
      </c>
      <c r="C51" s="14"/>
      <c r="D51" s="14"/>
      <c r="E51" s="14"/>
      <c r="F51" s="15">
        <v>7769</v>
      </c>
      <c r="G51" s="15">
        <v>6215</v>
      </c>
      <c r="H51" s="15">
        <v>9323</v>
      </c>
      <c r="I51" s="18">
        <v>0.4</v>
      </c>
      <c r="J51" s="17" t="str">
        <f>IF(AND(C51&gt;0,F51&gt;0),ABS(F51-C51)/C51,"")</f>
        <v/>
      </c>
      <c r="K51" s="14" t="str">
        <f>IF(AND(C51&gt;0,G51&gt;0),IF(AND(C51&gt;=G51,C51&lt;=H51),"✓","✗"),"")</f>
        <v/>
      </c>
      <c r="L51" s="16" t="str">
        <f>IF(AND(C51&gt;0,C50&gt;0),(C51-C50)/C50,"")</f>
        <v/>
      </c>
      <c r="M51" s="14"/>
      <c r="N51" s="14"/>
    </row>
    <row r="52" spans="1:14">
      <c r="A52" s="14" t="s">
        <v>97</v>
      </c>
      <c r="B52" s="14">
        <v>17</v>
      </c>
      <c r="C52" s="14"/>
      <c r="D52" s="14"/>
      <c r="E52" s="14"/>
      <c r="F52" s="15">
        <v>7769</v>
      </c>
      <c r="G52" s="15">
        <v>6215</v>
      </c>
      <c r="H52" s="15">
        <v>9323</v>
      </c>
      <c r="I52" s="18">
        <v>0.4</v>
      </c>
      <c r="J52" s="17" t="str">
        <f>IF(AND(C52&gt;0,F52&gt;0),ABS(F52-C52)/C52,"")</f>
        <v/>
      </c>
      <c r="K52" s="14" t="str">
        <f>IF(AND(C52&gt;0,G52&gt;0),IF(AND(C52&gt;=G52,C52&lt;=H52),"✓","✗"),"")</f>
        <v/>
      </c>
      <c r="L52" s="16" t="str">
        <f>IF(AND(C52&gt;0,C51&gt;0),(C52-C51)/C51,"")</f>
        <v/>
      </c>
      <c r="M52" s="14"/>
      <c r="N52" s="14"/>
    </row>
    <row r="53" spans="1:14">
      <c r="A53" s="14" t="s">
        <v>98</v>
      </c>
      <c r="B53" s="14">
        <v>18</v>
      </c>
      <c r="C53" s="14"/>
      <c r="D53" s="14"/>
      <c r="E53" s="14"/>
      <c r="F53" s="15">
        <v>6207</v>
      </c>
      <c r="G53" s="15">
        <v>4966</v>
      </c>
      <c r="H53" s="15">
        <v>7448</v>
      </c>
      <c r="I53" s="18">
        <v>0.4</v>
      </c>
      <c r="J53" s="17" t="str">
        <f>IF(AND(C53&gt;0,F53&gt;0),ABS(F53-C53)/C53,"")</f>
        <v/>
      </c>
      <c r="K53" s="14" t="str">
        <f>IF(AND(C53&gt;0,G53&gt;0),IF(AND(C53&gt;=G53,C53&lt;=H53),"✓","✗"),"")</f>
        <v/>
      </c>
      <c r="L53" s="16" t="str">
        <f>IF(AND(C53&gt;0,C52&gt;0),(C53-C52)/C52,"")</f>
        <v/>
      </c>
      <c r="M53" s="14"/>
      <c r="N53" s="14"/>
    </row>
    <row r="54" spans="1:14">
      <c r="A54" s="14" t="s">
        <v>99</v>
      </c>
      <c r="B54" s="14">
        <v>19</v>
      </c>
      <c r="C54" s="14"/>
      <c r="D54" s="14"/>
      <c r="E54" s="14"/>
      <c r="F54" s="15">
        <v>6207</v>
      </c>
      <c r="G54" s="15">
        <v>4966</v>
      </c>
      <c r="H54" s="15">
        <v>7448</v>
      </c>
      <c r="I54" s="18">
        <v>0.4</v>
      </c>
      <c r="J54" s="17" t="str">
        <f>IF(AND(C54&gt;0,F54&gt;0),ABS(F54-C54)/C54,"")</f>
        <v/>
      </c>
      <c r="K54" s="14" t="str">
        <f>IF(AND(C54&gt;0,G54&gt;0),IF(AND(C54&gt;=G54,C54&lt;=H54),"✓","✗"),"")</f>
        <v/>
      </c>
      <c r="L54" s="16" t="str">
        <f>IF(AND(C54&gt;0,C53&gt;0),(C54-C53)/C53,"")</f>
        <v/>
      </c>
      <c r="M54" s="14"/>
      <c r="N54" s="14"/>
    </row>
    <row r="55" spans="1:14">
      <c r="A55" s="14" t="s">
        <v>100</v>
      </c>
      <c r="B55" s="14">
        <v>20</v>
      </c>
      <c r="C55" s="14"/>
      <c r="D55" s="14"/>
      <c r="E55" s="14"/>
      <c r="F55" s="15">
        <v>6207</v>
      </c>
      <c r="G55" s="15">
        <v>4966</v>
      </c>
      <c r="H55" s="15">
        <v>7448</v>
      </c>
      <c r="I55" s="18">
        <v>0.4</v>
      </c>
      <c r="J55" s="17" t="str">
        <f>IF(AND(C55&gt;0,F55&gt;0),ABS(F55-C55)/C55,"")</f>
        <v/>
      </c>
      <c r="K55" s="14" t="str">
        <f>IF(AND(C55&gt;0,G55&gt;0),IF(AND(C55&gt;=G55,C55&lt;=H55),"✓","✗"),"")</f>
        <v/>
      </c>
      <c r="L55" s="16" t="str">
        <f>IF(AND(C55&gt;0,C54&gt;0),(C55-C54)/C54,"")</f>
        <v/>
      </c>
      <c r="M55" s="14"/>
      <c r="N55" s="14"/>
    </row>
    <row r="56" spans="1:14">
      <c r="A56" s="14" t="s">
        <v>101</v>
      </c>
      <c r="B56" s="14">
        <v>21</v>
      </c>
      <c r="C56" s="14"/>
      <c r="D56" s="14"/>
      <c r="E56" s="14"/>
      <c r="F56" s="15">
        <v>6207</v>
      </c>
      <c r="G56" s="15">
        <v>4966</v>
      </c>
      <c r="H56" s="15">
        <v>7448</v>
      </c>
      <c r="I56" s="18">
        <v>0.4</v>
      </c>
      <c r="J56" s="17" t="str">
        <f>IF(AND(C56&gt;0,F56&gt;0),ABS(F56-C56)/C56,"")</f>
        <v/>
      </c>
      <c r="K56" s="14" t="str">
        <f>IF(AND(C56&gt;0,G56&gt;0),IF(AND(C56&gt;=G56,C56&lt;=H56),"✓","✗"),"")</f>
        <v/>
      </c>
      <c r="L56" s="16" t="str">
        <f>IF(AND(C56&gt;0,C55&gt;0),(C56-C55)/C55,"")</f>
        <v/>
      </c>
      <c r="M56" s="14"/>
      <c r="N56" s="14"/>
    </row>
    <row r="57" spans="1:14">
      <c r="A57" s="14" t="s">
        <v>102</v>
      </c>
      <c r="B57" s="14">
        <v>22</v>
      </c>
      <c r="C57" s="14"/>
      <c r="D57" s="14"/>
      <c r="E57" s="14"/>
      <c r="F57" s="15">
        <v>6207</v>
      </c>
      <c r="G57" s="15">
        <v>4966</v>
      </c>
      <c r="H57" s="15">
        <v>7448</v>
      </c>
      <c r="I57" s="18">
        <v>0.4</v>
      </c>
      <c r="J57" s="17" t="str">
        <f>IF(AND(C57&gt;0,F57&gt;0),ABS(F57-C57)/C57,"")</f>
        <v/>
      </c>
      <c r="K57" s="14" t="str">
        <f>IF(AND(C57&gt;0,G57&gt;0),IF(AND(C57&gt;=G57,C57&lt;=H57),"✓","✗"),"")</f>
        <v/>
      </c>
      <c r="L57" s="16" t="str">
        <f>IF(AND(C57&gt;0,C56&gt;0),(C57-C56)/C56,"")</f>
        <v/>
      </c>
      <c r="M57" s="14"/>
      <c r="N57" s="14"/>
    </row>
    <row r="58" spans="1:14">
      <c r="A58" s="14" t="s">
        <v>103</v>
      </c>
      <c r="B58" s="14">
        <v>23</v>
      </c>
      <c r="C58" s="14"/>
      <c r="D58" s="14"/>
      <c r="E58" s="14"/>
      <c r="F58" s="15">
        <v>7473</v>
      </c>
      <c r="G58" s="15">
        <v>5978</v>
      </c>
      <c r="H58" s="15">
        <v>8968</v>
      </c>
      <c r="I58" s="18">
        <v>0.4</v>
      </c>
      <c r="J58" s="17" t="str">
        <f>IF(AND(C58&gt;0,F58&gt;0),ABS(F58-C58)/C58,"")</f>
        <v/>
      </c>
      <c r="K58" s="14" t="str">
        <f>IF(AND(C58&gt;0,G58&gt;0),IF(AND(C58&gt;=G58,C58&lt;=H58),"✓","✗"),"")</f>
        <v/>
      </c>
      <c r="L58" s="16" t="str">
        <f>IF(AND(C58&gt;0,C57&gt;0),(C58-C57)/C57,"")</f>
        <v/>
      </c>
      <c r="M58" s="14"/>
      <c r="N58" s="14"/>
    </row>
    <row r="59" spans="1:14">
      <c r="A59" s="14" t="s">
        <v>104</v>
      </c>
      <c r="B59" s="14">
        <v>24</v>
      </c>
      <c r="C59" s="14"/>
      <c r="D59" s="14"/>
      <c r="E59" s="14"/>
      <c r="F59" s="15">
        <v>7473</v>
      </c>
      <c r="G59" s="15">
        <v>5978</v>
      </c>
      <c r="H59" s="15">
        <v>8968</v>
      </c>
      <c r="I59" s="18">
        <v>0.4</v>
      </c>
      <c r="J59" s="17" t="str">
        <f>IF(AND(C59&gt;0,F59&gt;0),ABS(F59-C59)/C59,"")</f>
        <v/>
      </c>
      <c r="K59" s="14" t="str">
        <f>IF(AND(C59&gt;0,G59&gt;0),IF(AND(C59&gt;=G59,C59&lt;=H59),"✓","✗"),"")</f>
        <v/>
      </c>
      <c r="L59" s="16" t="str">
        <f>IF(AND(C59&gt;0,C58&gt;0),(C59-C58)/C58,"")</f>
        <v/>
      </c>
      <c r="M59" s="14"/>
      <c r="N59" s="14"/>
    </row>
    <row r="60" spans="1:14">
      <c r="A60" s="14" t="s">
        <v>105</v>
      </c>
      <c r="B60" s="14">
        <v>25</v>
      </c>
      <c r="C60" s="14"/>
      <c r="D60" s="14"/>
      <c r="E60" s="14"/>
      <c r="F60" s="15">
        <v>7473</v>
      </c>
      <c r="G60" s="15">
        <v>5978</v>
      </c>
      <c r="H60" s="15">
        <v>8968</v>
      </c>
      <c r="I60" s="18">
        <v>0.4</v>
      </c>
      <c r="J60" s="17" t="str">
        <f>IF(AND(C60&gt;0,F60&gt;0),ABS(F60-C60)/C60,"")</f>
        <v/>
      </c>
      <c r="K60" s="14" t="str">
        <f>IF(AND(C60&gt;0,G60&gt;0),IF(AND(C60&gt;=G60,C60&lt;=H60),"✓","✗"),"")</f>
        <v/>
      </c>
      <c r="L60" s="16" t="str">
        <f>IF(AND(C60&gt;0,C59&gt;0),(C60-C59)/C59,"")</f>
        <v/>
      </c>
      <c r="M60" s="14"/>
      <c r="N60" s="14"/>
    </row>
    <row r="61" spans="1:14">
      <c r="A61" s="14" t="s">
        <v>106</v>
      </c>
      <c r="B61" s="14">
        <v>26</v>
      </c>
      <c r="C61" s="14"/>
      <c r="D61" s="14"/>
      <c r="E61" s="14"/>
      <c r="F61" s="15">
        <v>7473</v>
      </c>
      <c r="G61" s="15">
        <v>5978</v>
      </c>
      <c r="H61" s="15">
        <v>8968</v>
      </c>
      <c r="I61" s="18">
        <v>0.4</v>
      </c>
      <c r="J61" s="17" t="str">
        <f>IF(AND(C61&gt;0,F61&gt;0),ABS(F61-C61)/C61,"")</f>
        <v/>
      </c>
      <c r="K61" s="14" t="str">
        <f>IF(AND(C61&gt;0,G61&gt;0),IF(AND(C61&gt;=G61,C61&lt;=H61),"✓","✗"),"")</f>
        <v/>
      </c>
      <c r="L61" s="16" t="str">
        <f>IF(AND(C61&gt;0,C60&gt;0),(C61-C60)/C60,"")</f>
        <v/>
      </c>
      <c r="M61" s="14"/>
      <c r="N61" s="14"/>
    </row>
    <row r="62" spans="1:14">
      <c r="A62" s="14" t="s">
        <v>107</v>
      </c>
      <c r="B62" s="14">
        <v>27</v>
      </c>
      <c r="C62" s="14"/>
      <c r="D62" s="14"/>
      <c r="E62" s="14"/>
      <c r="F62" s="15">
        <v>6432</v>
      </c>
      <c r="G62" s="15">
        <v>5146</v>
      </c>
      <c r="H62" s="15">
        <v>7718</v>
      </c>
      <c r="I62" s="18">
        <v>0.4</v>
      </c>
      <c r="J62" s="17" t="str">
        <f>IF(AND(C62&gt;0,F62&gt;0),ABS(F62-C62)/C62,"")</f>
        <v/>
      </c>
      <c r="K62" s="14" t="str">
        <f>IF(AND(C62&gt;0,G62&gt;0),IF(AND(C62&gt;=G62,C62&lt;=H62),"✓","✗"),"")</f>
        <v/>
      </c>
      <c r="L62" s="16" t="str">
        <f>IF(AND(C62&gt;0,C61&gt;0),(C62-C61)/C61,"")</f>
        <v/>
      </c>
      <c r="M62" s="14"/>
      <c r="N62" s="14"/>
    </row>
    <row r="63" spans="1:14">
      <c r="A63" s="14" t="s">
        <v>108</v>
      </c>
      <c r="B63" s="14">
        <v>28</v>
      </c>
      <c r="C63" s="14"/>
      <c r="D63" s="14"/>
      <c r="E63" s="14"/>
      <c r="F63" s="15">
        <v>6432</v>
      </c>
      <c r="G63" s="15">
        <v>5146</v>
      </c>
      <c r="H63" s="15">
        <v>7718</v>
      </c>
      <c r="I63" s="18">
        <v>0.4</v>
      </c>
      <c r="J63" s="17" t="str">
        <f>IF(AND(C63&gt;0,F63&gt;0),ABS(F63-C63)/C63,"")</f>
        <v/>
      </c>
      <c r="K63" s="14" t="str">
        <f>IF(AND(C63&gt;0,G63&gt;0),IF(AND(C63&gt;=G63,C63&lt;=H63),"✓","✗"),"")</f>
        <v/>
      </c>
      <c r="L63" s="16" t="str">
        <f>IF(AND(C63&gt;0,C62&gt;0),(C63-C62)/C62,"")</f>
        <v/>
      </c>
      <c r="M63" s="14"/>
      <c r="N63" s="14"/>
    </row>
    <row r="64" spans="1:14">
      <c r="A64" s="14" t="s">
        <v>109</v>
      </c>
      <c r="B64" s="14">
        <v>29</v>
      </c>
      <c r="C64" s="14"/>
      <c r="D64" s="14"/>
      <c r="E64" s="14"/>
      <c r="F64" s="15">
        <v>6432</v>
      </c>
      <c r="G64" s="15">
        <v>5146</v>
      </c>
      <c r="H64" s="15">
        <v>7718</v>
      </c>
      <c r="I64" s="18">
        <v>0.4</v>
      </c>
      <c r="J64" s="17" t="str">
        <f>IF(AND(C64&gt;0,F64&gt;0),ABS(F64-C64)/C64,"")</f>
        <v/>
      </c>
      <c r="K64" s="14" t="str">
        <f>IF(AND(C64&gt;0,G64&gt;0),IF(AND(C64&gt;=G64,C64&lt;=H64),"✓","✗"),"")</f>
        <v/>
      </c>
      <c r="L64" s="16" t="str">
        <f>IF(AND(C64&gt;0,C63&gt;0),(C64-C63)/C63,"")</f>
        <v/>
      </c>
      <c r="M64" s="14"/>
      <c r="N64" s="14"/>
    </row>
    <row r="65" spans="1:14">
      <c r="A65" s="14" t="s">
        <v>110</v>
      </c>
      <c r="B65" s="14">
        <v>30</v>
      </c>
      <c r="C65" s="14"/>
      <c r="D65" s="14"/>
      <c r="E65" s="14"/>
      <c r="F65" s="15">
        <v>6432</v>
      </c>
      <c r="G65" s="15">
        <v>5146</v>
      </c>
      <c r="H65" s="15">
        <v>7718</v>
      </c>
      <c r="I65" s="18">
        <v>0.4</v>
      </c>
      <c r="J65" s="17" t="str">
        <f>IF(AND(C65&gt;0,F65&gt;0),ABS(F65-C65)/C65,"")</f>
        <v/>
      </c>
      <c r="K65" s="14" t="str">
        <f>IF(AND(C65&gt;0,G65&gt;0),IF(AND(C65&gt;=G65,C65&lt;=H65),"✓","✗"),"")</f>
        <v/>
      </c>
      <c r="L65" s="16" t="str">
        <f>IF(AND(C65&gt;0,C64&gt;0),(C65-C64)/C64,"")</f>
        <v/>
      </c>
      <c r="M65" s="14"/>
      <c r="N65" s="14"/>
    </row>
    <row r="66" spans="1:14">
      <c r="A66" s="14" t="s">
        <v>111</v>
      </c>
      <c r="B66" s="14">
        <v>31</v>
      </c>
      <c r="C66" s="14"/>
      <c r="D66" s="14"/>
      <c r="E66" s="14"/>
      <c r="F66" s="15">
        <v>6432</v>
      </c>
      <c r="G66" s="15">
        <v>5146</v>
      </c>
      <c r="H66" s="15">
        <v>7718</v>
      </c>
      <c r="I66" s="18">
        <v>0.4</v>
      </c>
      <c r="J66" s="17" t="str">
        <f>IF(AND(C66&gt;0,F66&gt;0),ABS(F66-C66)/C66,"")</f>
        <v/>
      </c>
      <c r="K66" s="14" t="str">
        <f>IF(AND(C66&gt;0,G66&gt;0),IF(AND(C66&gt;=G66,C66&lt;=H66),"✓","✗"),"")</f>
        <v/>
      </c>
      <c r="L66" s="16" t="str">
        <f>IF(AND(C66&gt;0,C65&gt;0),(C66-C65)/C65,"")</f>
        <v/>
      </c>
      <c r="M66" s="14"/>
      <c r="N66" s="14"/>
    </row>
    <row r="67" spans="1:14">
      <c r="A67" s="14" t="s">
        <v>112</v>
      </c>
      <c r="B67" s="14">
        <v>32</v>
      </c>
      <c r="C67" s="14"/>
      <c r="D67" s="14"/>
      <c r="E67" s="14"/>
      <c r="F67" s="15">
        <v>7708</v>
      </c>
      <c r="G67" s="15">
        <v>6166</v>
      </c>
      <c r="H67" s="15">
        <v>9250</v>
      </c>
      <c r="I67" s="18">
        <v>0.4</v>
      </c>
      <c r="J67" s="17" t="str">
        <f>IF(AND(C67&gt;0,F67&gt;0),ABS(F67-C67)/C67,"")</f>
        <v/>
      </c>
      <c r="K67" s="14" t="str">
        <f>IF(AND(C67&gt;0,G67&gt;0),IF(AND(C67&gt;=G67,C67&lt;=H67),"✓","✗"),"")</f>
        <v/>
      </c>
      <c r="L67" s="16" t="str">
        <f>IF(AND(C67&gt;0,C66&gt;0),(C67-C66)/C66,"")</f>
        <v/>
      </c>
      <c r="M67" s="14"/>
      <c r="N67" s="14"/>
    </row>
    <row r="68" spans="1:14">
      <c r="A68" s="14" t="s">
        <v>113</v>
      </c>
      <c r="B68" s="14">
        <v>33</v>
      </c>
      <c r="C68" s="14"/>
      <c r="D68" s="14"/>
      <c r="E68" s="14"/>
      <c r="F68" s="15">
        <v>7708</v>
      </c>
      <c r="G68" s="15">
        <v>6166</v>
      </c>
      <c r="H68" s="15">
        <v>9250</v>
      </c>
      <c r="I68" s="18">
        <v>0.4</v>
      </c>
      <c r="J68" s="17" t="str">
        <f>IF(AND(C68&gt;0,F68&gt;0),ABS(F68-C68)/C68,"")</f>
        <v/>
      </c>
      <c r="K68" s="14" t="str">
        <f>IF(AND(C68&gt;0,G68&gt;0),IF(AND(C68&gt;=G68,C68&lt;=H68),"✓","✗"),"")</f>
        <v/>
      </c>
      <c r="L68" s="16" t="str">
        <f>IF(AND(C68&gt;0,C67&gt;0),(C68-C67)/C67,"")</f>
        <v/>
      </c>
      <c r="M68" s="14"/>
      <c r="N68" s="14"/>
    </row>
    <row r="69" spans="1:14">
      <c r="A69" s="14" t="s">
        <v>114</v>
      </c>
      <c r="B69" s="14">
        <v>34</v>
      </c>
      <c r="C69" s="14"/>
      <c r="D69" s="14"/>
      <c r="E69" s="14"/>
      <c r="F69" s="15">
        <v>7708</v>
      </c>
      <c r="G69" s="15">
        <v>6166</v>
      </c>
      <c r="H69" s="15">
        <v>9250</v>
      </c>
      <c r="I69" s="18">
        <v>0.4</v>
      </c>
      <c r="J69" s="17" t="str">
        <f>IF(AND(C69&gt;0,F69&gt;0),ABS(F69-C69)/C69,"")</f>
        <v/>
      </c>
      <c r="K69" s="14" t="str">
        <f>IF(AND(C69&gt;0,G69&gt;0),IF(AND(C69&gt;=G69,C69&lt;=H69),"✓","✗"),"")</f>
        <v/>
      </c>
      <c r="L69" s="16" t="str">
        <f>IF(AND(C69&gt;0,C68&gt;0),(C69-C68)/C68,"")</f>
        <v/>
      </c>
      <c r="M69" s="14"/>
      <c r="N69" s="14"/>
    </row>
    <row r="70" spans="1:14">
      <c r="A70" s="14" t="s">
        <v>115</v>
      </c>
      <c r="B70" s="14">
        <v>35</v>
      </c>
      <c r="C70" s="14"/>
      <c r="D70" s="14"/>
      <c r="E70" s="14"/>
      <c r="F70" s="15">
        <v>7708</v>
      </c>
      <c r="G70" s="15">
        <v>6166</v>
      </c>
      <c r="H70" s="15">
        <v>9250</v>
      </c>
      <c r="I70" s="18">
        <v>0.4</v>
      </c>
      <c r="J70" s="17" t="str">
        <f>IF(AND(C70&gt;0,F70&gt;0),ABS(F70-C70)/C70,"")</f>
        <v/>
      </c>
      <c r="K70" s="14" t="str">
        <f>IF(AND(C70&gt;0,G70&gt;0),IF(AND(C70&gt;=G70,C70&lt;=H70),"✓","✗"),"")</f>
        <v/>
      </c>
      <c r="L70" s="16" t="str">
        <f>IF(AND(C70&gt;0,C69&gt;0),(C70-C69)/C69,"")</f>
        <v/>
      </c>
      <c r="M70" s="14"/>
      <c r="N70" s="14"/>
    </row>
    <row r="71" spans="1:14">
      <c r="A71" s="14" t="s">
        <v>116</v>
      </c>
      <c r="B71" s="14">
        <v>36</v>
      </c>
      <c r="C71" s="14"/>
      <c r="D71" s="14"/>
      <c r="E71" s="14"/>
      <c r="F71" s="15">
        <v>7615</v>
      </c>
      <c r="G71" s="15">
        <v>6092</v>
      </c>
      <c r="H71" s="15">
        <v>9138</v>
      </c>
      <c r="I71" s="18">
        <v>0.4</v>
      </c>
      <c r="J71" s="17" t="str">
        <f>IF(AND(C71&gt;0,F71&gt;0),ABS(F71-C71)/C71,"")</f>
        <v/>
      </c>
      <c r="K71" s="14" t="str">
        <f>IF(AND(C71&gt;0,G71&gt;0),IF(AND(C71&gt;=G71,C71&lt;=H71),"✓","✗"),"")</f>
        <v/>
      </c>
      <c r="L71" s="16" t="str">
        <f>IF(AND(C71&gt;0,C70&gt;0),(C71-C70)/C70,"")</f>
        <v/>
      </c>
      <c r="M71" s="14"/>
      <c r="N71" s="14"/>
    </row>
    <row r="72" spans="1:14">
      <c r="A72" s="14" t="s">
        <v>117</v>
      </c>
      <c r="B72" s="14">
        <v>37</v>
      </c>
      <c r="C72" s="14"/>
      <c r="D72" s="14"/>
      <c r="E72" s="14"/>
      <c r="F72" s="15">
        <v>7615</v>
      </c>
      <c r="G72" s="15">
        <v>6092</v>
      </c>
      <c r="H72" s="15">
        <v>9138</v>
      </c>
      <c r="I72" s="18">
        <v>0.4</v>
      </c>
      <c r="J72" s="17" t="str">
        <f>IF(AND(C72&gt;0,F72&gt;0),ABS(F72-C72)/C72,"")</f>
        <v/>
      </c>
      <c r="K72" s="14" t="str">
        <f>IF(AND(C72&gt;0,G72&gt;0),IF(AND(C72&gt;=G72,C72&lt;=H72),"✓","✗"),"")</f>
        <v/>
      </c>
      <c r="L72" s="16" t="str">
        <f>IF(AND(C72&gt;0,C71&gt;0),(C72-C71)/C71,"")</f>
        <v/>
      </c>
      <c r="M72" s="14"/>
      <c r="N72" s="14"/>
    </row>
    <row r="73" spans="1:14">
      <c r="A73" s="14" t="s">
        <v>118</v>
      </c>
      <c r="B73" s="14">
        <v>38</v>
      </c>
      <c r="C73" s="14"/>
      <c r="D73" s="14"/>
      <c r="E73" s="14"/>
      <c r="F73" s="15">
        <v>7615</v>
      </c>
      <c r="G73" s="15">
        <v>6092</v>
      </c>
      <c r="H73" s="15">
        <v>9138</v>
      </c>
      <c r="I73" s="18">
        <v>0.4</v>
      </c>
      <c r="J73" s="17" t="str">
        <f>IF(AND(C73&gt;0,F73&gt;0),ABS(F73-C73)/C73,"")</f>
        <v/>
      </c>
      <c r="K73" s="14" t="str">
        <f>IF(AND(C73&gt;0,G73&gt;0),IF(AND(C73&gt;=G73,C73&lt;=H73),"✓","✗"),"")</f>
        <v/>
      </c>
      <c r="L73" s="16" t="str">
        <f>IF(AND(C73&gt;0,C72&gt;0),(C73-C72)/C72,"")</f>
        <v/>
      </c>
      <c r="M73" s="14"/>
      <c r="N73" s="14"/>
    </row>
    <row r="74" spans="1:14">
      <c r="A74" s="14" t="s">
        <v>119</v>
      </c>
      <c r="B74" s="14">
        <v>39</v>
      </c>
      <c r="C74" s="14"/>
      <c r="D74" s="14"/>
      <c r="E74" s="14"/>
      <c r="F74" s="15">
        <v>7615</v>
      </c>
      <c r="G74" s="15">
        <v>6092</v>
      </c>
      <c r="H74" s="15">
        <v>9138</v>
      </c>
      <c r="I74" s="18">
        <v>0.4</v>
      </c>
      <c r="J74" s="17" t="str">
        <f>IF(AND(C74&gt;0,F74&gt;0),ABS(F74-C74)/C74,"")</f>
        <v/>
      </c>
      <c r="K74" s="14" t="str">
        <f>IF(AND(C74&gt;0,G74&gt;0),IF(AND(C74&gt;=G74,C74&lt;=H74),"✓","✗"),"")</f>
        <v/>
      </c>
      <c r="L74" s="16" t="str">
        <f>IF(AND(C74&gt;0,C73&gt;0),(C74-C73)/C73,"")</f>
        <v/>
      </c>
      <c r="M74" s="14"/>
      <c r="N74" s="14"/>
    </row>
    <row r="75" spans="1:14">
      <c r="A75" s="14" t="s">
        <v>120</v>
      </c>
      <c r="B75" s="14">
        <v>40</v>
      </c>
      <c r="C75" s="14"/>
      <c r="D75" s="14"/>
      <c r="E75" s="14"/>
      <c r="F75" s="15">
        <v>6523</v>
      </c>
      <c r="G75" s="15">
        <v>5218</v>
      </c>
      <c r="H75" s="15">
        <v>7828</v>
      </c>
      <c r="I75" s="18">
        <v>0.4</v>
      </c>
      <c r="J75" s="17" t="str">
        <f>IF(AND(C75&gt;0,F75&gt;0),ABS(F75-C75)/C75,"")</f>
        <v/>
      </c>
      <c r="K75" s="14" t="str">
        <f>IF(AND(C75&gt;0,G75&gt;0),IF(AND(C75&gt;=G75,C75&lt;=H75),"✓","✗"),"")</f>
        <v/>
      </c>
      <c r="L75" s="16" t="str">
        <f>IF(AND(C75&gt;0,C74&gt;0),(C75-C74)/C74,"")</f>
        <v/>
      </c>
      <c r="M75" s="14"/>
      <c r="N75" s="14"/>
    </row>
    <row r="76" spans="1:14">
      <c r="A76" s="14" t="s">
        <v>121</v>
      </c>
      <c r="B76" s="14">
        <v>41</v>
      </c>
      <c r="C76" s="14"/>
      <c r="D76" s="14"/>
      <c r="E76" s="14"/>
      <c r="F76" s="15">
        <v>6523</v>
      </c>
      <c r="G76" s="15">
        <v>5218</v>
      </c>
      <c r="H76" s="15">
        <v>7828</v>
      </c>
      <c r="I76" s="18">
        <v>0.4</v>
      </c>
      <c r="J76" s="17" t="str">
        <f>IF(AND(C76&gt;0,F76&gt;0),ABS(F76-C76)/C76,"")</f>
        <v/>
      </c>
      <c r="K76" s="14" t="str">
        <f>IF(AND(C76&gt;0,G76&gt;0),IF(AND(C76&gt;=G76,C76&lt;=H76),"✓","✗"),"")</f>
        <v/>
      </c>
      <c r="L76" s="16" t="str">
        <f>IF(AND(C76&gt;0,C75&gt;0),(C76-C75)/C75,"")</f>
        <v/>
      </c>
      <c r="M76" s="14"/>
      <c r="N76" s="14"/>
    </row>
    <row r="77" spans="1:14">
      <c r="A77" s="14" t="s">
        <v>122</v>
      </c>
      <c r="B77" s="14">
        <v>42</v>
      </c>
      <c r="C77" s="14"/>
      <c r="D77" s="14"/>
      <c r="E77" s="14"/>
      <c r="F77" s="15">
        <v>6523</v>
      </c>
      <c r="G77" s="15">
        <v>5218</v>
      </c>
      <c r="H77" s="15">
        <v>7828</v>
      </c>
      <c r="I77" s="18">
        <v>0.4</v>
      </c>
      <c r="J77" s="17" t="str">
        <f>IF(AND(C77&gt;0,F77&gt;0),ABS(F77-C77)/C77,"")</f>
        <v/>
      </c>
      <c r="K77" s="14" t="str">
        <f>IF(AND(C77&gt;0,G77&gt;0),IF(AND(C77&gt;=G77,C77&lt;=H77),"✓","✗"),"")</f>
        <v/>
      </c>
      <c r="L77" s="16" t="str">
        <f>IF(AND(C77&gt;0,C76&gt;0),(C77-C76)/C76,"")</f>
        <v/>
      </c>
      <c r="M77" s="14"/>
      <c r="N77" s="14"/>
    </row>
    <row r="78" spans="1:14">
      <c r="A78" s="14" t="s">
        <v>123</v>
      </c>
      <c r="B78" s="14">
        <v>43</v>
      </c>
      <c r="C78" s="14"/>
      <c r="D78" s="14"/>
      <c r="E78" s="14"/>
      <c r="F78" s="15">
        <v>6523</v>
      </c>
      <c r="G78" s="15">
        <v>5218</v>
      </c>
      <c r="H78" s="15">
        <v>7828</v>
      </c>
      <c r="I78" s="18">
        <v>0.4</v>
      </c>
      <c r="J78" s="17" t="str">
        <f>IF(AND(C78&gt;0,F78&gt;0),ABS(F78-C78)/C78,"")</f>
        <v/>
      </c>
      <c r="K78" s="14" t="str">
        <f>IF(AND(C78&gt;0,G78&gt;0),IF(AND(C78&gt;=G78,C78&lt;=H78),"✓","✗"),"")</f>
        <v/>
      </c>
      <c r="L78" s="16" t="str">
        <f>IF(AND(C78&gt;0,C77&gt;0),(C78-C77)/C77,"")</f>
        <v/>
      </c>
      <c r="M78" s="14"/>
      <c r="N78" s="14"/>
    </row>
    <row r="79" spans="1:14">
      <c r="A79" s="14" t="s">
        <v>124</v>
      </c>
      <c r="B79" s="14">
        <v>44</v>
      </c>
      <c r="C79" s="14"/>
      <c r="D79" s="14"/>
      <c r="E79" s="14"/>
      <c r="F79" s="15">
        <v>6523</v>
      </c>
      <c r="G79" s="15">
        <v>5218</v>
      </c>
      <c r="H79" s="15">
        <v>7828</v>
      </c>
      <c r="I79" s="18">
        <v>0.4</v>
      </c>
      <c r="J79" s="17" t="str">
        <f>IF(AND(C79&gt;0,F79&gt;0),ABS(F79-C79)/C79,"")</f>
        <v/>
      </c>
      <c r="K79" s="14" t="str">
        <f>IF(AND(C79&gt;0,G79&gt;0),IF(AND(C79&gt;=G79,C79&lt;=H79),"✓","✗"),"")</f>
        <v/>
      </c>
      <c r="L79" s="16" t="str">
        <f>IF(AND(C79&gt;0,C78&gt;0),(C79-C78)/C78,"")</f>
        <v/>
      </c>
      <c r="M79" s="14"/>
      <c r="N79" s="14"/>
    </row>
    <row r="80" spans="1:14">
      <c r="A80" s="14" t="s">
        <v>125</v>
      </c>
      <c r="B80" s="14">
        <v>45</v>
      </c>
      <c r="C80" s="14"/>
      <c r="D80" s="14"/>
      <c r="E80" s="14"/>
      <c r="F80" s="15">
        <v>6695</v>
      </c>
      <c r="G80" s="15">
        <v>5356</v>
      </c>
      <c r="H80" s="15">
        <v>8034</v>
      </c>
      <c r="I80" s="18">
        <v>0.4</v>
      </c>
      <c r="J80" s="17" t="str">
        <f>IF(AND(C80&gt;0,F80&gt;0),ABS(F80-C80)/C80,"")</f>
        <v/>
      </c>
      <c r="K80" s="14" t="str">
        <f>IF(AND(C80&gt;0,G80&gt;0),IF(AND(C80&gt;=G80,C80&lt;=H80),"✓","✗"),"")</f>
        <v/>
      </c>
      <c r="L80" s="16" t="str">
        <f>IF(AND(C80&gt;0,C79&gt;0),(C80-C79)/C79,"")</f>
        <v/>
      </c>
      <c r="M80" s="14"/>
      <c r="N80" s="14"/>
    </row>
    <row r="81" spans="1:14">
      <c r="A81" s="14" t="s">
        <v>126</v>
      </c>
      <c r="B81" s="14">
        <v>46</v>
      </c>
      <c r="C81" s="14"/>
      <c r="D81" s="14"/>
      <c r="E81" s="14"/>
      <c r="F81" s="15">
        <v>6695</v>
      </c>
      <c r="G81" s="15">
        <v>5356</v>
      </c>
      <c r="H81" s="15">
        <v>8034</v>
      </c>
      <c r="I81" s="18">
        <v>0.4</v>
      </c>
      <c r="J81" s="17" t="str">
        <f>IF(AND(C81&gt;0,F81&gt;0),ABS(F81-C81)/C81,"")</f>
        <v/>
      </c>
      <c r="K81" s="14" t="str">
        <f>IF(AND(C81&gt;0,G81&gt;0),IF(AND(C81&gt;=G81,C81&lt;=H81),"✓","✗"),"")</f>
        <v/>
      </c>
      <c r="L81" s="16" t="str">
        <f>IF(AND(C81&gt;0,C80&gt;0),(C81-C80)/C80,"")</f>
        <v/>
      </c>
      <c r="M81" s="14"/>
      <c r="N81" s="14"/>
    </row>
    <row r="82" spans="1:14">
      <c r="A82" s="14" t="s">
        <v>127</v>
      </c>
      <c r="B82" s="14">
        <v>47</v>
      </c>
      <c r="C82" s="14"/>
      <c r="D82" s="14"/>
      <c r="E82" s="14"/>
      <c r="F82" s="15">
        <v>6695</v>
      </c>
      <c r="G82" s="15">
        <v>5356</v>
      </c>
      <c r="H82" s="15">
        <v>8034</v>
      </c>
      <c r="I82" s="18">
        <v>0.4</v>
      </c>
      <c r="J82" s="17" t="str">
        <f>IF(AND(C82&gt;0,F82&gt;0),ABS(F82-C82)/C82,"")</f>
        <v/>
      </c>
      <c r="K82" s="14" t="str">
        <f>IF(AND(C82&gt;0,G82&gt;0),IF(AND(C82&gt;=G82,C82&lt;=H82),"✓","✗"),"")</f>
        <v/>
      </c>
      <c r="L82" s="16" t="str">
        <f>IF(AND(C82&gt;0,C81&gt;0),(C82-C81)/C81,"")</f>
        <v/>
      </c>
      <c r="M82" s="14"/>
      <c r="N82" s="14"/>
    </row>
    <row r="83" spans="1:14">
      <c r="A83" s="14" t="s">
        <v>128</v>
      </c>
      <c r="B83" s="14">
        <v>48</v>
      </c>
      <c r="C83" s="14"/>
      <c r="D83" s="14"/>
      <c r="E83" s="14"/>
      <c r="F83" s="15">
        <v>6695</v>
      </c>
      <c r="G83" s="15">
        <v>5356</v>
      </c>
      <c r="H83" s="15">
        <v>8034</v>
      </c>
      <c r="I83" s="18">
        <v>0.4</v>
      </c>
      <c r="J83" s="17" t="str">
        <f>IF(AND(C83&gt;0,F83&gt;0),ABS(F83-C83)/C83,"")</f>
        <v/>
      </c>
      <c r="K83" s="14" t="str">
        <f>IF(AND(C83&gt;0,G83&gt;0),IF(AND(C83&gt;=G83,C83&lt;=H83),"✓","✗"),"")</f>
        <v/>
      </c>
      <c r="L83" s="16" t="str">
        <f>IF(AND(C83&gt;0,C82&gt;0),(C83-C82)/C82,"")</f>
        <v/>
      </c>
      <c r="M83" s="14"/>
      <c r="N83" s="14"/>
    </row>
    <row r="84" spans="1:14">
      <c r="A84" s="14" t="s">
        <v>129</v>
      </c>
      <c r="B84" s="14">
        <v>49</v>
      </c>
      <c r="C84" s="14"/>
      <c r="D84" s="14"/>
      <c r="E84" s="14"/>
      <c r="F84" s="15">
        <v>6676</v>
      </c>
      <c r="G84" s="15">
        <v>5341</v>
      </c>
      <c r="H84" s="15">
        <v>8011</v>
      </c>
      <c r="I84" s="18">
        <v>0.4</v>
      </c>
      <c r="J84" s="17" t="str">
        <f>IF(AND(C84&gt;0,F84&gt;0),ABS(F84-C84)/C84,"")</f>
        <v/>
      </c>
      <c r="K84" s="14" t="str">
        <f>IF(AND(C84&gt;0,G84&gt;0),IF(AND(C84&gt;=G84,C84&lt;=H84),"✓","✗"),"")</f>
        <v/>
      </c>
      <c r="L84" s="16" t="str">
        <f>IF(AND(C84&gt;0,C83&gt;0),(C84-C83)/C83,"")</f>
        <v/>
      </c>
      <c r="M84" s="14"/>
      <c r="N84" s="14"/>
    </row>
    <row r="85" spans="1:14">
      <c r="A85" s="14" t="s">
        <v>130</v>
      </c>
      <c r="B85" s="14">
        <v>50</v>
      </c>
      <c r="C85" s="14"/>
      <c r="D85" s="14"/>
      <c r="E85" s="14"/>
      <c r="F85" s="15">
        <v>6676</v>
      </c>
      <c r="G85" s="15">
        <v>5341</v>
      </c>
      <c r="H85" s="15">
        <v>8011</v>
      </c>
      <c r="I85" s="18">
        <v>0.4</v>
      </c>
      <c r="J85" s="17" t="str">
        <f>IF(AND(C85&gt;0,F85&gt;0),ABS(F85-C85)/C85,"")</f>
        <v/>
      </c>
      <c r="K85" s="14" t="str">
        <f>IF(AND(C85&gt;0,G85&gt;0),IF(AND(C85&gt;=G85,C85&lt;=H85),"✓","✗"),"")</f>
        <v/>
      </c>
      <c r="L85" s="16" t="str">
        <f>IF(AND(C85&gt;0,C84&gt;0),(C85-C84)/C84,"")</f>
        <v/>
      </c>
      <c r="M85" s="14"/>
      <c r="N85" s="14"/>
    </row>
    <row r="86" spans="1:14">
      <c r="A86" s="14" t="s">
        <v>131</v>
      </c>
      <c r="B86" s="14">
        <v>51</v>
      </c>
      <c r="C86" s="14"/>
      <c r="D86" s="14"/>
      <c r="E86" s="14"/>
      <c r="F86" s="15">
        <v>6676</v>
      </c>
      <c r="G86" s="15">
        <v>5341</v>
      </c>
      <c r="H86" s="15">
        <v>8011</v>
      </c>
      <c r="I86" s="18">
        <v>0.4</v>
      </c>
      <c r="J86" s="17" t="str">
        <f>IF(AND(C86&gt;0,F86&gt;0),ABS(F86-C86)/C86,"")</f>
        <v/>
      </c>
      <c r="K86" s="14" t="str">
        <f>IF(AND(C86&gt;0,G86&gt;0),IF(AND(C86&gt;=G86,C86&lt;=H86),"✓","✗"),"")</f>
        <v/>
      </c>
      <c r="L86" s="16" t="str">
        <f>IF(AND(C86&gt;0,C85&gt;0),(C86-C85)/C85,"")</f>
        <v/>
      </c>
      <c r="M86" s="14"/>
      <c r="N86" s="14"/>
    </row>
    <row r="87" spans="1:14">
      <c r="A87" s="14" t="s">
        <v>132</v>
      </c>
      <c r="B87" s="14">
        <v>52</v>
      </c>
      <c r="C87" s="14"/>
      <c r="D87" s="14"/>
      <c r="E87" s="14"/>
      <c r="F87" s="15">
        <v>6676</v>
      </c>
      <c r="G87" s="15">
        <v>5341</v>
      </c>
      <c r="H87" s="15">
        <v>8011</v>
      </c>
      <c r="I87" s="18">
        <v>0.4</v>
      </c>
      <c r="J87" s="17" t="str">
        <f>IF(AND(C87&gt;0,F87&gt;0),ABS(F87-C87)/C87,"")</f>
        <v/>
      </c>
      <c r="K87" s="14" t="str">
        <f>IF(AND(C87&gt;0,G87&gt;0),IF(AND(C87&gt;=G87,C87&lt;=H87),"✓","✗"),"")</f>
        <v/>
      </c>
      <c r="L87" s="16" t="str">
        <f>IF(AND(C87&gt;0,C86&gt;0),(C87-C86)/C86,"")</f>
        <v/>
      </c>
      <c r="M87" s="14"/>
      <c r="N87" s="14"/>
    </row>
  </sheetData>
  <mergeCells count="15">
    <mergeCell ref="C3:D3"/>
    <mergeCell ref="A3:B3"/>
    <mergeCell ref="G3:H3"/>
    <mergeCell ref="E3:F3"/>
    <mergeCell ref="A1:N1"/>
    <mergeCell ref="A4:B4"/>
    <mergeCell ref="G4:H4"/>
    <mergeCell ref="E4:F4"/>
    <mergeCell ref="A12:K12"/>
    <mergeCell ref="A34:N34"/>
    <mergeCell ref="A5:B5"/>
    <mergeCell ref="C4:D4"/>
    <mergeCell ref="G5:H5"/>
    <mergeCell ref="A8:K8"/>
    <mergeCell ref="A19:K19"/>
  </mergeCells>
  <conditionalFormatting sqref="C36:C87">
    <cfRule type="dataBar" priority="1">
      <dataBar>
        <cfvo type="num" val="0"/>
        <cfvo type="max"/>
        <color rgb="FF3498DB"/>
      </dataBar>
    </cfRule>
  </conditionalFormatting>
  <conditionalFormatting sqref="J36:J87">
    <cfRule type="colorScale" priority="2">
      <colorScale>
        <cfvo type="num" val="0"/>
        <cfvo type="num" val="0.1"/>
        <cfvo type="num" val="0.3"/>
        <color rgb="FF27AE60"/>
        <color rgb="FFFFFFFF"/>
        <color rgb="FFE74C3C"/>
      </colorScale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CC71"/>
  </sheetPr>
  <dimension ref="A1:N87"/>
  <sheetViews>
    <sheetView showGridLines="0" workbookViewId="0">
      <selection activeCell="F7" sqref="F7"/>
    </sheetView>
  </sheetViews>
  <sheetFormatPr defaultColWidth="12.7109375" defaultRowHeight="15"/>
  <cols>
    <col min="1" max="1" width="11.85546875" style="30" bestFit="1" customWidth="1"/>
    <col min="2" max="3" width="10.140625" style="30" bestFit="1" customWidth="1"/>
    <col min="4" max="4" width="9.85546875" style="30" bestFit="1" customWidth="1"/>
    <col min="5" max="5" width="9.5703125" style="30" bestFit="1" customWidth="1"/>
    <col min="6" max="6" width="9.7109375" style="30" bestFit="1" customWidth="1"/>
    <col min="7" max="7" width="8.140625" style="30" bestFit="1" customWidth="1"/>
    <col min="8" max="8" width="6.85546875" style="30" bestFit="1" customWidth="1"/>
    <col min="9" max="9" width="9.85546875" style="30" bestFit="1" customWidth="1"/>
    <col min="10" max="10" width="6.85546875" style="30" bestFit="1" customWidth="1"/>
    <col min="11" max="11" width="10.85546875" style="30" bestFit="1" customWidth="1"/>
    <col min="12" max="12" width="8.28515625" style="30" bestFit="1" customWidth="1"/>
    <col min="13" max="13" width="9.7109375" style="30" bestFit="1" customWidth="1"/>
    <col min="14" max="14" width="7.42578125" style="30" bestFit="1" customWidth="1"/>
    <col min="15" max="16384" width="12.7109375" style="30"/>
  </cols>
  <sheetData>
    <row r="1" spans="1:14" ht="32.1" customHeight="1">
      <c r="A1" s="68" t="s">
        <v>133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3" spans="1:14">
      <c r="A3" s="31" t="s">
        <v>34</v>
      </c>
      <c r="B3" s="32"/>
      <c r="C3" s="31" t="s">
        <v>35</v>
      </c>
      <c r="D3" s="32"/>
      <c r="E3" s="31" t="s">
        <v>36</v>
      </c>
      <c r="F3" s="32"/>
      <c r="G3" s="31" t="s">
        <v>37</v>
      </c>
      <c r="H3" s="32"/>
    </row>
    <row r="4" spans="1:14" ht="26.25">
      <c r="A4" s="33" t="s">
        <v>134</v>
      </c>
      <c r="B4" s="32"/>
      <c r="C4" s="33" t="s">
        <v>135</v>
      </c>
      <c r="D4" s="32"/>
      <c r="E4" s="33" t="s">
        <v>136</v>
      </c>
      <c r="F4" s="32"/>
      <c r="G4" s="33" t="s">
        <v>137</v>
      </c>
      <c r="H4" s="32"/>
    </row>
    <row r="5" spans="1:14">
      <c r="A5" s="31" t="s">
        <v>10</v>
      </c>
      <c r="B5" s="32"/>
      <c r="C5" s="34"/>
      <c r="D5" s="34"/>
      <c r="E5" s="34"/>
      <c r="F5" s="34"/>
      <c r="G5" s="31" t="s">
        <v>23</v>
      </c>
      <c r="H5" s="32"/>
    </row>
    <row r="8" spans="1:14" ht="15.75">
      <c r="A8" s="35" t="s">
        <v>42</v>
      </c>
      <c r="B8" s="29"/>
      <c r="C8" s="29"/>
      <c r="D8" s="29"/>
      <c r="E8" s="29"/>
      <c r="F8" s="29"/>
      <c r="G8" s="29"/>
      <c r="H8" s="29"/>
      <c r="I8" s="29"/>
      <c r="J8" s="29"/>
      <c r="K8" s="29"/>
    </row>
    <row r="9" spans="1:14" ht="40.5">
      <c r="A9" s="69" t="s">
        <v>43</v>
      </c>
      <c r="B9" s="69" t="s">
        <v>44</v>
      </c>
      <c r="C9" s="69" t="s">
        <v>45</v>
      </c>
      <c r="D9" s="69" t="s">
        <v>46</v>
      </c>
      <c r="E9" s="69" t="s">
        <v>47</v>
      </c>
      <c r="F9" s="69" t="s">
        <v>48</v>
      </c>
      <c r="G9" s="69" t="s">
        <v>20</v>
      </c>
      <c r="H9" s="69" t="s">
        <v>49</v>
      </c>
      <c r="I9" s="69" t="s">
        <v>50</v>
      </c>
      <c r="J9" s="69" t="s">
        <v>51</v>
      </c>
      <c r="K9" s="69" t="s">
        <v>52</v>
      </c>
    </row>
    <row r="10" spans="1:14">
      <c r="A10" s="36" t="s">
        <v>53</v>
      </c>
      <c r="B10" s="37"/>
      <c r="C10" s="37"/>
      <c r="D10" s="37"/>
      <c r="E10" s="37"/>
      <c r="F10" s="37">
        <v>58687.67</v>
      </c>
      <c r="G10" s="38" t="str">
        <f>IF(AND(B10&gt;0,F10&gt;0),(B10-F10)/F10,"")</f>
        <v/>
      </c>
      <c r="H10" s="39" t="str">
        <f>IF(AND(B10&gt;0,C10&gt;0),ABS(C10-B10)/B10,"")</f>
        <v/>
      </c>
      <c r="I10" s="40"/>
      <c r="J10" s="36"/>
      <c r="K10" s="36"/>
    </row>
    <row r="12" spans="1:14" ht="15.75">
      <c r="A12" s="35" t="s">
        <v>54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</row>
    <row r="13" spans="1:14" ht="40.5">
      <c r="A13" s="69" t="s">
        <v>43</v>
      </c>
      <c r="B13" s="69" t="s">
        <v>44</v>
      </c>
      <c r="C13" s="69" t="s">
        <v>45</v>
      </c>
      <c r="D13" s="69" t="s">
        <v>46</v>
      </c>
      <c r="E13" s="69" t="s">
        <v>47</v>
      </c>
      <c r="F13" s="69" t="s">
        <v>48</v>
      </c>
      <c r="G13" s="69" t="s">
        <v>20</v>
      </c>
      <c r="H13" s="69" t="s">
        <v>49</v>
      </c>
      <c r="I13" s="69" t="s">
        <v>50</v>
      </c>
      <c r="J13" s="69" t="s">
        <v>51</v>
      </c>
      <c r="K13" s="69" t="s">
        <v>52</v>
      </c>
    </row>
    <row r="14" spans="1:14">
      <c r="A14" s="41" t="s">
        <v>55</v>
      </c>
      <c r="B14" s="42">
        <v>18359</v>
      </c>
      <c r="C14" s="42"/>
      <c r="D14" s="42"/>
      <c r="E14" s="42"/>
      <c r="F14" s="42">
        <v>14627.55</v>
      </c>
      <c r="G14" s="43">
        <f>IF(AND(B14&gt;0,F14&gt;0),(B14-F14)/F14,"")</f>
        <v>0.25509740182053736</v>
      </c>
      <c r="H14" s="44" t="str">
        <f>IF(AND(B14&gt;0,C14&gt;0),ABS(C14-B14)/B14,"")</f>
        <v/>
      </c>
      <c r="I14" s="45"/>
      <c r="J14" s="41"/>
      <c r="K14" s="41"/>
    </row>
    <row r="15" spans="1:14">
      <c r="A15" s="36" t="s">
        <v>56</v>
      </c>
      <c r="B15" s="36"/>
      <c r="C15" s="37"/>
      <c r="D15" s="37"/>
      <c r="E15" s="37"/>
      <c r="F15" s="37">
        <v>13077.41</v>
      </c>
      <c r="G15" s="38" t="str">
        <f>IF(AND(B15&gt;0,F15&gt;0),(B15-F15)/F15,"")</f>
        <v/>
      </c>
      <c r="H15" s="39" t="str">
        <f>IF(AND(B15&gt;0,C15&gt;0),ABS(C15-B15)/B15,"")</f>
        <v/>
      </c>
      <c r="I15" s="40"/>
      <c r="J15" s="36"/>
      <c r="K15" s="36"/>
    </row>
    <row r="16" spans="1:14">
      <c r="A16" s="36" t="s">
        <v>57</v>
      </c>
      <c r="B16" s="36"/>
      <c r="C16" s="37"/>
      <c r="D16" s="37"/>
      <c r="E16" s="37"/>
      <c r="F16" s="37">
        <v>14461.74</v>
      </c>
      <c r="G16" s="38" t="str">
        <f>IF(AND(B16&gt;0,F16&gt;0),(B16-F16)/F16,"")</f>
        <v/>
      </c>
      <c r="H16" s="39" t="str">
        <f>IF(AND(B16&gt;0,C16&gt;0),ABS(C16-B16)/B16,"")</f>
        <v/>
      </c>
      <c r="I16" s="40"/>
      <c r="J16" s="36"/>
      <c r="K16" s="36"/>
    </row>
    <row r="17" spans="1:11">
      <c r="A17" s="36" t="s">
        <v>58</v>
      </c>
      <c r="B17" s="36"/>
      <c r="C17" s="37"/>
      <c r="D17" s="37"/>
      <c r="E17" s="37"/>
      <c r="F17" s="37">
        <v>16520.97</v>
      </c>
      <c r="G17" s="38" t="str">
        <f>IF(AND(B17&gt;0,F17&gt;0),(B17-F17)/F17,"")</f>
        <v/>
      </c>
      <c r="H17" s="39" t="str">
        <f>IF(AND(B17&gt;0,C17&gt;0),ABS(C17-B17)/B17,"")</f>
        <v/>
      </c>
      <c r="I17" s="40"/>
      <c r="J17" s="36"/>
      <c r="K17" s="36"/>
    </row>
    <row r="19" spans="1:11" ht="15.75">
      <c r="A19" s="35" t="s">
        <v>59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</row>
    <row r="20" spans="1:11" ht="40.5">
      <c r="A20" s="69" t="s">
        <v>43</v>
      </c>
      <c r="B20" s="69" t="s">
        <v>44</v>
      </c>
      <c r="C20" s="69" t="s">
        <v>45</v>
      </c>
      <c r="D20" s="69" t="s">
        <v>46</v>
      </c>
      <c r="E20" s="69" t="s">
        <v>47</v>
      </c>
      <c r="F20" s="69" t="s">
        <v>48</v>
      </c>
      <c r="G20" s="69" t="s">
        <v>20</v>
      </c>
      <c r="H20" s="69" t="s">
        <v>49</v>
      </c>
      <c r="I20" s="69" t="s">
        <v>50</v>
      </c>
      <c r="J20" s="69" t="s">
        <v>51</v>
      </c>
      <c r="K20" s="69" t="s">
        <v>52</v>
      </c>
    </row>
    <row r="21" spans="1:11">
      <c r="A21" s="41" t="s">
        <v>60</v>
      </c>
      <c r="B21" s="42">
        <v>5912</v>
      </c>
      <c r="C21" s="42"/>
      <c r="D21" s="42"/>
      <c r="E21" s="42"/>
      <c r="F21" s="42">
        <v>4861.59</v>
      </c>
      <c r="G21" s="43">
        <f>IF(AND(B21&gt;0,F21&gt;0),(B21-F21)/F21,"")</f>
        <v>0.21606305755935812</v>
      </c>
      <c r="H21" s="44" t="str">
        <f>IF(AND(B21&gt;0,C21&gt;0),ABS(C21-B21)/B21,"")</f>
        <v/>
      </c>
      <c r="I21" s="45"/>
      <c r="J21" s="41"/>
      <c r="K21" s="41"/>
    </row>
    <row r="22" spans="1:11">
      <c r="A22" s="46" t="s">
        <v>61</v>
      </c>
      <c r="B22" s="47">
        <v>5445</v>
      </c>
      <c r="C22" s="47"/>
      <c r="D22" s="47"/>
      <c r="E22" s="47"/>
      <c r="F22" s="47">
        <v>4591.5</v>
      </c>
      <c r="G22" s="48">
        <f>IF(AND(B22&gt;0,F22&gt;0),(B22-F22)/F22,"")</f>
        <v>0.18588696504410324</v>
      </c>
      <c r="H22" s="49" t="str">
        <f>IF(AND(B22&gt;0,C22&gt;0),ABS(C22-B22)/B22,"")</f>
        <v/>
      </c>
      <c r="I22" s="50"/>
      <c r="J22" s="46"/>
      <c r="K22" s="46"/>
    </row>
    <row r="23" spans="1:11">
      <c r="A23" s="41" t="s">
        <v>62</v>
      </c>
      <c r="B23" s="42">
        <v>7002</v>
      </c>
      <c r="C23" s="42"/>
      <c r="D23" s="42"/>
      <c r="E23" s="42"/>
      <c r="F23" s="42">
        <v>5174.46</v>
      </c>
      <c r="G23" s="43">
        <f>IF(AND(B23&gt;0,F23&gt;0),(B23-F23)/F23,"")</f>
        <v>0.35318468014053639</v>
      </c>
      <c r="H23" s="44" t="str">
        <f>IF(AND(B23&gt;0,C23&gt;0),ABS(C23-B23)/B23,"")</f>
        <v/>
      </c>
      <c r="I23" s="45"/>
      <c r="J23" s="41"/>
      <c r="K23" s="41"/>
    </row>
    <row r="24" spans="1:11">
      <c r="A24" s="36" t="s">
        <v>63</v>
      </c>
      <c r="B24" s="37"/>
      <c r="C24" s="37">
        <v>4491.8</v>
      </c>
      <c r="D24" s="37">
        <v>3818</v>
      </c>
      <c r="E24" s="37">
        <v>5166</v>
      </c>
      <c r="F24" s="37">
        <v>4491.8</v>
      </c>
      <c r="G24" s="38" t="str">
        <f>IF(AND(B24&gt;0,F24&gt;0),(B24-F24)/F24,"")</f>
        <v/>
      </c>
      <c r="H24" s="39" t="str">
        <f>IF(AND(B24&gt;0,C24&gt;0),ABS(C24-B24)/B24,"")</f>
        <v/>
      </c>
      <c r="I24" s="40">
        <v>0.5</v>
      </c>
      <c r="J24" s="36"/>
      <c r="K24" s="36" t="s">
        <v>64</v>
      </c>
    </row>
    <row r="25" spans="1:11">
      <c r="A25" s="36" t="s">
        <v>65</v>
      </c>
      <c r="B25" s="37"/>
      <c r="C25" s="37">
        <v>4359.4399999999996</v>
      </c>
      <c r="D25" s="37">
        <v>3706</v>
      </c>
      <c r="E25" s="37">
        <v>5013</v>
      </c>
      <c r="F25" s="37">
        <v>4359.4399999999996</v>
      </c>
      <c r="G25" s="38" t="str">
        <f>IF(AND(B25&gt;0,F25&gt;0),(B25-F25)/F25,"")</f>
        <v/>
      </c>
      <c r="H25" s="39" t="str">
        <f>IF(AND(B25&gt;0,C25&gt;0),ABS(C25-B25)/B25,"")</f>
        <v/>
      </c>
      <c r="I25" s="40">
        <v>0.5</v>
      </c>
      <c r="J25" s="36"/>
      <c r="K25" s="36" t="s">
        <v>64</v>
      </c>
    </row>
    <row r="26" spans="1:11">
      <c r="A26" s="36" t="s">
        <v>66</v>
      </c>
      <c r="B26" s="37"/>
      <c r="C26" s="37">
        <v>4226.17</v>
      </c>
      <c r="D26" s="37">
        <v>3592</v>
      </c>
      <c r="E26" s="37">
        <v>4860</v>
      </c>
      <c r="F26" s="37">
        <v>4226.17</v>
      </c>
      <c r="G26" s="38" t="str">
        <f>IF(AND(B26&gt;0,F26&gt;0),(B26-F26)/F26,"")</f>
        <v/>
      </c>
      <c r="H26" s="39" t="str">
        <f>IF(AND(B26&gt;0,C26&gt;0),ABS(C26-B26)/B26,"")</f>
        <v/>
      </c>
      <c r="I26" s="40">
        <v>0.5</v>
      </c>
      <c r="J26" s="36"/>
      <c r="K26" s="36" t="s">
        <v>64</v>
      </c>
    </row>
    <row r="27" spans="1:11">
      <c r="A27" s="36" t="s">
        <v>67</v>
      </c>
      <c r="B27" s="37"/>
      <c r="C27" s="37">
        <v>4743.49</v>
      </c>
      <c r="D27" s="37">
        <v>4032</v>
      </c>
      <c r="E27" s="37">
        <v>5455</v>
      </c>
      <c r="F27" s="37">
        <v>4743.49</v>
      </c>
      <c r="G27" s="38" t="str">
        <f>IF(AND(B27&gt;0,F27&gt;0),(B27-F27)/F27,"")</f>
        <v/>
      </c>
      <c r="H27" s="39" t="str">
        <f>IF(AND(B27&gt;0,C27&gt;0),ABS(C27-B27)/B27,"")</f>
        <v/>
      </c>
      <c r="I27" s="40">
        <v>0.5</v>
      </c>
      <c r="J27" s="36"/>
      <c r="K27" s="36" t="s">
        <v>64</v>
      </c>
    </row>
    <row r="28" spans="1:11">
      <c r="A28" s="36" t="s">
        <v>68</v>
      </c>
      <c r="B28" s="37"/>
      <c r="C28" s="37">
        <v>4136</v>
      </c>
      <c r="D28" s="37">
        <v>3516</v>
      </c>
      <c r="E28" s="37">
        <v>4756</v>
      </c>
      <c r="F28" s="37">
        <v>4136</v>
      </c>
      <c r="G28" s="38" t="str">
        <f>IF(AND(B28&gt;0,F28&gt;0),(B28-F28)/F28,"")</f>
        <v/>
      </c>
      <c r="H28" s="39" t="str">
        <f>IF(AND(B28&gt;0,C28&gt;0),ABS(C28-B28)/B28,"")</f>
        <v/>
      </c>
      <c r="I28" s="40">
        <v>0.5</v>
      </c>
      <c r="J28" s="36"/>
      <c r="K28" s="36" t="s">
        <v>64</v>
      </c>
    </row>
    <row r="29" spans="1:11">
      <c r="A29" s="36" t="s">
        <v>69</v>
      </c>
      <c r="B29" s="37"/>
      <c r="C29" s="37">
        <v>5582.25</v>
      </c>
      <c r="D29" s="37">
        <v>4745</v>
      </c>
      <c r="E29" s="37">
        <v>6420</v>
      </c>
      <c r="F29" s="37">
        <v>5582.25</v>
      </c>
      <c r="G29" s="38" t="str">
        <f>IF(AND(B29&gt;0,F29&gt;0),(B29-F29)/F29,"")</f>
        <v/>
      </c>
      <c r="H29" s="39" t="str">
        <f>IF(AND(B29&gt;0,C29&gt;0),ABS(C29-B29)/B29,"")</f>
        <v/>
      </c>
      <c r="I29" s="40">
        <v>0.5</v>
      </c>
      <c r="J29" s="36"/>
      <c r="K29" s="36" t="s">
        <v>64</v>
      </c>
    </row>
    <row r="30" spans="1:11">
      <c r="A30" s="36" t="s">
        <v>70</v>
      </c>
      <c r="B30" s="37"/>
      <c r="C30" s="37">
        <v>6273.4</v>
      </c>
      <c r="D30" s="37">
        <v>5332</v>
      </c>
      <c r="E30" s="37">
        <v>7214</v>
      </c>
      <c r="F30" s="37">
        <v>6273.4</v>
      </c>
      <c r="G30" s="38" t="str">
        <f>IF(AND(B30&gt;0,F30&gt;0),(B30-F30)/F30,"")</f>
        <v/>
      </c>
      <c r="H30" s="39" t="str">
        <f>IF(AND(B30&gt;0,C30&gt;0),ABS(C30-B30)/B30,"")</f>
        <v/>
      </c>
      <c r="I30" s="40">
        <v>0.5</v>
      </c>
      <c r="J30" s="36"/>
      <c r="K30" s="36" t="s">
        <v>64</v>
      </c>
    </row>
    <row r="31" spans="1:11">
      <c r="A31" s="36" t="s">
        <v>71</v>
      </c>
      <c r="B31" s="37"/>
      <c r="C31" s="37">
        <v>6231.04</v>
      </c>
      <c r="D31" s="37">
        <v>5296</v>
      </c>
      <c r="E31" s="37">
        <v>7166</v>
      </c>
      <c r="F31" s="37">
        <v>6231.04</v>
      </c>
      <c r="G31" s="38" t="str">
        <f>IF(AND(B31&gt;0,F31&gt;0),(B31-F31)/F31,"")</f>
        <v/>
      </c>
      <c r="H31" s="39" t="str">
        <f>IF(AND(B31&gt;0,C31&gt;0),ABS(C31-B31)/B31,"")</f>
        <v/>
      </c>
      <c r="I31" s="40">
        <v>0.5</v>
      </c>
      <c r="J31" s="36"/>
      <c r="K31" s="36" t="s">
        <v>64</v>
      </c>
    </row>
    <row r="32" spans="1:11">
      <c r="A32" s="36" t="s">
        <v>72</v>
      </c>
      <c r="B32" s="37"/>
      <c r="C32" s="37">
        <v>4016.53</v>
      </c>
      <c r="D32" s="37">
        <v>3414</v>
      </c>
      <c r="E32" s="37">
        <v>4619</v>
      </c>
      <c r="F32" s="37">
        <v>4016.53</v>
      </c>
      <c r="G32" s="38" t="str">
        <f>IF(AND(B32&gt;0,F32&gt;0),(B32-F32)/F32,"")</f>
        <v/>
      </c>
      <c r="H32" s="39" t="str">
        <f>IF(AND(B32&gt;0,C32&gt;0),ABS(C32-B32)/B32,"")</f>
        <v/>
      </c>
      <c r="I32" s="40">
        <v>0.5</v>
      </c>
      <c r="J32" s="36"/>
      <c r="K32" s="36" t="s">
        <v>64</v>
      </c>
    </row>
    <row r="34" spans="1:14" ht="15.75">
      <c r="A34" s="35" t="s">
        <v>73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</row>
    <row r="35" spans="1:14">
      <c r="A35" s="69" t="s">
        <v>74</v>
      </c>
      <c r="B35" s="69" t="s">
        <v>75</v>
      </c>
      <c r="C35" s="69" t="s">
        <v>44</v>
      </c>
      <c r="D35" s="69" t="s">
        <v>76</v>
      </c>
      <c r="E35" s="69" t="s">
        <v>77</v>
      </c>
      <c r="F35" s="69" t="s">
        <v>45</v>
      </c>
      <c r="G35" s="69" t="s">
        <v>46</v>
      </c>
      <c r="H35" s="69" t="s">
        <v>47</v>
      </c>
      <c r="I35" s="69" t="s">
        <v>50</v>
      </c>
      <c r="J35" s="69" t="s">
        <v>49</v>
      </c>
      <c r="K35" s="69" t="s">
        <v>78</v>
      </c>
      <c r="L35" s="69" t="s">
        <v>18</v>
      </c>
      <c r="M35" s="69" t="s">
        <v>79</v>
      </c>
      <c r="N35" s="69" t="s">
        <v>80</v>
      </c>
    </row>
    <row r="36" spans="1:14">
      <c r="A36" s="41" t="s">
        <v>81</v>
      </c>
      <c r="B36" s="41">
        <v>1</v>
      </c>
      <c r="C36" s="42">
        <v>1005</v>
      </c>
      <c r="D36" s="51">
        <v>60466</v>
      </c>
      <c r="E36" s="52">
        <v>60.17</v>
      </c>
      <c r="F36" s="42"/>
      <c r="G36" s="42"/>
      <c r="H36" s="42"/>
      <c r="I36" s="45"/>
      <c r="J36" s="44" t="str">
        <f>IF(AND(C36&gt;0,F36&gt;0),ABS(F36-C36)/C36,"")</f>
        <v/>
      </c>
      <c r="K36" s="41" t="str">
        <f>IF(AND(C36&gt;0,G36&gt;0),IF(AND(C36&gt;=G36,C36&lt;=H36),"✓","✗"),"")</f>
        <v/>
      </c>
      <c r="L36" s="41"/>
      <c r="M36" s="42">
        <v>301</v>
      </c>
      <c r="N36" s="42">
        <v>704</v>
      </c>
    </row>
    <row r="37" spans="1:14">
      <c r="A37" s="46" t="s">
        <v>82</v>
      </c>
      <c r="B37" s="46">
        <v>2</v>
      </c>
      <c r="C37" s="47">
        <v>1540</v>
      </c>
      <c r="D37" s="53">
        <v>117937</v>
      </c>
      <c r="E37" s="54">
        <v>76.58</v>
      </c>
      <c r="F37" s="47"/>
      <c r="G37" s="47"/>
      <c r="H37" s="47"/>
      <c r="I37" s="50"/>
      <c r="J37" s="49" t="str">
        <f>IF(AND(C37&gt;0,F37&gt;0),ABS(F37-C37)/C37,"")</f>
        <v/>
      </c>
      <c r="K37" s="46" t="str">
        <f>IF(AND(C37&gt;0,G37&gt;0),IF(AND(C37&gt;=G37,C37&lt;=H37),"✓","✗"),"")</f>
        <v/>
      </c>
      <c r="L37" s="48">
        <f>IF(AND(C37&gt;0,C36&gt;0),(C37-C36)/C36,"")</f>
        <v>0.53233830845771146</v>
      </c>
      <c r="M37" s="47">
        <v>608</v>
      </c>
      <c r="N37" s="47">
        <v>932</v>
      </c>
    </row>
    <row r="38" spans="1:14">
      <c r="A38" s="41" t="s">
        <v>83</v>
      </c>
      <c r="B38" s="41">
        <v>3</v>
      </c>
      <c r="C38" s="42">
        <v>1769</v>
      </c>
      <c r="D38" s="51">
        <v>141384</v>
      </c>
      <c r="E38" s="52">
        <v>79.92</v>
      </c>
      <c r="F38" s="42"/>
      <c r="G38" s="42"/>
      <c r="H38" s="42"/>
      <c r="I38" s="45"/>
      <c r="J38" s="44" t="str">
        <f>IF(AND(C38&gt;0,F38&gt;0),ABS(F38-C38)/C38,"")</f>
        <v/>
      </c>
      <c r="K38" s="41" t="str">
        <f>IF(AND(C38&gt;0,G38&gt;0),IF(AND(C38&gt;=G38,C38&lt;=H38),"✓","✗"),"")</f>
        <v/>
      </c>
      <c r="L38" s="43">
        <f>IF(AND(C38&gt;0,C37&gt;0),(C38-C37)/C37,"")</f>
        <v>0.1487012987012987</v>
      </c>
      <c r="M38" s="42">
        <v>571</v>
      </c>
      <c r="N38" s="42">
        <v>1198</v>
      </c>
    </row>
    <row r="39" spans="1:14">
      <c r="A39" s="46" t="s">
        <v>84</v>
      </c>
      <c r="B39" s="46">
        <v>4</v>
      </c>
      <c r="C39" s="47">
        <v>1598</v>
      </c>
      <c r="D39" s="53">
        <v>123497</v>
      </c>
      <c r="E39" s="54">
        <v>77.28</v>
      </c>
      <c r="F39" s="47"/>
      <c r="G39" s="47"/>
      <c r="H39" s="47"/>
      <c r="I39" s="50"/>
      <c r="J39" s="49" t="str">
        <f>IF(AND(C39&gt;0,F39&gt;0),ABS(F39-C39)/C39,"")</f>
        <v/>
      </c>
      <c r="K39" s="46" t="str">
        <f>IF(AND(C39&gt;0,G39&gt;0),IF(AND(C39&gt;=G39,C39&lt;=H39),"✓","✗"),"")</f>
        <v/>
      </c>
      <c r="L39" s="48">
        <f>IF(AND(C39&gt;0,C38&gt;0),(C39-C38)/C38,"")</f>
        <v>-9.6664782362916896E-2</v>
      </c>
      <c r="M39" s="47">
        <v>582</v>
      </c>
      <c r="N39" s="47">
        <v>1016</v>
      </c>
    </row>
    <row r="40" spans="1:14">
      <c r="A40" s="41" t="s">
        <v>85</v>
      </c>
      <c r="B40" s="41">
        <v>5</v>
      </c>
      <c r="C40" s="42">
        <v>1325</v>
      </c>
      <c r="D40" s="51">
        <v>78918</v>
      </c>
      <c r="E40" s="52">
        <v>59.56</v>
      </c>
      <c r="F40" s="42"/>
      <c r="G40" s="42"/>
      <c r="H40" s="42"/>
      <c r="I40" s="45"/>
      <c r="J40" s="44" t="str">
        <f>IF(AND(C40&gt;0,F40&gt;0),ABS(F40-C40)/C40,"")</f>
        <v/>
      </c>
      <c r="K40" s="41" t="str">
        <f>IF(AND(C40&gt;0,G40&gt;0),IF(AND(C40&gt;=G40,C40&lt;=H40),"✓","✗"),"")</f>
        <v/>
      </c>
      <c r="L40" s="43">
        <f>IF(AND(C40&gt;0,C39&gt;0),(C40-C39)/C39,"")</f>
        <v>-0.17083854818523153</v>
      </c>
      <c r="M40" s="42">
        <v>605</v>
      </c>
      <c r="N40" s="42">
        <v>720</v>
      </c>
    </row>
    <row r="41" spans="1:14">
      <c r="A41" s="46" t="s">
        <v>86</v>
      </c>
      <c r="B41" s="46">
        <v>6</v>
      </c>
      <c r="C41" s="47">
        <v>1422</v>
      </c>
      <c r="D41" s="53">
        <v>90065</v>
      </c>
      <c r="E41" s="54">
        <v>63.34</v>
      </c>
      <c r="F41" s="47"/>
      <c r="G41" s="47"/>
      <c r="H41" s="47"/>
      <c r="I41" s="50"/>
      <c r="J41" s="49" t="str">
        <f>IF(AND(C41&gt;0,F41&gt;0),ABS(F41-C41)/C41,"")</f>
        <v/>
      </c>
      <c r="K41" s="46" t="str">
        <f>IF(AND(C41&gt;0,G41&gt;0),IF(AND(C41&gt;=G41,C41&lt;=H41),"✓","✗"),"")</f>
        <v/>
      </c>
      <c r="L41" s="48">
        <f>IF(AND(C41&gt;0,C40&gt;0),(C41-C40)/C40,"")</f>
        <v>7.3207547169811316E-2</v>
      </c>
      <c r="M41" s="47">
        <v>577</v>
      </c>
      <c r="N41" s="47">
        <v>845</v>
      </c>
    </row>
    <row r="42" spans="1:14">
      <c r="A42" s="41" t="s">
        <v>87</v>
      </c>
      <c r="B42" s="41">
        <v>7</v>
      </c>
      <c r="C42" s="42">
        <v>1369</v>
      </c>
      <c r="D42" s="51">
        <v>94473</v>
      </c>
      <c r="E42" s="52">
        <v>69.010000000000005</v>
      </c>
      <c r="F42" s="42"/>
      <c r="G42" s="42"/>
      <c r="H42" s="42"/>
      <c r="I42" s="45"/>
      <c r="J42" s="44" t="str">
        <f>IF(AND(C42&gt;0,F42&gt;0),ABS(F42-C42)/C42,"")</f>
        <v/>
      </c>
      <c r="K42" s="41" t="str">
        <f>IF(AND(C42&gt;0,G42&gt;0),IF(AND(C42&gt;=G42,C42&lt;=H42),"✓","✗"),"")</f>
        <v/>
      </c>
      <c r="L42" s="43">
        <f>IF(AND(C42&gt;0,C41&gt;0),(C42-C41)/C41,"")</f>
        <v>-3.7271448663853728E-2</v>
      </c>
      <c r="M42" s="42">
        <v>523</v>
      </c>
      <c r="N42" s="42">
        <v>846</v>
      </c>
    </row>
    <row r="43" spans="1:14">
      <c r="A43" s="46" t="s">
        <v>88</v>
      </c>
      <c r="B43" s="46">
        <v>8</v>
      </c>
      <c r="C43" s="47">
        <v>1329</v>
      </c>
      <c r="D43" s="53">
        <v>95850</v>
      </c>
      <c r="E43" s="54">
        <v>72.12</v>
      </c>
      <c r="F43" s="47"/>
      <c r="G43" s="47"/>
      <c r="H43" s="47"/>
      <c r="I43" s="50"/>
      <c r="J43" s="49" t="str">
        <f>IF(AND(C43&gt;0,F43&gt;0),ABS(F43-C43)/C43,"")</f>
        <v/>
      </c>
      <c r="K43" s="46" t="str">
        <f>IF(AND(C43&gt;0,G43&gt;0),IF(AND(C43&gt;=G43,C43&lt;=H43),"✓","✗"),"")</f>
        <v/>
      </c>
      <c r="L43" s="48">
        <f>IF(AND(C43&gt;0,C42&gt;0),(C43-C42)/C42,"")</f>
        <v>-2.9218407596785977E-2</v>
      </c>
      <c r="M43" s="47">
        <v>501</v>
      </c>
      <c r="N43" s="47">
        <v>828</v>
      </c>
    </row>
    <row r="44" spans="1:14">
      <c r="A44" s="41" t="s">
        <v>89</v>
      </c>
      <c r="B44" s="41">
        <v>9</v>
      </c>
      <c r="C44" s="42">
        <v>1457</v>
      </c>
      <c r="D44" s="51">
        <v>104596</v>
      </c>
      <c r="E44" s="52">
        <v>71.790000000000006</v>
      </c>
      <c r="F44" s="42"/>
      <c r="G44" s="42"/>
      <c r="H44" s="42"/>
      <c r="I44" s="45"/>
      <c r="J44" s="44" t="str">
        <f>IF(AND(C44&gt;0,F44&gt;0),ABS(F44-C44)/C44,"")</f>
        <v/>
      </c>
      <c r="K44" s="41" t="str">
        <f>IF(AND(C44&gt;0,G44&gt;0),IF(AND(C44&gt;=G44,C44&lt;=H44),"✓","✗"),"")</f>
        <v/>
      </c>
      <c r="L44" s="43">
        <f>IF(AND(C44&gt;0,C43&gt;0),(C44-C43)/C43,"")</f>
        <v>9.6313017306245294E-2</v>
      </c>
      <c r="M44" s="42">
        <v>559</v>
      </c>
      <c r="N44" s="42">
        <v>898</v>
      </c>
    </row>
    <row r="45" spans="1:14">
      <c r="A45" s="46" t="s">
        <v>90</v>
      </c>
      <c r="B45" s="46">
        <v>10</v>
      </c>
      <c r="C45" s="47">
        <v>1388</v>
      </c>
      <c r="D45" s="53">
        <v>95498</v>
      </c>
      <c r="E45" s="54">
        <v>68.8</v>
      </c>
      <c r="F45" s="47"/>
      <c r="G45" s="47"/>
      <c r="H45" s="47"/>
      <c r="I45" s="50"/>
      <c r="J45" s="49" t="str">
        <f>IF(AND(C45&gt;0,F45&gt;0),ABS(F45-C45)/C45,"")</f>
        <v/>
      </c>
      <c r="K45" s="46" t="str">
        <f>IF(AND(C45&gt;0,G45&gt;0),IF(AND(C45&gt;=G45,C45&lt;=H45),"✓","✗"),"")</f>
        <v/>
      </c>
      <c r="L45" s="48">
        <f>IF(AND(C45&gt;0,C44&gt;0),(C45-C44)/C44,"")</f>
        <v>-4.7357584076870282E-2</v>
      </c>
      <c r="M45" s="47">
        <v>524</v>
      </c>
      <c r="N45" s="47">
        <v>864</v>
      </c>
    </row>
    <row r="46" spans="1:14">
      <c r="A46" s="41" t="s">
        <v>91</v>
      </c>
      <c r="B46" s="41">
        <v>11</v>
      </c>
      <c r="C46" s="42">
        <v>1351</v>
      </c>
      <c r="D46" s="51">
        <v>87797</v>
      </c>
      <c r="E46" s="52">
        <v>64.989999999999995</v>
      </c>
      <c r="F46" s="42"/>
      <c r="G46" s="42"/>
      <c r="H46" s="42"/>
      <c r="I46" s="45"/>
      <c r="J46" s="44" t="str">
        <f>IF(AND(C46&gt;0,F46&gt;0),ABS(F46-C46)/C46,"")</f>
        <v/>
      </c>
      <c r="K46" s="41" t="str">
        <f>IF(AND(C46&gt;0,G46&gt;0),IF(AND(C46&gt;=G46,C46&lt;=H46),"✓","✗"),"")</f>
        <v/>
      </c>
      <c r="L46" s="43">
        <f>IF(AND(C46&gt;0,C45&gt;0),(C46-C45)/C45,"")</f>
        <v>-2.6657060518731988E-2</v>
      </c>
      <c r="M46" s="42">
        <v>533</v>
      </c>
      <c r="N46" s="42">
        <v>818</v>
      </c>
    </row>
    <row r="47" spans="1:14">
      <c r="A47" s="46" t="s">
        <v>92</v>
      </c>
      <c r="B47" s="46">
        <v>12</v>
      </c>
      <c r="C47" s="47">
        <v>1326</v>
      </c>
      <c r="D47" s="53">
        <v>89886</v>
      </c>
      <c r="E47" s="54">
        <v>67.790000000000006</v>
      </c>
      <c r="F47" s="47"/>
      <c r="G47" s="47"/>
      <c r="H47" s="47"/>
      <c r="I47" s="50"/>
      <c r="J47" s="49" t="str">
        <f>IF(AND(C47&gt;0,F47&gt;0),ABS(F47-C47)/C47,"")</f>
        <v/>
      </c>
      <c r="K47" s="46" t="str">
        <f>IF(AND(C47&gt;0,G47&gt;0),IF(AND(C47&gt;=G47,C47&lt;=H47),"✓","✗"),"")</f>
        <v/>
      </c>
      <c r="L47" s="48">
        <f>IF(AND(C47&gt;0,C46&gt;0),(C47-C46)/C46,"")</f>
        <v>-1.8504811250925242E-2</v>
      </c>
      <c r="M47" s="47">
        <v>434</v>
      </c>
      <c r="N47" s="47">
        <v>892</v>
      </c>
    </row>
    <row r="48" spans="1:14">
      <c r="A48" s="41" t="s">
        <v>93</v>
      </c>
      <c r="B48" s="41">
        <v>13</v>
      </c>
      <c r="C48" s="42">
        <v>1480</v>
      </c>
      <c r="D48" s="51">
        <v>85595</v>
      </c>
      <c r="E48" s="52">
        <v>57.83</v>
      </c>
      <c r="F48" s="42"/>
      <c r="G48" s="42"/>
      <c r="H48" s="42"/>
      <c r="I48" s="45"/>
      <c r="J48" s="44" t="str">
        <f>IF(AND(C48&gt;0,F48&gt;0),ABS(F48-C48)/C48,"")</f>
        <v/>
      </c>
      <c r="K48" s="41" t="str">
        <f>IF(AND(C48&gt;0,G48&gt;0),IF(AND(C48&gt;=G48,C48&lt;=H48),"✓","✗"),"")</f>
        <v/>
      </c>
      <c r="L48" s="43">
        <f>IF(AND(C48&gt;0,C47&gt;0),(C48-C47)/C47,"")</f>
        <v>0.11613876319758673</v>
      </c>
      <c r="M48" s="42">
        <v>542</v>
      </c>
      <c r="N48" s="42">
        <v>938</v>
      </c>
    </row>
    <row r="49" spans="1:14">
      <c r="A49" s="46" t="s">
        <v>94</v>
      </c>
      <c r="B49" s="46">
        <v>14</v>
      </c>
      <c r="C49" s="47">
        <v>1458</v>
      </c>
      <c r="D49" s="53">
        <v>85243</v>
      </c>
      <c r="E49" s="54">
        <v>58.47</v>
      </c>
      <c r="F49" s="47"/>
      <c r="G49" s="47"/>
      <c r="H49" s="47"/>
      <c r="I49" s="50"/>
      <c r="J49" s="49" t="str">
        <f>IF(AND(C49&gt;0,F49&gt;0),ABS(F49-C49)/C49,"")</f>
        <v/>
      </c>
      <c r="K49" s="46" t="str">
        <f>IF(AND(C49&gt;0,G49&gt;0),IF(AND(C49&gt;=G49,C49&lt;=H49),"✓","✗"),"")</f>
        <v/>
      </c>
      <c r="L49" s="48">
        <f>IF(AND(C49&gt;0,C48&gt;0),(C49-C48)/C48,"")</f>
        <v>-1.4864864864864866E-2</v>
      </c>
      <c r="M49" s="47">
        <v>473</v>
      </c>
      <c r="N49" s="47">
        <v>985</v>
      </c>
    </row>
    <row r="50" spans="1:14">
      <c r="A50" s="41" t="s">
        <v>95</v>
      </c>
      <c r="B50" s="41">
        <v>15</v>
      </c>
      <c r="C50" s="42">
        <v>1453</v>
      </c>
      <c r="D50" s="51">
        <v>90876</v>
      </c>
      <c r="E50" s="52">
        <v>62.54</v>
      </c>
      <c r="F50" s="42"/>
      <c r="G50" s="42"/>
      <c r="H50" s="42"/>
      <c r="I50" s="45"/>
      <c r="J50" s="44" t="str">
        <f>IF(AND(C50&gt;0,F50&gt;0),ABS(F50-C50)/C50,"")</f>
        <v/>
      </c>
      <c r="K50" s="41" t="str">
        <f>IF(AND(C50&gt;0,G50&gt;0),IF(AND(C50&gt;=G50,C50&lt;=H50),"✓","✗"),"")</f>
        <v/>
      </c>
      <c r="L50" s="43">
        <f>IF(AND(C50&gt;0,C49&gt;0),(C50-C49)/C49,"")</f>
        <v>-3.4293552812071329E-3</v>
      </c>
      <c r="M50" s="42">
        <v>473</v>
      </c>
      <c r="N50" s="42">
        <v>980</v>
      </c>
    </row>
    <row r="51" spans="1:14">
      <c r="A51" s="36" t="s">
        <v>96</v>
      </c>
      <c r="B51" s="36">
        <v>16</v>
      </c>
      <c r="C51" s="36"/>
      <c r="D51" s="36"/>
      <c r="E51" s="36"/>
      <c r="F51" s="37">
        <v>1123</v>
      </c>
      <c r="G51" s="37">
        <v>898</v>
      </c>
      <c r="H51" s="37">
        <v>1348</v>
      </c>
      <c r="I51" s="40">
        <v>0.4</v>
      </c>
      <c r="J51" s="39" t="str">
        <f>IF(AND(C51&gt;0,F51&gt;0),ABS(F51-C51)/C51,"")</f>
        <v/>
      </c>
      <c r="K51" s="36" t="str">
        <f>IF(AND(C51&gt;0,G51&gt;0),IF(AND(C51&gt;=G51,C51&lt;=H51),"✓","✗"),"")</f>
        <v/>
      </c>
      <c r="L51" s="38" t="str">
        <f>IF(AND(C51&gt;0,C50&gt;0),(C51-C50)/C50,"")</f>
        <v/>
      </c>
      <c r="M51" s="36"/>
      <c r="N51" s="36"/>
    </row>
    <row r="52" spans="1:14">
      <c r="A52" s="36" t="s">
        <v>97</v>
      </c>
      <c r="B52" s="36">
        <v>17</v>
      </c>
      <c r="C52" s="36"/>
      <c r="D52" s="36"/>
      <c r="E52" s="36"/>
      <c r="F52" s="37">
        <v>1123</v>
      </c>
      <c r="G52" s="37">
        <v>898</v>
      </c>
      <c r="H52" s="37">
        <v>1348</v>
      </c>
      <c r="I52" s="40">
        <v>0.4</v>
      </c>
      <c r="J52" s="39" t="str">
        <f>IF(AND(C52&gt;0,F52&gt;0),ABS(F52-C52)/C52,"")</f>
        <v/>
      </c>
      <c r="K52" s="36" t="str">
        <f>IF(AND(C52&gt;0,G52&gt;0),IF(AND(C52&gt;=G52,C52&lt;=H52),"✓","✗"),"")</f>
        <v/>
      </c>
      <c r="L52" s="38" t="str">
        <f>IF(AND(C52&gt;0,C51&gt;0),(C52-C51)/C51,"")</f>
        <v/>
      </c>
      <c r="M52" s="36"/>
      <c r="N52" s="36"/>
    </row>
    <row r="53" spans="1:14">
      <c r="A53" s="36" t="s">
        <v>98</v>
      </c>
      <c r="B53" s="36">
        <v>18</v>
      </c>
      <c r="C53" s="36"/>
      <c r="D53" s="36"/>
      <c r="E53" s="36"/>
      <c r="F53" s="37">
        <v>872</v>
      </c>
      <c r="G53" s="37">
        <v>698</v>
      </c>
      <c r="H53" s="37">
        <v>1046</v>
      </c>
      <c r="I53" s="40">
        <v>0.4</v>
      </c>
      <c r="J53" s="39" t="str">
        <f>IF(AND(C53&gt;0,F53&gt;0),ABS(F53-C53)/C53,"")</f>
        <v/>
      </c>
      <c r="K53" s="36" t="str">
        <f>IF(AND(C53&gt;0,G53&gt;0),IF(AND(C53&gt;=G53,C53&lt;=H53),"✓","✗"),"")</f>
        <v/>
      </c>
      <c r="L53" s="38" t="str">
        <f>IF(AND(C53&gt;0,C52&gt;0),(C53-C52)/C52,"")</f>
        <v/>
      </c>
      <c r="M53" s="36"/>
      <c r="N53" s="36"/>
    </row>
    <row r="54" spans="1:14">
      <c r="A54" s="36" t="s">
        <v>99</v>
      </c>
      <c r="B54" s="36">
        <v>19</v>
      </c>
      <c r="C54" s="36"/>
      <c r="D54" s="36"/>
      <c r="E54" s="36"/>
      <c r="F54" s="37">
        <v>872</v>
      </c>
      <c r="G54" s="37">
        <v>698</v>
      </c>
      <c r="H54" s="37">
        <v>1046</v>
      </c>
      <c r="I54" s="40">
        <v>0.4</v>
      </c>
      <c r="J54" s="39" t="str">
        <f>IF(AND(C54&gt;0,F54&gt;0),ABS(F54-C54)/C54,"")</f>
        <v/>
      </c>
      <c r="K54" s="36" t="str">
        <f>IF(AND(C54&gt;0,G54&gt;0),IF(AND(C54&gt;=G54,C54&lt;=H54),"✓","✗"),"")</f>
        <v/>
      </c>
      <c r="L54" s="38" t="str">
        <f>IF(AND(C54&gt;0,C53&gt;0),(C54-C53)/C53,"")</f>
        <v/>
      </c>
      <c r="M54" s="36"/>
      <c r="N54" s="36"/>
    </row>
    <row r="55" spans="1:14">
      <c r="A55" s="36" t="s">
        <v>100</v>
      </c>
      <c r="B55" s="36">
        <v>20</v>
      </c>
      <c r="C55" s="36"/>
      <c r="D55" s="36"/>
      <c r="E55" s="36"/>
      <c r="F55" s="37">
        <v>872</v>
      </c>
      <c r="G55" s="37">
        <v>698</v>
      </c>
      <c r="H55" s="37">
        <v>1046</v>
      </c>
      <c r="I55" s="40">
        <v>0.4</v>
      </c>
      <c r="J55" s="39" t="str">
        <f>IF(AND(C55&gt;0,F55&gt;0),ABS(F55-C55)/C55,"")</f>
        <v/>
      </c>
      <c r="K55" s="36" t="str">
        <f>IF(AND(C55&gt;0,G55&gt;0),IF(AND(C55&gt;=G55,C55&lt;=H55),"✓","✗"),"")</f>
        <v/>
      </c>
      <c r="L55" s="38" t="str">
        <f>IF(AND(C55&gt;0,C54&gt;0),(C55-C54)/C54,"")</f>
        <v/>
      </c>
      <c r="M55" s="36"/>
      <c r="N55" s="36"/>
    </row>
    <row r="56" spans="1:14">
      <c r="A56" s="36" t="s">
        <v>101</v>
      </c>
      <c r="B56" s="36">
        <v>21</v>
      </c>
      <c r="C56" s="36"/>
      <c r="D56" s="36"/>
      <c r="E56" s="36"/>
      <c r="F56" s="37">
        <v>872</v>
      </c>
      <c r="G56" s="37">
        <v>698</v>
      </c>
      <c r="H56" s="37">
        <v>1046</v>
      </c>
      <c r="I56" s="40">
        <v>0.4</v>
      </c>
      <c r="J56" s="39" t="str">
        <f>IF(AND(C56&gt;0,F56&gt;0),ABS(F56-C56)/C56,"")</f>
        <v/>
      </c>
      <c r="K56" s="36" t="str">
        <f>IF(AND(C56&gt;0,G56&gt;0),IF(AND(C56&gt;=G56,C56&lt;=H56),"✓","✗"),"")</f>
        <v/>
      </c>
      <c r="L56" s="38" t="str">
        <f>IF(AND(C56&gt;0,C55&gt;0),(C56-C55)/C55,"")</f>
        <v/>
      </c>
      <c r="M56" s="36"/>
      <c r="N56" s="36"/>
    </row>
    <row r="57" spans="1:14">
      <c r="A57" s="36" t="s">
        <v>102</v>
      </c>
      <c r="B57" s="36">
        <v>22</v>
      </c>
      <c r="C57" s="36"/>
      <c r="D57" s="36"/>
      <c r="E57" s="36"/>
      <c r="F57" s="37">
        <v>872</v>
      </c>
      <c r="G57" s="37">
        <v>698</v>
      </c>
      <c r="H57" s="37">
        <v>1046</v>
      </c>
      <c r="I57" s="40">
        <v>0.4</v>
      </c>
      <c r="J57" s="39" t="str">
        <f>IF(AND(C57&gt;0,F57&gt;0),ABS(F57-C57)/C57,"")</f>
        <v/>
      </c>
      <c r="K57" s="36" t="str">
        <f>IF(AND(C57&gt;0,G57&gt;0),IF(AND(C57&gt;=G57,C57&lt;=H57),"✓","✗"),"")</f>
        <v/>
      </c>
      <c r="L57" s="38" t="str">
        <f>IF(AND(C57&gt;0,C56&gt;0),(C57-C56)/C56,"")</f>
        <v/>
      </c>
      <c r="M57" s="36"/>
      <c r="N57" s="36"/>
    </row>
    <row r="58" spans="1:14">
      <c r="A58" s="36" t="s">
        <v>103</v>
      </c>
      <c r="B58" s="36">
        <v>23</v>
      </c>
      <c r="C58" s="36"/>
      <c r="D58" s="36"/>
      <c r="E58" s="36"/>
      <c r="F58" s="37">
        <v>1057</v>
      </c>
      <c r="G58" s="37">
        <v>846</v>
      </c>
      <c r="H58" s="37">
        <v>1268</v>
      </c>
      <c r="I58" s="40">
        <v>0.4</v>
      </c>
      <c r="J58" s="39" t="str">
        <f>IF(AND(C58&gt;0,F58&gt;0),ABS(F58-C58)/C58,"")</f>
        <v/>
      </c>
      <c r="K58" s="36" t="str">
        <f>IF(AND(C58&gt;0,G58&gt;0),IF(AND(C58&gt;=G58,C58&lt;=H58),"✓","✗"),"")</f>
        <v/>
      </c>
      <c r="L58" s="38" t="str">
        <f>IF(AND(C58&gt;0,C57&gt;0),(C58-C57)/C57,"")</f>
        <v/>
      </c>
      <c r="M58" s="36"/>
      <c r="N58" s="36"/>
    </row>
    <row r="59" spans="1:14">
      <c r="A59" s="36" t="s">
        <v>104</v>
      </c>
      <c r="B59" s="36">
        <v>24</v>
      </c>
      <c r="C59" s="36"/>
      <c r="D59" s="36"/>
      <c r="E59" s="36"/>
      <c r="F59" s="37">
        <v>1057</v>
      </c>
      <c r="G59" s="37">
        <v>846</v>
      </c>
      <c r="H59" s="37">
        <v>1268</v>
      </c>
      <c r="I59" s="40">
        <v>0.4</v>
      </c>
      <c r="J59" s="39" t="str">
        <f>IF(AND(C59&gt;0,F59&gt;0),ABS(F59-C59)/C59,"")</f>
        <v/>
      </c>
      <c r="K59" s="36" t="str">
        <f>IF(AND(C59&gt;0,G59&gt;0),IF(AND(C59&gt;=G59,C59&lt;=H59),"✓","✗"),"")</f>
        <v/>
      </c>
      <c r="L59" s="38" t="str">
        <f>IF(AND(C59&gt;0,C58&gt;0),(C59-C58)/C58,"")</f>
        <v/>
      </c>
      <c r="M59" s="36"/>
      <c r="N59" s="36"/>
    </row>
    <row r="60" spans="1:14">
      <c r="A60" s="36" t="s">
        <v>105</v>
      </c>
      <c r="B60" s="36">
        <v>25</v>
      </c>
      <c r="C60" s="36"/>
      <c r="D60" s="36"/>
      <c r="E60" s="36"/>
      <c r="F60" s="37">
        <v>1057</v>
      </c>
      <c r="G60" s="37">
        <v>846</v>
      </c>
      <c r="H60" s="37">
        <v>1268</v>
      </c>
      <c r="I60" s="40">
        <v>0.4</v>
      </c>
      <c r="J60" s="39" t="str">
        <f>IF(AND(C60&gt;0,F60&gt;0),ABS(F60-C60)/C60,"")</f>
        <v/>
      </c>
      <c r="K60" s="36" t="str">
        <f>IF(AND(C60&gt;0,G60&gt;0),IF(AND(C60&gt;=G60,C60&lt;=H60),"✓","✗"),"")</f>
        <v/>
      </c>
      <c r="L60" s="38" t="str">
        <f>IF(AND(C60&gt;0,C59&gt;0),(C60-C59)/C59,"")</f>
        <v/>
      </c>
      <c r="M60" s="36"/>
      <c r="N60" s="36"/>
    </row>
    <row r="61" spans="1:14">
      <c r="A61" s="36" t="s">
        <v>106</v>
      </c>
      <c r="B61" s="36">
        <v>26</v>
      </c>
      <c r="C61" s="36"/>
      <c r="D61" s="36"/>
      <c r="E61" s="36"/>
      <c r="F61" s="37">
        <v>1057</v>
      </c>
      <c r="G61" s="37">
        <v>846</v>
      </c>
      <c r="H61" s="37">
        <v>1268</v>
      </c>
      <c r="I61" s="40">
        <v>0.4</v>
      </c>
      <c r="J61" s="39" t="str">
        <f>IF(AND(C61&gt;0,F61&gt;0),ABS(F61-C61)/C61,"")</f>
        <v/>
      </c>
      <c r="K61" s="36" t="str">
        <f>IF(AND(C61&gt;0,G61&gt;0),IF(AND(C61&gt;=G61,C61&lt;=H61),"✓","✗"),"")</f>
        <v/>
      </c>
      <c r="L61" s="38" t="str">
        <f>IF(AND(C61&gt;0,C60&gt;0),(C61-C60)/C60,"")</f>
        <v/>
      </c>
      <c r="M61" s="36"/>
      <c r="N61" s="36"/>
    </row>
    <row r="62" spans="1:14">
      <c r="A62" s="36" t="s">
        <v>107</v>
      </c>
      <c r="B62" s="36">
        <v>27</v>
      </c>
      <c r="C62" s="36"/>
      <c r="D62" s="36"/>
      <c r="E62" s="36"/>
      <c r="F62" s="37">
        <v>949</v>
      </c>
      <c r="G62" s="37">
        <v>759</v>
      </c>
      <c r="H62" s="37">
        <v>1139</v>
      </c>
      <c r="I62" s="40">
        <v>0.4</v>
      </c>
      <c r="J62" s="39" t="str">
        <f>IF(AND(C62&gt;0,F62&gt;0),ABS(F62-C62)/C62,"")</f>
        <v/>
      </c>
      <c r="K62" s="36" t="str">
        <f>IF(AND(C62&gt;0,G62&gt;0),IF(AND(C62&gt;=G62,C62&lt;=H62),"✓","✗"),"")</f>
        <v/>
      </c>
      <c r="L62" s="38" t="str">
        <f>IF(AND(C62&gt;0,C61&gt;0),(C62-C61)/C61,"")</f>
        <v/>
      </c>
      <c r="M62" s="36"/>
      <c r="N62" s="36"/>
    </row>
    <row r="63" spans="1:14">
      <c r="A63" s="36" t="s">
        <v>108</v>
      </c>
      <c r="B63" s="36">
        <v>28</v>
      </c>
      <c r="C63" s="36"/>
      <c r="D63" s="36"/>
      <c r="E63" s="36"/>
      <c r="F63" s="37">
        <v>949</v>
      </c>
      <c r="G63" s="37">
        <v>759</v>
      </c>
      <c r="H63" s="37">
        <v>1139</v>
      </c>
      <c r="I63" s="40">
        <v>0.4</v>
      </c>
      <c r="J63" s="39" t="str">
        <f>IF(AND(C63&gt;0,F63&gt;0),ABS(F63-C63)/C63,"")</f>
        <v/>
      </c>
      <c r="K63" s="36" t="str">
        <f>IF(AND(C63&gt;0,G63&gt;0),IF(AND(C63&gt;=G63,C63&lt;=H63),"✓","✗"),"")</f>
        <v/>
      </c>
      <c r="L63" s="38" t="str">
        <f>IF(AND(C63&gt;0,C62&gt;0),(C63-C62)/C62,"")</f>
        <v/>
      </c>
      <c r="M63" s="36"/>
      <c r="N63" s="36"/>
    </row>
    <row r="64" spans="1:14">
      <c r="A64" s="36" t="s">
        <v>109</v>
      </c>
      <c r="B64" s="36">
        <v>29</v>
      </c>
      <c r="C64" s="36"/>
      <c r="D64" s="36"/>
      <c r="E64" s="36"/>
      <c r="F64" s="37">
        <v>949</v>
      </c>
      <c r="G64" s="37">
        <v>759</v>
      </c>
      <c r="H64" s="37">
        <v>1139</v>
      </c>
      <c r="I64" s="40">
        <v>0.4</v>
      </c>
      <c r="J64" s="39" t="str">
        <f>IF(AND(C64&gt;0,F64&gt;0),ABS(F64-C64)/C64,"")</f>
        <v/>
      </c>
      <c r="K64" s="36" t="str">
        <f>IF(AND(C64&gt;0,G64&gt;0),IF(AND(C64&gt;=G64,C64&lt;=H64),"✓","✗"),"")</f>
        <v/>
      </c>
      <c r="L64" s="38" t="str">
        <f>IF(AND(C64&gt;0,C63&gt;0),(C64-C63)/C63,"")</f>
        <v/>
      </c>
      <c r="M64" s="36"/>
      <c r="N64" s="36"/>
    </row>
    <row r="65" spans="1:14">
      <c r="A65" s="36" t="s">
        <v>110</v>
      </c>
      <c r="B65" s="36">
        <v>30</v>
      </c>
      <c r="C65" s="36"/>
      <c r="D65" s="36"/>
      <c r="E65" s="36"/>
      <c r="F65" s="37">
        <v>949</v>
      </c>
      <c r="G65" s="37">
        <v>759</v>
      </c>
      <c r="H65" s="37">
        <v>1139</v>
      </c>
      <c r="I65" s="40">
        <v>0.4</v>
      </c>
      <c r="J65" s="39" t="str">
        <f>IF(AND(C65&gt;0,F65&gt;0),ABS(F65-C65)/C65,"")</f>
        <v/>
      </c>
      <c r="K65" s="36" t="str">
        <f>IF(AND(C65&gt;0,G65&gt;0),IF(AND(C65&gt;=G65,C65&lt;=H65),"✓","✗"),"")</f>
        <v/>
      </c>
      <c r="L65" s="38" t="str">
        <f>IF(AND(C65&gt;0,C64&gt;0),(C65-C64)/C64,"")</f>
        <v/>
      </c>
      <c r="M65" s="36"/>
      <c r="N65" s="36"/>
    </row>
    <row r="66" spans="1:14">
      <c r="A66" s="36" t="s">
        <v>111</v>
      </c>
      <c r="B66" s="36">
        <v>31</v>
      </c>
      <c r="C66" s="36"/>
      <c r="D66" s="36"/>
      <c r="E66" s="36"/>
      <c r="F66" s="37">
        <v>949</v>
      </c>
      <c r="G66" s="37">
        <v>759</v>
      </c>
      <c r="H66" s="37">
        <v>1139</v>
      </c>
      <c r="I66" s="40">
        <v>0.4</v>
      </c>
      <c r="J66" s="39" t="str">
        <f>IF(AND(C66&gt;0,F66&gt;0),ABS(F66-C66)/C66,"")</f>
        <v/>
      </c>
      <c r="K66" s="36" t="str">
        <f>IF(AND(C66&gt;0,G66&gt;0),IF(AND(C66&gt;=G66,C66&lt;=H66),"✓","✗"),"")</f>
        <v/>
      </c>
      <c r="L66" s="38" t="str">
        <f>IF(AND(C66&gt;0,C65&gt;0),(C66-C65)/C65,"")</f>
        <v/>
      </c>
      <c r="M66" s="36"/>
      <c r="N66" s="36"/>
    </row>
    <row r="67" spans="1:14">
      <c r="A67" s="36" t="s">
        <v>112</v>
      </c>
      <c r="B67" s="36">
        <v>32</v>
      </c>
      <c r="C67" s="36"/>
      <c r="D67" s="36"/>
      <c r="E67" s="36"/>
      <c r="F67" s="37">
        <v>1034</v>
      </c>
      <c r="G67" s="37">
        <v>827</v>
      </c>
      <c r="H67" s="37">
        <v>1241</v>
      </c>
      <c r="I67" s="40">
        <v>0.4</v>
      </c>
      <c r="J67" s="39" t="str">
        <f>IF(AND(C67&gt;0,F67&gt;0),ABS(F67-C67)/C67,"")</f>
        <v/>
      </c>
      <c r="K67" s="36" t="str">
        <f>IF(AND(C67&gt;0,G67&gt;0),IF(AND(C67&gt;=G67,C67&lt;=H67),"✓","✗"),"")</f>
        <v/>
      </c>
      <c r="L67" s="38" t="str">
        <f>IF(AND(C67&gt;0,C66&gt;0),(C67-C66)/C66,"")</f>
        <v/>
      </c>
      <c r="M67" s="36"/>
      <c r="N67" s="36"/>
    </row>
    <row r="68" spans="1:14">
      <c r="A68" s="36" t="s">
        <v>113</v>
      </c>
      <c r="B68" s="36">
        <v>33</v>
      </c>
      <c r="C68" s="36"/>
      <c r="D68" s="36"/>
      <c r="E68" s="36"/>
      <c r="F68" s="37">
        <v>1034</v>
      </c>
      <c r="G68" s="37">
        <v>827</v>
      </c>
      <c r="H68" s="37">
        <v>1241</v>
      </c>
      <c r="I68" s="40">
        <v>0.4</v>
      </c>
      <c r="J68" s="39" t="str">
        <f>IF(AND(C68&gt;0,F68&gt;0),ABS(F68-C68)/C68,"")</f>
        <v/>
      </c>
      <c r="K68" s="36" t="str">
        <f>IF(AND(C68&gt;0,G68&gt;0),IF(AND(C68&gt;=G68,C68&lt;=H68),"✓","✗"),"")</f>
        <v/>
      </c>
      <c r="L68" s="38" t="str">
        <f>IF(AND(C68&gt;0,C67&gt;0),(C68-C67)/C67,"")</f>
        <v/>
      </c>
      <c r="M68" s="36"/>
      <c r="N68" s="36"/>
    </row>
    <row r="69" spans="1:14">
      <c r="A69" s="36" t="s">
        <v>114</v>
      </c>
      <c r="B69" s="36">
        <v>34</v>
      </c>
      <c r="C69" s="36"/>
      <c r="D69" s="36"/>
      <c r="E69" s="36"/>
      <c r="F69" s="37">
        <v>1034</v>
      </c>
      <c r="G69" s="37">
        <v>827</v>
      </c>
      <c r="H69" s="37">
        <v>1241</v>
      </c>
      <c r="I69" s="40">
        <v>0.4</v>
      </c>
      <c r="J69" s="39" t="str">
        <f>IF(AND(C69&gt;0,F69&gt;0),ABS(F69-C69)/C69,"")</f>
        <v/>
      </c>
      <c r="K69" s="36" t="str">
        <f>IF(AND(C69&gt;0,G69&gt;0),IF(AND(C69&gt;=G69,C69&lt;=H69),"✓","✗"),"")</f>
        <v/>
      </c>
      <c r="L69" s="38" t="str">
        <f>IF(AND(C69&gt;0,C68&gt;0),(C69-C68)/C68,"")</f>
        <v/>
      </c>
      <c r="M69" s="36"/>
      <c r="N69" s="36"/>
    </row>
    <row r="70" spans="1:14">
      <c r="A70" s="36" t="s">
        <v>115</v>
      </c>
      <c r="B70" s="36">
        <v>35</v>
      </c>
      <c r="C70" s="36"/>
      <c r="D70" s="36"/>
      <c r="E70" s="36"/>
      <c r="F70" s="37">
        <v>1034</v>
      </c>
      <c r="G70" s="37">
        <v>827</v>
      </c>
      <c r="H70" s="37">
        <v>1241</v>
      </c>
      <c r="I70" s="40">
        <v>0.4</v>
      </c>
      <c r="J70" s="39" t="str">
        <f>IF(AND(C70&gt;0,F70&gt;0),ABS(F70-C70)/C70,"")</f>
        <v/>
      </c>
      <c r="K70" s="36" t="str">
        <f>IF(AND(C70&gt;0,G70&gt;0),IF(AND(C70&gt;=G70,C70&lt;=H70),"✓","✗"),"")</f>
        <v/>
      </c>
      <c r="L70" s="38" t="str">
        <f>IF(AND(C70&gt;0,C69&gt;0),(C70-C69)/C69,"")</f>
        <v/>
      </c>
      <c r="M70" s="36"/>
      <c r="N70" s="36"/>
    </row>
    <row r="71" spans="1:14">
      <c r="A71" s="36" t="s">
        <v>116</v>
      </c>
      <c r="B71" s="36">
        <v>36</v>
      </c>
      <c r="C71" s="36"/>
      <c r="D71" s="36"/>
      <c r="E71" s="36"/>
      <c r="F71" s="37">
        <v>1396</v>
      </c>
      <c r="G71" s="37">
        <v>1117</v>
      </c>
      <c r="H71" s="37">
        <v>1675</v>
      </c>
      <c r="I71" s="40">
        <v>0.4</v>
      </c>
      <c r="J71" s="39" t="str">
        <f>IF(AND(C71&gt;0,F71&gt;0),ABS(F71-C71)/C71,"")</f>
        <v/>
      </c>
      <c r="K71" s="36" t="str">
        <f>IF(AND(C71&gt;0,G71&gt;0),IF(AND(C71&gt;=G71,C71&lt;=H71),"✓","✗"),"")</f>
        <v/>
      </c>
      <c r="L71" s="38" t="str">
        <f>IF(AND(C71&gt;0,C70&gt;0),(C71-C70)/C70,"")</f>
        <v/>
      </c>
      <c r="M71" s="36"/>
      <c r="N71" s="36"/>
    </row>
    <row r="72" spans="1:14">
      <c r="A72" s="36" t="s">
        <v>117</v>
      </c>
      <c r="B72" s="36">
        <v>37</v>
      </c>
      <c r="C72" s="36"/>
      <c r="D72" s="36"/>
      <c r="E72" s="36"/>
      <c r="F72" s="37">
        <v>1396</v>
      </c>
      <c r="G72" s="37">
        <v>1117</v>
      </c>
      <c r="H72" s="37">
        <v>1675</v>
      </c>
      <c r="I72" s="40">
        <v>0.4</v>
      </c>
      <c r="J72" s="39" t="str">
        <f>IF(AND(C72&gt;0,F72&gt;0),ABS(F72-C72)/C72,"")</f>
        <v/>
      </c>
      <c r="K72" s="36" t="str">
        <f>IF(AND(C72&gt;0,G72&gt;0),IF(AND(C72&gt;=G72,C72&lt;=H72),"✓","✗"),"")</f>
        <v/>
      </c>
      <c r="L72" s="38" t="str">
        <f>IF(AND(C72&gt;0,C71&gt;0),(C72-C71)/C71,"")</f>
        <v/>
      </c>
      <c r="M72" s="36"/>
      <c r="N72" s="36"/>
    </row>
    <row r="73" spans="1:14">
      <c r="A73" s="36" t="s">
        <v>118</v>
      </c>
      <c r="B73" s="36">
        <v>38</v>
      </c>
      <c r="C73" s="36"/>
      <c r="D73" s="36"/>
      <c r="E73" s="36"/>
      <c r="F73" s="37">
        <v>1396</v>
      </c>
      <c r="G73" s="37">
        <v>1117</v>
      </c>
      <c r="H73" s="37">
        <v>1675</v>
      </c>
      <c r="I73" s="40">
        <v>0.4</v>
      </c>
      <c r="J73" s="39" t="str">
        <f>IF(AND(C73&gt;0,F73&gt;0),ABS(F73-C73)/C73,"")</f>
        <v/>
      </c>
      <c r="K73" s="36" t="str">
        <f>IF(AND(C73&gt;0,G73&gt;0),IF(AND(C73&gt;=G73,C73&lt;=H73),"✓","✗"),"")</f>
        <v/>
      </c>
      <c r="L73" s="38" t="str">
        <f>IF(AND(C73&gt;0,C72&gt;0),(C73-C72)/C72,"")</f>
        <v/>
      </c>
      <c r="M73" s="36"/>
      <c r="N73" s="36"/>
    </row>
    <row r="74" spans="1:14">
      <c r="A74" s="36" t="s">
        <v>119</v>
      </c>
      <c r="B74" s="36">
        <v>39</v>
      </c>
      <c r="C74" s="36"/>
      <c r="D74" s="36"/>
      <c r="E74" s="36"/>
      <c r="F74" s="37">
        <v>1396</v>
      </c>
      <c r="G74" s="37">
        <v>1117</v>
      </c>
      <c r="H74" s="37">
        <v>1675</v>
      </c>
      <c r="I74" s="40">
        <v>0.4</v>
      </c>
      <c r="J74" s="39" t="str">
        <f>IF(AND(C74&gt;0,F74&gt;0),ABS(F74-C74)/C74,"")</f>
        <v/>
      </c>
      <c r="K74" s="36" t="str">
        <f>IF(AND(C74&gt;0,G74&gt;0),IF(AND(C74&gt;=G74,C74&lt;=H74),"✓","✗"),"")</f>
        <v/>
      </c>
      <c r="L74" s="38" t="str">
        <f>IF(AND(C74&gt;0,C73&gt;0),(C74-C73)/C73,"")</f>
        <v/>
      </c>
      <c r="M74" s="36"/>
      <c r="N74" s="36"/>
    </row>
    <row r="75" spans="1:14">
      <c r="A75" s="36" t="s">
        <v>120</v>
      </c>
      <c r="B75" s="36">
        <v>40</v>
      </c>
      <c r="C75" s="36"/>
      <c r="D75" s="36"/>
      <c r="E75" s="36"/>
      <c r="F75" s="37">
        <v>1255</v>
      </c>
      <c r="G75" s="37">
        <v>1004</v>
      </c>
      <c r="H75" s="37">
        <v>1506</v>
      </c>
      <c r="I75" s="40">
        <v>0.4</v>
      </c>
      <c r="J75" s="39" t="str">
        <f>IF(AND(C75&gt;0,F75&gt;0),ABS(F75-C75)/C75,"")</f>
        <v/>
      </c>
      <c r="K75" s="36" t="str">
        <f>IF(AND(C75&gt;0,G75&gt;0),IF(AND(C75&gt;=G75,C75&lt;=H75),"✓","✗"),"")</f>
        <v/>
      </c>
      <c r="L75" s="38" t="str">
        <f>IF(AND(C75&gt;0,C74&gt;0),(C75-C74)/C74,"")</f>
        <v/>
      </c>
      <c r="M75" s="36"/>
      <c r="N75" s="36"/>
    </row>
    <row r="76" spans="1:14">
      <c r="A76" s="36" t="s">
        <v>121</v>
      </c>
      <c r="B76" s="36">
        <v>41</v>
      </c>
      <c r="C76" s="36"/>
      <c r="D76" s="36"/>
      <c r="E76" s="36"/>
      <c r="F76" s="37">
        <v>1255</v>
      </c>
      <c r="G76" s="37">
        <v>1004</v>
      </c>
      <c r="H76" s="37">
        <v>1506</v>
      </c>
      <c r="I76" s="40">
        <v>0.4</v>
      </c>
      <c r="J76" s="39" t="str">
        <f>IF(AND(C76&gt;0,F76&gt;0),ABS(F76-C76)/C76,"")</f>
        <v/>
      </c>
      <c r="K76" s="36" t="str">
        <f>IF(AND(C76&gt;0,G76&gt;0),IF(AND(C76&gt;=G76,C76&lt;=H76),"✓","✗"),"")</f>
        <v/>
      </c>
      <c r="L76" s="38" t="str">
        <f>IF(AND(C76&gt;0,C75&gt;0),(C76-C75)/C75,"")</f>
        <v/>
      </c>
      <c r="M76" s="36"/>
      <c r="N76" s="36"/>
    </row>
    <row r="77" spans="1:14">
      <c r="A77" s="36" t="s">
        <v>122</v>
      </c>
      <c r="B77" s="36">
        <v>42</v>
      </c>
      <c r="C77" s="36"/>
      <c r="D77" s="36"/>
      <c r="E77" s="36"/>
      <c r="F77" s="37">
        <v>1255</v>
      </c>
      <c r="G77" s="37">
        <v>1004</v>
      </c>
      <c r="H77" s="37">
        <v>1506</v>
      </c>
      <c r="I77" s="40">
        <v>0.4</v>
      </c>
      <c r="J77" s="39" t="str">
        <f>IF(AND(C77&gt;0,F77&gt;0),ABS(F77-C77)/C77,"")</f>
        <v/>
      </c>
      <c r="K77" s="36" t="str">
        <f>IF(AND(C77&gt;0,G77&gt;0),IF(AND(C77&gt;=G77,C77&lt;=H77),"✓","✗"),"")</f>
        <v/>
      </c>
      <c r="L77" s="38" t="str">
        <f>IF(AND(C77&gt;0,C76&gt;0),(C77-C76)/C76,"")</f>
        <v/>
      </c>
      <c r="M77" s="36"/>
      <c r="N77" s="36"/>
    </row>
    <row r="78" spans="1:14">
      <c r="A78" s="36" t="s">
        <v>123</v>
      </c>
      <c r="B78" s="36">
        <v>43</v>
      </c>
      <c r="C78" s="36"/>
      <c r="D78" s="36"/>
      <c r="E78" s="36"/>
      <c r="F78" s="37">
        <v>1255</v>
      </c>
      <c r="G78" s="37">
        <v>1004</v>
      </c>
      <c r="H78" s="37">
        <v>1506</v>
      </c>
      <c r="I78" s="40">
        <v>0.4</v>
      </c>
      <c r="J78" s="39" t="str">
        <f>IF(AND(C78&gt;0,F78&gt;0),ABS(F78-C78)/C78,"")</f>
        <v/>
      </c>
      <c r="K78" s="36" t="str">
        <f>IF(AND(C78&gt;0,G78&gt;0),IF(AND(C78&gt;=G78,C78&lt;=H78),"✓","✗"),"")</f>
        <v/>
      </c>
      <c r="L78" s="38" t="str">
        <f>IF(AND(C78&gt;0,C77&gt;0),(C78-C77)/C77,"")</f>
        <v/>
      </c>
      <c r="M78" s="36"/>
      <c r="N78" s="36"/>
    </row>
    <row r="79" spans="1:14">
      <c r="A79" s="36" t="s">
        <v>124</v>
      </c>
      <c r="B79" s="36">
        <v>44</v>
      </c>
      <c r="C79" s="36"/>
      <c r="D79" s="36"/>
      <c r="E79" s="36"/>
      <c r="F79" s="37">
        <v>1255</v>
      </c>
      <c r="G79" s="37">
        <v>1004</v>
      </c>
      <c r="H79" s="37">
        <v>1506</v>
      </c>
      <c r="I79" s="40">
        <v>0.4</v>
      </c>
      <c r="J79" s="39" t="str">
        <f>IF(AND(C79&gt;0,F79&gt;0),ABS(F79-C79)/C79,"")</f>
        <v/>
      </c>
      <c r="K79" s="36" t="str">
        <f>IF(AND(C79&gt;0,G79&gt;0),IF(AND(C79&gt;=G79,C79&lt;=H79),"✓","✗"),"")</f>
        <v/>
      </c>
      <c r="L79" s="38" t="str">
        <f>IF(AND(C79&gt;0,C78&gt;0),(C79-C78)/C78,"")</f>
        <v/>
      </c>
      <c r="M79" s="36"/>
      <c r="N79" s="36"/>
    </row>
    <row r="80" spans="1:14">
      <c r="A80" s="36" t="s">
        <v>125</v>
      </c>
      <c r="B80" s="36">
        <v>45</v>
      </c>
      <c r="C80" s="36"/>
      <c r="D80" s="36"/>
      <c r="E80" s="36"/>
      <c r="F80" s="37">
        <v>1558</v>
      </c>
      <c r="G80" s="37">
        <v>1246</v>
      </c>
      <c r="H80" s="37">
        <v>1870</v>
      </c>
      <c r="I80" s="40">
        <v>0.4</v>
      </c>
      <c r="J80" s="39" t="str">
        <f>IF(AND(C80&gt;0,F80&gt;0),ABS(F80-C80)/C80,"")</f>
        <v/>
      </c>
      <c r="K80" s="36" t="str">
        <f>IF(AND(C80&gt;0,G80&gt;0),IF(AND(C80&gt;=G80,C80&lt;=H80),"✓","✗"),"")</f>
        <v/>
      </c>
      <c r="L80" s="38" t="str">
        <f>IF(AND(C80&gt;0,C79&gt;0),(C80-C79)/C79,"")</f>
        <v/>
      </c>
      <c r="M80" s="36"/>
      <c r="N80" s="36"/>
    </row>
    <row r="81" spans="1:14">
      <c r="A81" s="36" t="s">
        <v>126</v>
      </c>
      <c r="B81" s="36">
        <v>46</v>
      </c>
      <c r="C81" s="36"/>
      <c r="D81" s="36"/>
      <c r="E81" s="36"/>
      <c r="F81" s="37">
        <v>1558</v>
      </c>
      <c r="G81" s="37">
        <v>1246</v>
      </c>
      <c r="H81" s="37">
        <v>1870</v>
      </c>
      <c r="I81" s="40">
        <v>0.4</v>
      </c>
      <c r="J81" s="39" t="str">
        <f>IF(AND(C81&gt;0,F81&gt;0),ABS(F81-C81)/C81,"")</f>
        <v/>
      </c>
      <c r="K81" s="36" t="str">
        <f>IF(AND(C81&gt;0,G81&gt;0),IF(AND(C81&gt;=G81,C81&lt;=H81),"✓","✗"),"")</f>
        <v/>
      </c>
      <c r="L81" s="38" t="str">
        <f>IF(AND(C81&gt;0,C80&gt;0),(C81-C80)/C80,"")</f>
        <v/>
      </c>
      <c r="M81" s="36"/>
      <c r="N81" s="36"/>
    </row>
    <row r="82" spans="1:14">
      <c r="A82" s="36" t="s">
        <v>127</v>
      </c>
      <c r="B82" s="36">
        <v>47</v>
      </c>
      <c r="C82" s="36"/>
      <c r="D82" s="36"/>
      <c r="E82" s="36"/>
      <c r="F82" s="37">
        <v>1558</v>
      </c>
      <c r="G82" s="37">
        <v>1246</v>
      </c>
      <c r="H82" s="37">
        <v>1870</v>
      </c>
      <c r="I82" s="40">
        <v>0.4</v>
      </c>
      <c r="J82" s="39" t="str">
        <f>IF(AND(C82&gt;0,F82&gt;0),ABS(F82-C82)/C82,"")</f>
        <v/>
      </c>
      <c r="K82" s="36" t="str">
        <f>IF(AND(C82&gt;0,G82&gt;0),IF(AND(C82&gt;=G82,C82&lt;=H82),"✓","✗"),"")</f>
        <v/>
      </c>
      <c r="L82" s="38" t="str">
        <f>IF(AND(C82&gt;0,C81&gt;0),(C82-C81)/C81,"")</f>
        <v/>
      </c>
      <c r="M82" s="36"/>
      <c r="N82" s="36"/>
    </row>
    <row r="83" spans="1:14">
      <c r="A83" s="36" t="s">
        <v>128</v>
      </c>
      <c r="B83" s="36">
        <v>48</v>
      </c>
      <c r="C83" s="36"/>
      <c r="D83" s="36"/>
      <c r="E83" s="36"/>
      <c r="F83" s="37">
        <v>1558</v>
      </c>
      <c r="G83" s="37">
        <v>1246</v>
      </c>
      <c r="H83" s="37">
        <v>1870</v>
      </c>
      <c r="I83" s="40">
        <v>0.4</v>
      </c>
      <c r="J83" s="39" t="str">
        <f>IF(AND(C83&gt;0,F83&gt;0),ABS(F83-C83)/C83,"")</f>
        <v/>
      </c>
      <c r="K83" s="36" t="str">
        <f>IF(AND(C83&gt;0,G83&gt;0),IF(AND(C83&gt;=G83,C83&lt;=H83),"✓","✗"),"")</f>
        <v/>
      </c>
      <c r="L83" s="38" t="str">
        <f>IF(AND(C83&gt;0,C82&gt;0),(C83-C82)/C82,"")</f>
        <v/>
      </c>
      <c r="M83" s="36"/>
      <c r="N83" s="36"/>
    </row>
    <row r="84" spans="1:14">
      <c r="A84" s="36" t="s">
        <v>129</v>
      </c>
      <c r="B84" s="36">
        <v>49</v>
      </c>
      <c r="C84" s="36"/>
      <c r="D84" s="36"/>
      <c r="E84" s="36"/>
      <c r="F84" s="37">
        <v>1004</v>
      </c>
      <c r="G84" s="37">
        <v>803</v>
      </c>
      <c r="H84" s="37">
        <v>1205</v>
      </c>
      <c r="I84" s="40">
        <v>0.4</v>
      </c>
      <c r="J84" s="39" t="str">
        <f>IF(AND(C84&gt;0,F84&gt;0),ABS(F84-C84)/C84,"")</f>
        <v/>
      </c>
      <c r="K84" s="36" t="str">
        <f>IF(AND(C84&gt;0,G84&gt;0),IF(AND(C84&gt;=G84,C84&lt;=H84),"✓","✗"),"")</f>
        <v/>
      </c>
      <c r="L84" s="38" t="str">
        <f>IF(AND(C84&gt;0,C83&gt;0),(C84-C83)/C83,"")</f>
        <v/>
      </c>
      <c r="M84" s="36"/>
      <c r="N84" s="36"/>
    </row>
    <row r="85" spans="1:14">
      <c r="A85" s="36" t="s">
        <v>130</v>
      </c>
      <c r="B85" s="36">
        <v>50</v>
      </c>
      <c r="C85" s="36"/>
      <c r="D85" s="36"/>
      <c r="E85" s="36"/>
      <c r="F85" s="37">
        <v>1004</v>
      </c>
      <c r="G85" s="37">
        <v>803</v>
      </c>
      <c r="H85" s="37">
        <v>1205</v>
      </c>
      <c r="I85" s="40">
        <v>0.4</v>
      </c>
      <c r="J85" s="39" t="str">
        <f>IF(AND(C85&gt;0,F85&gt;0),ABS(F85-C85)/C85,"")</f>
        <v/>
      </c>
      <c r="K85" s="36" t="str">
        <f>IF(AND(C85&gt;0,G85&gt;0),IF(AND(C85&gt;=G85,C85&lt;=H85),"✓","✗"),"")</f>
        <v/>
      </c>
      <c r="L85" s="38" t="str">
        <f>IF(AND(C85&gt;0,C84&gt;0),(C85-C84)/C84,"")</f>
        <v/>
      </c>
      <c r="M85" s="36"/>
      <c r="N85" s="36"/>
    </row>
    <row r="86" spans="1:14">
      <c r="A86" s="36" t="s">
        <v>131</v>
      </c>
      <c r="B86" s="36">
        <v>51</v>
      </c>
      <c r="C86" s="36"/>
      <c r="D86" s="36"/>
      <c r="E86" s="36"/>
      <c r="F86" s="37">
        <v>1004</v>
      </c>
      <c r="G86" s="37">
        <v>803</v>
      </c>
      <c r="H86" s="37">
        <v>1205</v>
      </c>
      <c r="I86" s="40">
        <v>0.4</v>
      </c>
      <c r="J86" s="39" t="str">
        <f>IF(AND(C86&gt;0,F86&gt;0),ABS(F86-C86)/C86,"")</f>
        <v/>
      </c>
      <c r="K86" s="36" t="str">
        <f>IF(AND(C86&gt;0,G86&gt;0),IF(AND(C86&gt;=G86,C86&lt;=H86),"✓","✗"),"")</f>
        <v/>
      </c>
      <c r="L86" s="38" t="str">
        <f>IF(AND(C86&gt;0,C85&gt;0),(C86-C85)/C85,"")</f>
        <v/>
      </c>
      <c r="M86" s="36"/>
      <c r="N86" s="36"/>
    </row>
    <row r="87" spans="1:14">
      <c r="A87" s="36" t="s">
        <v>132</v>
      </c>
      <c r="B87" s="36">
        <v>52</v>
      </c>
      <c r="C87" s="36"/>
      <c r="D87" s="36"/>
      <c r="E87" s="36"/>
      <c r="F87" s="37">
        <v>1004</v>
      </c>
      <c r="G87" s="37">
        <v>803</v>
      </c>
      <c r="H87" s="37">
        <v>1205</v>
      </c>
      <c r="I87" s="40">
        <v>0.4</v>
      </c>
      <c r="J87" s="39" t="str">
        <f>IF(AND(C87&gt;0,F87&gt;0),ABS(F87-C87)/C87,"")</f>
        <v/>
      </c>
      <c r="K87" s="36" t="str">
        <f>IF(AND(C87&gt;0,G87&gt;0),IF(AND(C87&gt;=G87,C87&lt;=H87),"✓","✗"),"")</f>
        <v/>
      </c>
      <c r="L87" s="38" t="str">
        <f>IF(AND(C87&gt;0,C86&gt;0),(C87-C86)/C86,"")</f>
        <v/>
      </c>
      <c r="M87" s="36"/>
      <c r="N87" s="36"/>
    </row>
  </sheetData>
  <mergeCells count="15">
    <mergeCell ref="C3:D3"/>
    <mergeCell ref="A3:B3"/>
    <mergeCell ref="G3:H3"/>
    <mergeCell ref="E3:F3"/>
    <mergeCell ref="A1:N1"/>
    <mergeCell ref="A4:B4"/>
    <mergeCell ref="G4:H4"/>
    <mergeCell ref="E4:F4"/>
    <mergeCell ref="A12:K12"/>
    <mergeCell ref="A34:N34"/>
    <mergeCell ref="A5:B5"/>
    <mergeCell ref="C4:D4"/>
    <mergeCell ref="G5:H5"/>
    <mergeCell ref="A8:K8"/>
    <mergeCell ref="A19:K19"/>
  </mergeCells>
  <conditionalFormatting sqref="C36:C87">
    <cfRule type="dataBar" priority="1">
      <dataBar>
        <cfvo type="num" val="0"/>
        <cfvo type="max"/>
        <color rgb="FF2ECC71"/>
      </dataBar>
    </cfRule>
  </conditionalFormatting>
  <conditionalFormatting sqref="J36:J87">
    <cfRule type="colorScale" priority="2">
      <colorScale>
        <cfvo type="num" val="0"/>
        <cfvo type="num" val="0.1"/>
        <cfvo type="num" val="0.3"/>
        <color rgb="FF27AE60"/>
        <color rgb="FFFFFFFF"/>
        <color rgb="FFE74C3C"/>
      </colorScale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67E22"/>
  </sheetPr>
  <dimension ref="A1:N87"/>
  <sheetViews>
    <sheetView showGridLines="0" workbookViewId="0">
      <pane xSplit="2" ySplit="35" topLeftCell="C36" activePane="bottomRight" state="frozen"/>
      <selection pane="bottomRight" sqref="A1:XFD1048576"/>
      <selection pane="bottomLeft"/>
      <selection pane="topRight"/>
    </sheetView>
  </sheetViews>
  <sheetFormatPr defaultColWidth="12.7109375" defaultRowHeight="15"/>
  <cols>
    <col min="1" max="16384" width="12.7109375" style="30"/>
  </cols>
  <sheetData>
    <row r="1" spans="1:14" ht="21">
      <c r="A1" s="66" t="s">
        <v>138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3" spans="1:14">
      <c r="A3" s="31" t="s">
        <v>34</v>
      </c>
      <c r="B3" s="32"/>
      <c r="C3" s="31" t="s">
        <v>35</v>
      </c>
      <c r="D3" s="32"/>
      <c r="E3" s="31" t="s">
        <v>36</v>
      </c>
      <c r="F3" s="32"/>
      <c r="G3" s="31" t="s">
        <v>37</v>
      </c>
      <c r="H3" s="32"/>
    </row>
    <row r="4" spans="1:14" ht="26.25">
      <c r="A4" s="33" t="s">
        <v>139</v>
      </c>
      <c r="B4" s="32"/>
      <c r="C4" s="33" t="s">
        <v>140</v>
      </c>
      <c r="D4" s="32"/>
      <c r="E4" s="33" t="s">
        <v>141</v>
      </c>
      <c r="F4" s="32"/>
      <c r="G4" s="33" t="s">
        <v>142</v>
      </c>
      <c r="H4" s="32"/>
    </row>
    <row r="5" spans="1:14">
      <c r="A5" s="31" t="s">
        <v>10</v>
      </c>
      <c r="B5" s="32"/>
      <c r="C5" s="34"/>
      <c r="D5" s="34"/>
      <c r="E5" s="34"/>
      <c r="F5" s="34"/>
      <c r="G5" s="31" t="s">
        <v>23</v>
      </c>
      <c r="H5" s="32"/>
    </row>
    <row r="8" spans="1:14" ht="15.75">
      <c r="A8" s="35" t="s">
        <v>42</v>
      </c>
      <c r="B8" s="29"/>
      <c r="C8" s="29"/>
      <c r="D8" s="29"/>
      <c r="E8" s="29"/>
      <c r="F8" s="29"/>
      <c r="G8" s="29"/>
      <c r="H8" s="29"/>
      <c r="I8" s="29"/>
      <c r="J8" s="29"/>
      <c r="K8" s="29"/>
    </row>
    <row r="9" spans="1:14">
      <c r="A9" s="67" t="s">
        <v>43</v>
      </c>
      <c r="B9" s="67" t="s">
        <v>44</v>
      </c>
      <c r="C9" s="67" t="s">
        <v>45</v>
      </c>
      <c r="D9" s="67" t="s">
        <v>46</v>
      </c>
      <c r="E9" s="67" t="s">
        <v>47</v>
      </c>
      <c r="F9" s="67" t="s">
        <v>48</v>
      </c>
      <c r="G9" s="67" t="s">
        <v>20</v>
      </c>
      <c r="H9" s="67" t="s">
        <v>49</v>
      </c>
      <c r="I9" s="67" t="s">
        <v>50</v>
      </c>
      <c r="J9" s="67" t="s">
        <v>51</v>
      </c>
      <c r="K9" s="67" t="s">
        <v>52</v>
      </c>
    </row>
    <row r="10" spans="1:14">
      <c r="A10" s="36" t="s">
        <v>53</v>
      </c>
      <c r="B10" s="37"/>
      <c r="C10" s="37"/>
      <c r="D10" s="37"/>
      <c r="E10" s="37"/>
      <c r="F10" s="37">
        <v>72975.47</v>
      </c>
      <c r="G10" s="38" t="str">
        <f>IF(AND(B10&gt;0,F10&gt;0),(B10-F10)/F10,"")</f>
        <v/>
      </c>
      <c r="H10" s="39" t="str">
        <f>IF(AND(B10&gt;0,C10&gt;0),ABS(C10-B10)/B10,"")</f>
        <v/>
      </c>
      <c r="I10" s="40"/>
      <c r="J10" s="36"/>
      <c r="K10" s="36"/>
    </row>
    <row r="12" spans="1:14" ht="15.75">
      <c r="A12" s="35" t="s">
        <v>54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</row>
    <row r="13" spans="1:14">
      <c r="A13" s="67" t="s">
        <v>43</v>
      </c>
      <c r="B13" s="67" t="s">
        <v>44</v>
      </c>
      <c r="C13" s="67" t="s">
        <v>45</v>
      </c>
      <c r="D13" s="67" t="s">
        <v>46</v>
      </c>
      <c r="E13" s="67" t="s">
        <v>47</v>
      </c>
      <c r="F13" s="67" t="s">
        <v>48</v>
      </c>
      <c r="G13" s="67" t="s">
        <v>20</v>
      </c>
      <c r="H13" s="67" t="s">
        <v>49</v>
      </c>
      <c r="I13" s="67" t="s">
        <v>50</v>
      </c>
      <c r="J13" s="67" t="s">
        <v>51</v>
      </c>
      <c r="K13" s="67" t="s">
        <v>52</v>
      </c>
    </row>
    <row r="14" spans="1:14">
      <c r="A14" s="41" t="s">
        <v>55</v>
      </c>
      <c r="B14" s="42">
        <v>18126</v>
      </c>
      <c r="C14" s="42"/>
      <c r="D14" s="42"/>
      <c r="E14" s="42"/>
      <c r="F14" s="42">
        <v>18891.810000000001</v>
      </c>
      <c r="G14" s="43">
        <f>IF(AND(B14&gt;0,F14&gt;0),(B14-F14)/F14,"")</f>
        <v>-4.053661348489114E-2</v>
      </c>
      <c r="H14" s="44" t="str">
        <f>IF(AND(B14&gt;0,C14&gt;0),ABS(C14-B14)/B14,"")</f>
        <v/>
      </c>
      <c r="I14" s="45"/>
      <c r="J14" s="41"/>
      <c r="K14" s="41"/>
    </row>
    <row r="15" spans="1:14">
      <c r="A15" s="36" t="s">
        <v>56</v>
      </c>
      <c r="B15" s="36"/>
      <c r="C15" s="37"/>
      <c r="D15" s="37"/>
      <c r="E15" s="37"/>
      <c r="F15" s="37">
        <v>17292.580000000002</v>
      </c>
      <c r="G15" s="38" t="str">
        <f>IF(AND(B15&gt;0,F15&gt;0),(B15-F15)/F15,"")</f>
        <v/>
      </c>
      <c r="H15" s="39" t="str">
        <f>IF(AND(B15&gt;0,C15&gt;0),ABS(C15-B15)/B15,"")</f>
        <v/>
      </c>
      <c r="I15" s="40"/>
      <c r="J15" s="36"/>
      <c r="K15" s="36"/>
    </row>
    <row r="16" spans="1:14">
      <c r="A16" s="36" t="s">
        <v>57</v>
      </c>
      <c r="B16" s="36"/>
      <c r="C16" s="37"/>
      <c r="D16" s="37"/>
      <c r="E16" s="37"/>
      <c r="F16" s="37">
        <v>18126.32</v>
      </c>
      <c r="G16" s="38" t="str">
        <f>IF(AND(B16&gt;0,F16&gt;0),(B16-F16)/F16,"")</f>
        <v/>
      </c>
      <c r="H16" s="39" t="str">
        <f>IF(AND(B16&gt;0,C16&gt;0),ABS(C16-B16)/B16,"")</f>
        <v/>
      </c>
      <c r="I16" s="40"/>
      <c r="J16" s="36"/>
      <c r="K16" s="36"/>
    </row>
    <row r="17" spans="1:11">
      <c r="A17" s="36" t="s">
        <v>58</v>
      </c>
      <c r="B17" s="36"/>
      <c r="C17" s="37"/>
      <c r="D17" s="37"/>
      <c r="E17" s="37"/>
      <c r="F17" s="37">
        <v>18664.759999999998</v>
      </c>
      <c r="G17" s="38" t="str">
        <f>IF(AND(B17&gt;0,F17&gt;0),(B17-F17)/F17,"")</f>
        <v/>
      </c>
      <c r="H17" s="39" t="str">
        <f>IF(AND(B17&gt;0,C17&gt;0),ABS(C17-B17)/B17,"")</f>
        <v/>
      </c>
      <c r="I17" s="40"/>
      <c r="J17" s="36"/>
      <c r="K17" s="36"/>
    </row>
    <row r="19" spans="1:11" ht="15.75">
      <c r="A19" s="35" t="s">
        <v>59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</row>
    <row r="20" spans="1:11">
      <c r="A20" s="67" t="s">
        <v>43</v>
      </c>
      <c r="B20" s="67" t="s">
        <v>44</v>
      </c>
      <c r="C20" s="67" t="s">
        <v>45</v>
      </c>
      <c r="D20" s="67" t="s">
        <v>46</v>
      </c>
      <c r="E20" s="67" t="s">
        <v>47</v>
      </c>
      <c r="F20" s="67" t="s">
        <v>48</v>
      </c>
      <c r="G20" s="67" t="s">
        <v>20</v>
      </c>
      <c r="H20" s="67" t="s">
        <v>49</v>
      </c>
      <c r="I20" s="67" t="s">
        <v>50</v>
      </c>
      <c r="J20" s="67" t="s">
        <v>51</v>
      </c>
      <c r="K20" s="67" t="s">
        <v>52</v>
      </c>
    </row>
    <row r="21" spans="1:11">
      <c r="A21" s="41" t="s">
        <v>60</v>
      </c>
      <c r="B21" s="42">
        <v>6226</v>
      </c>
      <c r="C21" s="42"/>
      <c r="D21" s="42"/>
      <c r="E21" s="42"/>
      <c r="F21" s="42">
        <v>6656.09</v>
      </c>
      <c r="G21" s="43">
        <f>IF(AND(B21&gt;0,F21&gt;0),(B21-F21)/F21,"")</f>
        <v>-6.4616013305108577E-2</v>
      </c>
      <c r="H21" s="44" t="str">
        <f>IF(AND(B21&gt;0,C21&gt;0),ABS(C21-B21)/B21,"")</f>
        <v/>
      </c>
      <c r="I21" s="45"/>
      <c r="J21" s="41"/>
      <c r="K21" s="41"/>
    </row>
    <row r="22" spans="1:11">
      <c r="A22" s="46" t="s">
        <v>61</v>
      </c>
      <c r="B22" s="47">
        <v>5824</v>
      </c>
      <c r="C22" s="47"/>
      <c r="D22" s="47"/>
      <c r="E22" s="47"/>
      <c r="F22" s="47">
        <v>6106.8</v>
      </c>
      <c r="G22" s="48">
        <f>IF(AND(B22&gt;0,F22&gt;0),(B22-F22)/F22,"")</f>
        <v>-4.6309032553874398E-2</v>
      </c>
      <c r="H22" s="49" t="str">
        <f>IF(AND(B22&gt;0,C22&gt;0),ABS(C22-B22)/B22,"")</f>
        <v/>
      </c>
      <c r="I22" s="50"/>
      <c r="J22" s="46"/>
      <c r="K22" s="46"/>
    </row>
    <row r="23" spans="1:11">
      <c r="A23" s="41" t="s">
        <v>62</v>
      </c>
      <c r="B23" s="42">
        <v>6076</v>
      </c>
      <c r="C23" s="42"/>
      <c r="D23" s="42"/>
      <c r="E23" s="42"/>
      <c r="F23" s="42">
        <v>6128.92</v>
      </c>
      <c r="G23" s="43">
        <f>IF(AND(B23&gt;0,F23&gt;0),(B23-F23)/F23,"")</f>
        <v>-8.6344739366805354E-3</v>
      </c>
      <c r="H23" s="44" t="str">
        <f>IF(AND(B23&gt;0,C23&gt;0),ABS(C23-B23)/B23,"")</f>
        <v/>
      </c>
      <c r="I23" s="45"/>
      <c r="J23" s="41"/>
      <c r="K23" s="41"/>
    </row>
    <row r="24" spans="1:11">
      <c r="A24" s="36" t="s">
        <v>63</v>
      </c>
      <c r="B24" s="37"/>
      <c r="C24" s="37">
        <v>5747.36</v>
      </c>
      <c r="D24" s="37">
        <v>4885</v>
      </c>
      <c r="E24" s="37">
        <v>6609</v>
      </c>
      <c r="F24" s="37">
        <v>5747.36</v>
      </c>
      <c r="G24" s="38" t="str">
        <f>IF(AND(B24&gt;0,F24&gt;0),(B24-F24)/F24,"")</f>
        <v/>
      </c>
      <c r="H24" s="39" t="str">
        <f>IF(AND(B24&gt;0,C24&gt;0),ABS(C24-B24)/B24,"")</f>
        <v/>
      </c>
      <c r="I24" s="40">
        <v>0.5</v>
      </c>
      <c r="J24" s="36"/>
      <c r="K24" s="36" t="s">
        <v>64</v>
      </c>
    </row>
    <row r="25" spans="1:11">
      <c r="A25" s="36" t="s">
        <v>65</v>
      </c>
      <c r="B25" s="37"/>
      <c r="C25" s="37">
        <v>5733.79</v>
      </c>
      <c r="D25" s="37">
        <v>4874</v>
      </c>
      <c r="E25" s="37">
        <v>6594</v>
      </c>
      <c r="F25" s="37">
        <v>5733.79</v>
      </c>
      <c r="G25" s="38" t="str">
        <f>IF(AND(B25&gt;0,F25&gt;0),(B25-F25)/F25,"")</f>
        <v/>
      </c>
      <c r="H25" s="39" t="str">
        <f>IF(AND(B25&gt;0,C25&gt;0),ABS(C25-B25)/B25,"")</f>
        <v/>
      </c>
      <c r="I25" s="40">
        <v>0.5</v>
      </c>
      <c r="J25" s="36"/>
      <c r="K25" s="36" t="s">
        <v>64</v>
      </c>
    </row>
    <row r="26" spans="1:11">
      <c r="A26" s="36" t="s">
        <v>66</v>
      </c>
      <c r="B26" s="37"/>
      <c r="C26" s="37">
        <v>5811.43</v>
      </c>
      <c r="D26" s="37">
        <v>4940</v>
      </c>
      <c r="E26" s="37">
        <v>6683</v>
      </c>
      <c r="F26" s="37">
        <v>5811.43</v>
      </c>
      <c r="G26" s="38" t="str">
        <f>IF(AND(B26&gt;0,F26&gt;0),(B26-F26)/F26,"")</f>
        <v/>
      </c>
      <c r="H26" s="39" t="str">
        <f>IF(AND(B26&gt;0,C26&gt;0),ABS(C26-B26)/B26,"")</f>
        <v/>
      </c>
      <c r="I26" s="40">
        <v>0.5</v>
      </c>
      <c r="J26" s="36"/>
      <c r="K26" s="36" t="s">
        <v>64</v>
      </c>
    </row>
    <row r="27" spans="1:11">
      <c r="A27" s="36" t="s">
        <v>67</v>
      </c>
      <c r="B27" s="37"/>
      <c r="C27" s="37">
        <v>6825.53</v>
      </c>
      <c r="D27" s="37">
        <v>5802</v>
      </c>
      <c r="E27" s="37">
        <v>7849</v>
      </c>
      <c r="F27" s="37">
        <v>6825.53</v>
      </c>
      <c r="G27" s="38" t="str">
        <f>IF(AND(B27&gt;0,F27&gt;0),(B27-F27)/F27,"")</f>
        <v/>
      </c>
      <c r="H27" s="39" t="str">
        <f>IF(AND(B27&gt;0,C27&gt;0),ABS(C27-B27)/B27,"")</f>
        <v/>
      </c>
      <c r="I27" s="40">
        <v>0.5</v>
      </c>
      <c r="J27" s="36"/>
      <c r="K27" s="36" t="s">
        <v>64</v>
      </c>
    </row>
    <row r="28" spans="1:11">
      <c r="A28" s="36" t="s">
        <v>68</v>
      </c>
      <c r="B28" s="37"/>
      <c r="C28" s="37">
        <v>5056.12</v>
      </c>
      <c r="D28" s="37">
        <v>4298</v>
      </c>
      <c r="E28" s="37">
        <v>5815</v>
      </c>
      <c r="F28" s="37">
        <v>5056.12</v>
      </c>
      <c r="G28" s="38" t="str">
        <f>IF(AND(B28&gt;0,F28&gt;0),(B28-F28)/F28,"")</f>
        <v/>
      </c>
      <c r="H28" s="39" t="str">
        <f>IF(AND(B28&gt;0,C28&gt;0),ABS(C28-B28)/B28,"")</f>
        <v/>
      </c>
      <c r="I28" s="40">
        <v>0.5</v>
      </c>
      <c r="J28" s="36"/>
      <c r="K28" s="36" t="s">
        <v>64</v>
      </c>
    </row>
    <row r="29" spans="1:11">
      <c r="A29" s="36" t="s">
        <v>69</v>
      </c>
      <c r="B29" s="37"/>
      <c r="C29" s="37">
        <v>6244.67</v>
      </c>
      <c r="D29" s="37">
        <v>5308</v>
      </c>
      <c r="E29" s="37">
        <v>7181</v>
      </c>
      <c r="F29" s="37">
        <v>6244.67</v>
      </c>
      <c r="G29" s="38" t="str">
        <f>IF(AND(B29&gt;0,F29&gt;0),(B29-F29)/F29,"")</f>
        <v/>
      </c>
      <c r="H29" s="39" t="str">
        <f>IF(AND(B29&gt;0,C29&gt;0),ABS(C29-B29)/B29,"")</f>
        <v/>
      </c>
      <c r="I29" s="40">
        <v>0.5</v>
      </c>
      <c r="J29" s="36"/>
      <c r="K29" s="36" t="s">
        <v>64</v>
      </c>
    </row>
    <row r="30" spans="1:11">
      <c r="A30" s="36" t="s">
        <v>70</v>
      </c>
      <c r="B30" s="37"/>
      <c r="C30" s="37">
        <v>6758.48</v>
      </c>
      <c r="D30" s="37">
        <v>5745</v>
      </c>
      <c r="E30" s="37">
        <v>7772</v>
      </c>
      <c r="F30" s="37">
        <v>6758.48</v>
      </c>
      <c r="G30" s="38" t="str">
        <f>IF(AND(B30&gt;0,F30&gt;0),(B30-F30)/F30,"")</f>
        <v/>
      </c>
      <c r="H30" s="39" t="str">
        <f>IF(AND(B30&gt;0,C30&gt;0),ABS(C30-B30)/B30,"")</f>
        <v/>
      </c>
      <c r="I30" s="40">
        <v>0.5</v>
      </c>
      <c r="J30" s="36"/>
      <c r="K30" s="36" t="s">
        <v>64</v>
      </c>
    </row>
    <row r="31" spans="1:11">
      <c r="A31" s="36" t="s">
        <v>71</v>
      </c>
      <c r="B31" s="37"/>
      <c r="C31" s="37">
        <v>6976.97</v>
      </c>
      <c r="D31" s="37">
        <v>5930</v>
      </c>
      <c r="E31" s="37">
        <v>8024</v>
      </c>
      <c r="F31" s="37">
        <v>6976.97</v>
      </c>
      <c r="G31" s="38" t="str">
        <f>IF(AND(B31&gt;0,F31&gt;0),(B31-F31)/F31,"")</f>
        <v/>
      </c>
      <c r="H31" s="39" t="str">
        <f>IF(AND(B31&gt;0,C31&gt;0),ABS(C31-B31)/B31,"")</f>
        <v/>
      </c>
      <c r="I31" s="40">
        <v>0.5</v>
      </c>
      <c r="J31" s="36"/>
      <c r="K31" s="36" t="s">
        <v>64</v>
      </c>
    </row>
    <row r="32" spans="1:11">
      <c r="A32" s="36" t="s">
        <v>72</v>
      </c>
      <c r="B32" s="37"/>
      <c r="C32" s="37">
        <v>4929.3100000000004</v>
      </c>
      <c r="D32" s="37">
        <v>4190</v>
      </c>
      <c r="E32" s="37">
        <v>5669</v>
      </c>
      <c r="F32" s="37">
        <v>4929.3100000000004</v>
      </c>
      <c r="G32" s="38" t="str">
        <f>IF(AND(B32&gt;0,F32&gt;0),(B32-F32)/F32,"")</f>
        <v/>
      </c>
      <c r="H32" s="39" t="str">
        <f>IF(AND(B32&gt;0,C32&gt;0),ABS(C32-B32)/B32,"")</f>
        <v/>
      </c>
      <c r="I32" s="40">
        <v>0.5</v>
      </c>
      <c r="J32" s="36"/>
      <c r="K32" s="36" t="s">
        <v>64</v>
      </c>
    </row>
    <row r="34" spans="1:14" ht="15.75">
      <c r="A34" s="35" t="s">
        <v>73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</row>
    <row r="35" spans="1:14">
      <c r="A35" s="67" t="s">
        <v>74</v>
      </c>
      <c r="B35" s="67" t="s">
        <v>75</v>
      </c>
      <c r="C35" s="67" t="s">
        <v>44</v>
      </c>
      <c r="D35" s="67" t="s">
        <v>76</v>
      </c>
      <c r="E35" s="67" t="s">
        <v>77</v>
      </c>
      <c r="F35" s="67" t="s">
        <v>45</v>
      </c>
      <c r="G35" s="67" t="s">
        <v>46</v>
      </c>
      <c r="H35" s="67" t="s">
        <v>47</v>
      </c>
      <c r="I35" s="67" t="s">
        <v>50</v>
      </c>
      <c r="J35" s="67" t="s">
        <v>49</v>
      </c>
      <c r="K35" s="67" t="s">
        <v>78</v>
      </c>
      <c r="L35" s="67" t="s">
        <v>18</v>
      </c>
      <c r="M35" s="67" t="s">
        <v>79</v>
      </c>
      <c r="N35" s="67" t="s">
        <v>80</v>
      </c>
    </row>
    <row r="36" spans="1:14">
      <c r="A36" s="41" t="s">
        <v>81</v>
      </c>
      <c r="B36" s="41">
        <v>1</v>
      </c>
      <c r="C36" s="42">
        <v>1079</v>
      </c>
      <c r="D36" s="51">
        <v>113543</v>
      </c>
      <c r="E36" s="52">
        <v>105.23</v>
      </c>
      <c r="F36" s="42"/>
      <c r="G36" s="42"/>
      <c r="H36" s="42"/>
      <c r="I36" s="45"/>
      <c r="J36" s="44" t="str">
        <f>IF(AND(C36&gt;0,F36&gt;0),ABS(F36-C36)/C36,"")</f>
        <v/>
      </c>
      <c r="K36" s="41" t="str">
        <f>IF(AND(C36&gt;0,G36&gt;0),IF(AND(C36&gt;=G36,C36&lt;=H36),"✓","✗"),"")</f>
        <v/>
      </c>
      <c r="L36" s="41"/>
      <c r="M36" s="42">
        <v>572</v>
      </c>
      <c r="N36" s="42">
        <v>507</v>
      </c>
    </row>
    <row r="37" spans="1:14">
      <c r="A37" s="46" t="s">
        <v>82</v>
      </c>
      <c r="B37" s="46">
        <v>2</v>
      </c>
      <c r="C37" s="47">
        <v>1686</v>
      </c>
      <c r="D37" s="53">
        <v>194725</v>
      </c>
      <c r="E37" s="54">
        <v>115.5</v>
      </c>
      <c r="F37" s="47"/>
      <c r="G37" s="47"/>
      <c r="H37" s="47"/>
      <c r="I37" s="50"/>
      <c r="J37" s="49" t="str">
        <f>IF(AND(C37&gt;0,F37&gt;0),ABS(F37-C37)/C37,"")</f>
        <v/>
      </c>
      <c r="K37" s="46" t="str">
        <f>IF(AND(C37&gt;0,G37&gt;0),IF(AND(C37&gt;=G37,C37&lt;=H37),"✓","✗"),"")</f>
        <v/>
      </c>
      <c r="L37" s="48">
        <f>IF(AND(C37&gt;0,C36&gt;0),(C37-C36)/C36,"")</f>
        <v>0.56255792400370719</v>
      </c>
      <c r="M37" s="47">
        <v>998</v>
      </c>
      <c r="N37" s="47">
        <v>688</v>
      </c>
    </row>
    <row r="38" spans="1:14">
      <c r="A38" s="41" t="s">
        <v>83</v>
      </c>
      <c r="B38" s="41">
        <v>3</v>
      </c>
      <c r="C38" s="42">
        <v>1717</v>
      </c>
      <c r="D38" s="51">
        <v>245075</v>
      </c>
      <c r="E38" s="52">
        <v>142.72999999999999</v>
      </c>
      <c r="F38" s="42"/>
      <c r="G38" s="42"/>
      <c r="H38" s="42"/>
      <c r="I38" s="45"/>
      <c r="J38" s="44" t="str">
        <f>IF(AND(C38&gt;0,F38&gt;0),ABS(F38-C38)/C38,"")</f>
        <v/>
      </c>
      <c r="K38" s="41" t="str">
        <f>IF(AND(C38&gt;0,G38&gt;0),IF(AND(C38&gt;=G38,C38&lt;=H38),"✓","✗"),"")</f>
        <v/>
      </c>
      <c r="L38" s="43">
        <f>IF(AND(C38&gt;0,C37&gt;0),(C38-C37)/C37,"")</f>
        <v>1.8386714116251483E-2</v>
      </c>
      <c r="M38" s="42">
        <v>973</v>
      </c>
      <c r="N38" s="42">
        <v>744</v>
      </c>
    </row>
    <row r="39" spans="1:14">
      <c r="A39" s="46" t="s">
        <v>84</v>
      </c>
      <c r="B39" s="46">
        <v>4</v>
      </c>
      <c r="C39" s="47">
        <v>1744</v>
      </c>
      <c r="D39" s="53">
        <v>235631</v>
      </c>
      <c r="E39" s="54">
        <v>135.11000000000001</v>
      </c>
      <c r="F39" s="47"/>
      <c r="G39" s="47"/>
      <c r="H39" s="47"/>
      <c r="I39" s="50"/>
      <c r="J39" s="49" t="str">
        <f>IF(AND(C39&gt;0,F39&gt;0),ABS(F39-C39)/C39,"")</f>
        <v/>
      </c>
      <c r="K39" s="46" t="str">
        <f>IF(AND(C39&gt;0,G39&gt;0),IF(AND(C39&gt;=G39,C39&lt;=H39),"✓","✗"),"")</f>
        <v/>
      </c>
      <c r="L39" s="48">
        <f>IF(AND(C39&gt;0,C38&gt;0),(C39-C38)/C38,"")</f>
        <v>1.5725101921956901E-2</v>
      </c>
      <c r="M39" s="47">
        <v>973</v>
      </c>
      <c r="N39" s="47">
        <v>771</v>
      </c>
    </row>
    <row r="40" spans="1:14">
      <c r="A40" s="41" t="s">
        <v>85</v>
      </c>
      <c r="B40" s="41">
        <v>5</v>
      </c>
      <c r="C40" s="42">
        <v>1430</v>
      </c>
      <c r="D40" s="51">
        <v>126820</v>
      </c>
      <c r="E40" s="52">
        <v>88.69</v>
      </c>
      <c r="F40" s="42"/>
      <c r="G40" s="42"/>
      <c r="H40" s="42"/>
      <c r="I40" s="45"/>
      <c r="J40" s="44" t="str">
        <f>IF(AND(C40&gt;0,F40&gt;0),ABS(F40-C40)/C40,"")</f>
        <v/>
      </c>
      <c r="K40" s="41" t="str">
        <f>IF(AND(C40&gt;0,G40&gt;0),IF(AND(C40&gt;=G40,C40&lt;=H40),"✓","✗"),"")</f>
        <v/>
      </c>
      <c r="L40" s="43">
        <f>IF(AND(C40&gt;0,C39&gt;0),(C40-C39)/C39,"")</f>
        <v>-0.18004587155963303</v>
      </c>
      <c r="M40" s="42">
        <v>905</v>
      </c>
      <c r="N40" s="42">
        <v>525</v>
      </c>
    </row>
    <row r="41" spans="1:14">
      <c r="A41" s="46" t="s">
        <v>86</v>
      </c>
      <c r="B41" s="46">
        <v>6</v>
      </c>
      <c r="C41" s="47">
        <v>1478</v>
      </c>
      <c r="D41" s="53">
        <v>154689</v>
      </c>
      <c r="E41" s="54">
        <v>104.66</v>
      </c>
      <c r="F41" s="47"/>
      <c r="G41" s="47"/>
      <c r="H41" s="47"/>
      <c r="I41" s="50"/>
      <c r="J41" s="49" t="str">
        <f>IF(AND(C41&gt;0,F41&gt;0),ABS(F41-C41)/C41,"")</f>
        <v/>
      </c>
      <c r="K41" s="46" t="str">
        <f>IF(AND(C41&gt;0,G41&gt;0),IF(AND(C41&gt;=G41,C41&lt;=H41),"✓","✗"),"")</f>
        <v/>
      </c>
      <c r="L41" s="48">
        <f>IF(AND(C41&gt;0,C40&gt;0),(C41-C40)/C40,"")</f>
        <v>3.3566433566433566E-2</v>
      </c>
      <c r="M41" s="47">
        <v>918</v>
      </c>
      <c r="N41" s="47">
        <v>560</v>
      </c>
    </row>
    <row r="42" spans="1:14">
      <c r="A42" s="41" t="s">
        <v>87</v>
      </c>
      <c r="B42" s="41">
        <v>7</v>
      </c>
      <c r="C42" s="42">
        <v>1504</v>
      </c>
      <c r="D42" s="51">
        <v>159905</v>
      </c>
      <c r="E42" s="52">
        <v>106.32</v>
      </c>
      <c r="F42" s="42"/>
      <c r="G42" s="42"/>
      <c r="H42" s="42"/>
      <c r="I42" s="45"/>
      <c r="J42" s="44" t="str">
        <f>IF(AND(C42&gt;0,F42&gt;0),ABS(F42-C42)/C42,"")</f>
        <v/>
      </c>
      <c r="K42" s="41" t="str">
        <f>IF(AND(C42&gt;0,G42&gt;0),IF(AND(C42&gt;=G42,C42&lt;=H42),"✓","✗"),"")</f>
        <v/>
      </c>
      <c r="L42" s="43">
        <f>IF(AND(C42&gt;0,C41&gt;0),(C42-C41)/C41,"")</f>
        <v>1.7591339648173207E-2</v>
      </c>
      <c r="M42" s="42">
        <v>944</v>
      </c>
      <c r="N42" s="42">
        <v>560</v>
      </c>
    </row>
    <row r="43" spans="1:14">
      <c r="A43" s="46" t="s">
        <v>88</v>
      </c>
      <c r="B43" s="46">
        <v>8</v>
      </c>
      <c r="C43" s="47">
        <v>1412</v>
      </c>
      <c r="D43" s="53">
        <v>162082</v>
      </c>
      <c r="E43" s="54">
        <v>114.79</v>
      </c>
      <c r="F43" s="47"/>
      <c r="G43" s="47"/>
      <c r="H43" s="47"/>
      <c r="I43" s="50"/>
      <c r="J43" s="49" t="str">
        <f>IF(AND(C43&gt;0,F43&gt;0),ABS(F43-C43)/C43,"")</f>
        <v/>
      </c>
      <c r="K43" s="46" t="str">
        <f>IF(AND(C43&gt;0,G43&gt;0),IF(AND(C43&gt;=G43,C43&lt;=H43),"✓","✗"),"")</f>
        <v/>
      </c>
      <c r="L43" s="48">
        <f>IF(AND(C43&gt;0,C42&gt;0),(C43-C42)/C42,"")</f>
        <v>-6.1170212765957445E-2</v>
      </c>
      <c r="M43" s="47">
        <v>799</v>
      </c>
      <c r="N43" s="47">
        <v>613</v>
      </c>
    </row>
    <row r="44" spans="1:14">
      <c r="A44" s="41" t="s">
        <v>89</v>
      </c>
      <c r="B44" s="41">
        <v>9</v>
      </c>
      <c r="C44" s="42">
        <v>1364</v>
      </c>
      <c r="D44" s="51">
        <v>191460</v>
      </c>
      <c r="E44" s="52">
        <v>140.37</v>
      </c>
      <c r="F44" s="42"/>
      <c r="G44" s="42"/>
      <c r="H44" s="42"/>
      <c r="I44" s="45"/>
      <c r="J44" s="44" t="str">
        <f>IF(AND(C44&gt;0,F44&gt;0),ABS(F44-C44)/C44,"")</f>
        <v/>
      </c>
      <c r="K44" s="41" t="str">
        <f>IF(AND(C44&gt;0,G44&gt;0),IF(AND(C44&gt;=G44,C44&lt;=H44),"✓","✗"),"")</f>
        <v/>
      </c>
      <c r="L44" s="43">
        <f>IF(AND(C44&gt;0,C43&gt;0),(C44-C43)/C43,"")</f>
        <v>-3.39943342776204E-2</v>
      </c>
      <c r="M44" s="42">
        <v>755</v>
      </c>
      <c r="N44" s="42">
        <v>609</v>
      </c>
    </row>
    <row r="45" spans="1:14">
      <c r="A45" s="46" t="s">
        <v>90</v>
      </c>
      <c r="B45" s="46">
        <v>10</v>
      </c>
      <c r="C45" s="47">
        <v>1393</v>
      </c>
      <c r="D45" s="53">
        <v>157915</v>
      </c>
      <c r="E45" s="54">
        <v>113.36</v>
      </c>
      <c r="F45" s="47"/>
      <c r="G45" s="47"/>
      <c r="H45" s="47"/>
      <c r="I45" s="50"/>
      <c r="J45" s="49" t="str">
        <f>IF(AND(C45&gt;0,F45&gt;0),ABS(F45-C45)/C45,"")</f>
        <v/>
      </c>
      <c r="K45" s="46" t="str">
        <f>IF(AND(C45&gt;0,G45&gt;0),IF(AND(C45&gt;=G45,C45&lt;=H45),"✓","✗"),"")</f>
        <v/>
      </c>
      <c r="L45" s="48">
        <f>IF(AND(C45&gt;0,C44&gt;0),(C45-C44)/C44,"")</f>
        <v>2.1260997067448679E-2</v>
      </c>
      <c r="M45" s="47">
        <v>848</v>
      </c>
      <c r="N45" s="47">
        <v>545</v>
      </c>
    </row>
    <row r="46" spans="1:14">
      <c r="A46" s="41" t="s">
        <v>91</v>
      </c>
      <c r="B46" s="41">
        <v>11</v>
      </c>
      <c r="C46" s="42">
        <v>1493</v>
      </c>
      <c r="D46" s="51">
        <v>170477</v>
      </c>
      <c r="E46" s="52">
        <v>114.18</v>
      </c>
      <c r="F46" s="42"/>
      <c r="G46" s="42"/>
      <c r="H46" s="42"/>
      <c r="I46" s="45"/>
      <c r="J46" s="44" t="str">
        <f>IF(AND(C46&gt;0,F46&gt;0),ABS(F46-C46)/C46,"")</f>
        <v/>
      </c>
      <c r="K46" s="41" t="str">
        <f>IF(AND(C46&gt;0,G46&gt;0),IF(AND(C46&gt;=G46,C46&lt;=H46),"✓","✗"),"")</f>
        <v/>
      </c>
      <c r="L46" s="43">
        <f>IF(AND(C46&gt;0,C45&gt;0),(C46-C45)/C45,"")</f>
        <v>7.1787508973438621E-2</v>
      </c>
      <c r="M46" s="42">
        <v>891</v>
      </c>
      <c r="N46" s="42">
        <v>602</v>
      </c>
    </row>
    <row r="47" spans="1:14">
      <c r="A47" s="46" t="s">
        <v>92</v>
      </c>
      <c r="B47" s="46">
        <v>12</v>
      </c>
      <c r="C47" s="47">
        <v>1192</v>
      </c>
      <c r="D47" s="53">
        <v>138333</v>
      </c>
      <c r="E47" s="54">
        <v>116.05</v>
      </c>
      <c r="F47" s="47"/>
      <c r="G47" s="47"/>
      <c r="H47" s="47"/>
      <c r="I47" s="50"/>
      <c r="J47" s="49" t="str">
        <f>IF(AND(C47&gt;0,F47&gt;0),ABS(F47-C47)/C47,"")</f>
        <v/>
      </c>
      <c r="K47" s="46" t="str">
        <f>IF(AND(C47&gt;0,G47&gt;0),IF(AND(C47&gt;=G47,C47&lt;=H47),"✓","✗"),"")</f>
        <v/>
      </c>
      <c r="L47" s="48">
        <f>IF(AND(C47&gt;0,C46&gt;0),(C47-C46)/C46,"")</f>
        <v>-0.20160750167448091</v>
      </c>
      <c r="M47" s="47">
        <v>674</v>
      </c>
      <c r="N47" s="47">
        <v>518</v>
      </c>
    </row>
    <row r="48" spans="1:14">
      <c r="A48" s="41" t="s">
        <v>93</v>
      </c>
      <c r="B48" s="41">
        <v>13</v>
      </c>
      <c r="C48" s="42">
        <v>634</v>
      </c>
      <c r="D48" s="51">
        <v>109617</v>
      </c>
      <c r="E48" s="52">
        <v>172.9</v>
      </c>
      <c r="F48" s="42"/>
      <c r="G48" s="42"/>
      <c r="H48" s="42"/>
      <c r="I48" s="45"/>
      <c r="J48" s="44" t="str">
        <f>IF(AND(C48&gt;0,F48&gt;0),ABS(F48-C48)/C48,"")</f>
        <v/>
      </c>
      <c r="K48" s="41" t="str">
        <f>IF(AND(C48&gt;0,G48&gt;0),IF(AND(C48&gt;=G48,C48&lt;=H48),"✓","✗"),"")</f>
        <v/>
      </c>
      <c r="L48" s="43">
        <f>IF(AND(C48&gt;0,C47&gt;0),(C48-C47)/C47,"")</f>
        <v>-0.46812080536912754</v>
      </c>
      <c r="M48" s="42">
        <v>346</v>
      </c>
      <c r="N48" s="42">
        <v>288</v>
      </c>
    </row>
    <row r="49" spans="1:14">
      <c r="A49" s="46" t="s">
        <v>94</v>
      </c>
      <c r="B49" s="46">
        <v>14</v>
      </c>
      <c r="C49" s="47">
        <v>1315</v>
      </c>
      <c r="D49" s="53">
        <v>102418</v>
      </c>
      <c r="E49" s="54">
        <v>77.88</v>
      </c>
      <c r="F49" s="47"/>
      <c r="G49" s="47"/>
      <c r="H49" s="47"/>
      <c r="I49" s="50"/>
      <c r="J49" s="49" t="str">
        <f>IF(AND(C49&gt;0,F49&gt;0),ABS(F49-C49)/C49,"")</f>
        <v/>
      </c>
      <c r="K49" s="46" t="str">
        <f>IF(AND(C49&gt;0,G49&gt;0),IF(AND(C49&gt;=G49,C49&lt;=H49),"✓","✗"),"")</f>
        <v/>
      </c>
      <c r="L49" s="48">
        <f>IF(AND(C49&gt;0,C48&gt;0),(C49-C48)/C48,"")</f>
        <v>1.0741324921135647</v>
      </c>
      <c r="M49" s="47">
        <v>779</v>
      </c>
      <c r="N49" s="47">
        <v>536</v>
      </c>
    </row>
    <row r="50" spans="1:14">
      <c r="A50" s="41" t="s">
        <v>95</v>
      </c>
      <c r="B50" s="41">
        <v>15</v>
      </c>
      <c r="C50" s="42">
        <v>1210</v>
      </c>
      <c r="D50" s="51">
        <v>112634</v>
      </c>
      <c r="E50" s="52">
        <v>93.09</v>
      </c>
      <c r="F50" s="42"/>
      <c r="G50" s="42"/>
      <c r="H50" s="42"/>
      <c r="I50" s="45"/>
      <c r="J50" s="44" t="str">
        <f>IF(AND(C50&gt;0,F50&gt;0),ABS(F50-C50)/C50,"")</f>
        <v/>
      </c>
      <c r="K50" s="41" t="str">
        <f>IF(AND(C50&gt;0,G50&gt;0),IF(AND(C50&gt;=G50,C50&lt;=H50),"✓","✗"),"")</f>
        <v/>
      </c>
      <c r="L50" s="43">
        <f>IF(AND(C50&gt;0,C49&gt;0),(C50-C49)/C49,"")</f>
        <v>-7.9847908745247151E-2</v>
      </c>
      <c r="M50" s="42">
        <v>650</v>
      </c>
      <c r="N50" s="42">
        <v>560</v>
      </c>
    </row>
    <row r="51" spans="1:14">
      <c r="A51" s="36" t="s">
        <v>96</v>
      </c>
      <c r="B51" s="36">
        <v>16</v>
      </c>
      <c r="C51" s="36"/>
      <c r="D51" s="36"/>
      <c r="E51" s="36"/>
      <c r="F51" s="37">
        <v>1437</v>
      </c>
      <c r="G51" s="37">
        <v>1150</v>
      </c>
      <c r="H51" s="37">
        <v>1724</v>
      </c>
      <c r="I51" s="40">
        <v>0.4</v>
      </c>
      <c r="J51" s="39" t="str">
        <f>IF(AND(C51&gt;0,F51&gt;0),ABS(F51-C51)/C51,"")</f>
        <v/>
      </c>
      <c r="K51" s="36" t="str">
        <f>IF(AND(C51&gt;0,G51&gt;0),IF(AND(C51&gt;=G51,C51&lt;=H51),"✓","✗"),"")</f>
        <v/>
      </c>
      <c r="L51" s="38" t="str">
        <f>IF(AND(C51&gt;0,C50&gt;0),(C51-C50)/C50,"")</f>
        <v/>
      </c>
      <c r="M51" s="36"/>
      <c r="N51" s="36"/>
    </row>
    <row r="52" spans="1:14">
      <c r="A52" s="36" t="s">
        <v>97</v>
      </c>
      <c r="B52" s="36">
        <v>17</v>
      </c>
      <c r="C52" s="36"/>
      <c r="D52" s="36"/>
      <c r="E52" s="36"/>
      <c r="F52" s="37">
        <v>1437</v>
      </c>
      <c r="G52" s="37">
        <v>1150</v>
      </c>
      <c r="H52" s="37">
        <v>1724</v>
      </c>
      <c r="I52" s="40">
        <v>0.4</v>
      </c>
      <c r="J52" s="39" t="str">
        <f>IF(AND(C52&gt;0,F52&gt;0),ABS(F52-C52)/C52,"")</f>
        <v/>
      </c>
      <c r="K52" s="36" t="str">
        <f>IF(AND(C52&gt;0,G52&gt;0),IF(AND(C52&gt;=G52,C52&lt;=H52),"✓","✗"),"")</f>
        <v/>
      </c>
      <c r="L52" s="38" t="str">
        <f>IF(AND(C52&gt;0,C51&gt;0),(C52-C51)/C51,"")</f>
        <v/>
      </c>
      <c r="M52" s="36"/>
      <c r="N52" s="36"/>
    </row>
    <row r="53" spans="1:14">
      <c r="A53" s="36" t="s">
        <v>98</v>
      </c>
      <c r="B53" s="36">
        <v>18</v>
      </c>
      <c r="C53" s="36"/>
      <c r="D53" s="36"/>
      <c r="E53" s="36"/>
      <c r="F53" s="37">
        <v>1147</v>
      </c>
      <c r="G53" s="37">
        <v>918</v>
      </c>
      <c r="H53" s="37">
        <v>1376</v>
      </c>
      <c r="I53" s="40">
        <v>0.4</v>
      </c>
      <c r="J53" s="39" t="str">
        <f>IF(AND(C53&gt;0,F53&gt;0),ABS(F53-C53)/C53,"")</f>
        <v/>
      </c>
      <c r="K53" s="36" t="str">
        <f>IF(AND(C53&gt;0,G53&gt;0),IF(AND(C53&gt;=G53,C53&lt;=H53),"✓","✗"),"")</f>
        <v/>
      </c>
      <c r="L53" s="38" t="str">
        <f>IF(AND(C53&gt;0,C52&gt;0),(C53-C52)/C52,"")</f>
        <v/>
      </c>
      <c r="M53" s="36"/>
      <c r="N53" s="36"/>
    </row>
    <row r="54" spans="1:14">
      <c r="A54" s="36" t="s">
        <v>99</v>
      </c>
      <c r="B54" s="36">
        <v>19</v>
      </c>
      <c r="C54" s="36"/>
      <c r="D54" s="36"/>
      <c r="E54" s="36"/>
      <c r="F54" s="37">
        <v>1147</v>
      </c>
      <c r="G54" s="37">
        <v>918</v>
      </c>
      <c r="H54" s="37">
        <v>1376</v>
      </c>
      <c r="I54" s="40">
        <v>0.4</v>
      </c>
      <c r="J54" s="39" t="str">
        <f>IF(AND(C54&gt;0,F54&gt;0),ABS(F54-C54)/C54,"")</f>
        <v/>
      </c>
      <c r="K54" s="36" t="str">
        <f>IF(AND(C54&gt;0,G54&gt;0),IF(AND(C54&gt;=G54,C54&lt;=H54),"✓","✗"),"")</f>
        <v/>
      </c>
      <c r="L54" s="38" t="str">
        <f>IF(AND(C54&gt;0,C53&gt;0),(C54-C53)/C53,"")</f>
        <v/>
      </c>
      <c r="M54" s="36"/>
      <c r="N54" s="36"/>
    </row>
    <row r="55" spans="1:14">
      <c r="A55" s="36" t="s">
        <v>100</v>
      </c>
      <c r="B55" s="36">
        <v>20</v>
      </c>
      <c r="C55" s="36"/>
      <c r="D55" s="36"/>
      <c r="E55" s="36"/>
      <c r="F55" s="37">
        <v>1147</v>
      </c>
      <c r="G55" s="37">
        <v>918</v>
      </c>
      <c r="H55" s="37">
        <v>1376</v>
      </c>
      <c r="I55" s="40">
        <v>0.4</v>
      </c>
      <c r="J55" s="39" t="str">
        <f>IF(AND(C55&gt;0,F55&gt;0),ABS(F55-C55)/C55,"")</f>
        <v/>
      </c>
      <c r="K55" s="36" t="str">
        <f>IF(AND(C55&gt;0,G55&gt;0),IF(AND(C55&gt;=G55,C55&lt;=H55),"✓","✗"),"")</f>
        <v/>
      </c>
      <c r="L55" s="38" t="str">
        <f>IF(AND(C55&gt;0,C54&gt;0),(C55-C54)/C54,"")</f>
        <v/>
      </c>
      <c r="M55" s="36"/>
      <c r="N55" s="36"/>
    </row>
    <row r="56" spans="1:14">
      <c r="A56" s="36" t="s">
        <v>101</v>
      </c>
      <c r="B56" s="36">
        <v>21</v>
      </c>
      <c r="C56" s="36"/>
      <c r="D56" s="36"/>
      <c r="E56" s="36"/>
      <c r="F56" s="37">
        <v>1147</v>
      </c>
      <c r="G56" s="37">
        <v>918</v>
      </c>
      <c r="H56" s="37">
        <v>1376</v>
      </c>
      <c r="I56" s="40">
        <v>0.4</v>
      </c>
      <c r="J56" s="39" t="str">
        <f>IF(AND(C56&gt;0,F56&gt;0),ABS(F56-C56)/C56,"")</f>
        <v/>
      </c>
      <c r="K56" s="36" t="str">
        <f>IF(AND(C56&gt;0,G56&gt;0),IF(AND(C56&gt;=G56,C56&lt;=H56),"✓","✗"),"")</f>
        <v/>
      </c>
      <c r="L56" s="38" t="str">
        <f>IF(AND(C56&gt;0,C55&gt;0),(C56-C55)/C55,"")</f>
        <v/>
      </c>
      <c r="M56" s="36"/>
      <c r="N56" s="36"/>
    </row>
    <row r="57" spans="1:14">
      <c r="A57" s="36" t="s">
        <v>102</v>
      </c>
      <c r="B57" s="36">
        <v>22</v>
      </c>
      <c r="C57" s="36"/>
      <c r="D57" s="36"/>
      <c r="E57" s="36"/>
      <c r="F57" s="37">
        <v>1147</v>
      </c>
      <c r="G57" s="37">
        <v>918</v>
      </c>
      <c r="H57" s="37">
        <v>1376</v>
      </c>
      <c r="I57" s="40">
        <v>0.4</v>
      </c>
      <c r="J57" s="39" t="str">
        <f>IF(AND(C57&gt;0,F57&gt;0),ABS(F57-C57)/C57,"")</f>
        <v/>
      </c>
      <c r="K57" s="36" t="str">
        <f>IF(AND(C57&gt;0,G57&gt;0),IF(AND(C57&gt;=G57,C57&lt;=H57),"✓","✗"),"")</f>
        <v/>
      </c>
      <c r="L57" s="38" t="str">
        <f>IF(AND(C57&gt;0,C56&gt;0),(C57-C56)/C56,"")</f>
        <v/>
      </c>
      <c r="M57" s="36"/>
      <c r="N57" s="36"/>
    </row>
    <row r="58" spans="1:14">
      <c r="A58" s="36" t="s">
        <v>103</v>
      </c>
      <c r="B58" s="36">
        <v>23</v>
      </c>
      <c r="C58" s="36"/>
      <c r="D58" s="36"/>
      <c r="E58" s="36"/>
      <c r="F58" s="37">
        <v>1453</v>
      </c>
      <c r="G58" s="37">
        <v>1162</v>
      </c>
      <c r="H58" s="37">
        <v>1744</v>
      </c>
      <c r="I58" s="40">
        <v>0.4</v>
      </c>
      <c r="J58" s="39" t="str">
        <f>IF(AND(C58&gt;0,F58&gt;0),ABS(F58-C58)/C58,"")</f>
        <v/>
      </c>
      <c r="K58" s="36" t="str">
        <f>IF(AND(C58&gt;0,G58&gt;0),IF(AND(C58&gt;=G58,C58&lt;=H58),"✓","✗"),"")</f>
        <v/>
      </c>
      <c r="L58" s="38" t="str">
        <f>IF(AND(C58&gt;0,C57&gt;0),(C58-C57)/C57,"")</f>
        <v/>
      </c>
      <c r="M58" s="36"/>
      <c r="N58" s="36"/>
    </row>
    <row r="59" spans="1:14">
      <c r="A59" s="36" t="s">
        <v>104</v>
      </c>
      <c r="B59" s="36">
        <v>24</v>
      </c>
      <c r="C59" s="36"/>
      <c r="D59" s="36"/>
      <c r="E59" s="36"/>
      <c r="F59" s="37">
        <v>1453</v>
      </c>
      <c r="G59" s="37">
        <v>1162</v>
      </c>
      <c r="H59" s="37">
        <v>1744</v>
      </c>
      <c r="I59" s="40">
        <v>0.4</v>
      </c>
      <c r="J59" s="39" t="str">
        <f>IF(AND(C59&gt;0,F59&gt;0),ABS(F59-C59)/C59,"")</f>
        <v/>
      </c>
      <c r="K59" s="36" t="str">
        <f>IF(AND(C59&gt;0,G59&gt;0),IF(AND(C59&gt;=G59,C59&lt;=H59),"✓","✗"),"")</f>
        <v/>
      </c>
      <c r="L59" s="38" t="str">
        <f>IF(AND(C59&gt;0,C58&gt;0),(C59-C58)/C58,"")</f>
        <v/>
      </c>
      <c r="M59" s="36"/>
      <c r="N59" s="36"/>
    </row>
    <row r="60" spans="1:14">
      <c r="A60" s="36" t="s">
        <v>105</v>
      </c>
      <c r="B60" s="36">
        <v>25</v>
      </c>
      <c r="C60" s="36"/>
      <c r="D60" s="36"/>
      <c r="E60" s="36"/>
      <c r="F60" s="37">
        <v>1453</v>
      </c>
      <c r="G60" s="37">
        <v>1162</v>
      </c>
      <c r="H60" s="37">
        <v>1744</v>
      </c>
      <c r="I60" s="40">
        <v>0.4</v>
      </c>
      <c r="J60" s="39" t="str">
        <f>IF(AND(C60&gt;0,F60&gt;0),ABS(F60-C60)/C60,"")</f>
        <v/>
      </c>
      <c r="K60" s="36" t="str">
        <f>IF(AND(C60&gt;0,G60&gt;0),IF(AND(C60&gt;=G60,C60&lt;=H60),"✓","✗"),"")</f>
        <v/>
      </c>
      <c r="L60" s="38" t="str">
        <f>IF(AND(C60&gt;0,C59&gt;0),(C60-C59)/C59,"")</f>
        <v/>
      </c>
      <c r="M60" s="36"/>
      <c r="N60" s="36"/>
    </row>
    <row r="61" spans="1:14">
      <c r="A61" s="36" t="s">
        <v>106</v>
      </c>
      <c r="B61" s="36">
        <v>26</v>
      </c>
      <c r="C61" s="36"/>
      <c r="D61" s="36"/>
      <c r="E61" s="36"/>
      <c r="F61" s="37">
        <v>1453</v>
      </c>
      <c r="G61" s="37">
        <v>1162</v>
      </c>
      <c r="H61" s="37">
        <v>1744</v>
      </c>
      <c r="I61" s="40">
        <v>0.4</v>
      </c>
      <c r="J61" s="39" t="str">
        <f>IF(AND(C61&gt;0,F61&gt;0),ABS(F61-C61)/C61,"")</f>
        <v/>
      </c>
      <c r="K61" s="36" t="str">
        <f>IF(AND(C61&gt;0,G61&gt;0),IF(AND(C61&gt;=G61,C61&lt;=H61),"✓","✗"),"")</f>
        <v/>
      </c>
      <c r="L61" s="38" t="str">
        <f>IF(AND(C61&gt;0,C60&gt;0),(C61-C60)/C60,"")</f>
        <v/>
      </c>
      <c r="M61" s="36"/>
      <c r="N61" s="36"/>
    </row>
    <row r="62" spans="1:14">
      <c r="A62" s="36" t="s">
        <v>107</v>
      </c>
      <c r="B62" s="36">
        <v>27</v>
      </c>
      <c r="C62" s="36"/>
      <c r="D62" s="36"/>
      <c r="E62" s="36"/>
      <c r="F62" s="37">
        <v>1365</v>
      </c>
      <c r="G62" s="37">
        <v>1092</v>
      </c>
      <c r="H62" s="37">
        <v>1638</v>
      </c>
      <c r="I62" s="40">
        <v>0.4</v>
      </c>
      <c r="J62" s="39" t="str">
        <f>IF(AND(C62&gt;0,F62&gt;0),ABS(F62-C62)/C62,"")</f>
        <v/>
      </c>
      <c r="K62" s="36" t="str">
        <f>IF(AND(C62&gt;0,G62&gt;0),IF(AND(C62&gt;=G62,C62&lt;=H62),"✓","✗"),"")</f>
        <v/>
      </c>
      <c r="L62" s="38" t="str">
        <f>IF(AND(C62&gt;0,C61&gt;0),(C62-C61)/C61,"")</f>
        <v/>
      </c>
      <c r="M62" s="36"/>
      <c r="N62" s="36"/>
    </row>
    <row r="63" spans="1:14">
      <c r="A63" s="36" t="s">
        <v>108</v>
      </c>
      <c r="B63" s="36">
        <v>28</v>
      </c>
      <c r="C63" s="36"/>
      <c r="D63" s="36"/>
      <c r="E63" s="36"/>
      <c r="F63" s="37">
        <v>1365</v>
      </c>
      <c r="G63" s="37">
        <v>1092</v>
      </c>
      <c r="H63" s="37">
        <v>1638</v>
      </c>
      <c r="I63" s="40">
        <v>0.4</v>
      </c>
      <c r="J63" s="39" t="str">
        <f>IF(AND(C63&gt;0,F63&gt;0),ABS(F63-C63)/C63,"")</f>
        <v/>
      </c>
      <c r="K63" s="36" t="str">
        <f>IF(AND(C63&gt;0,G63&gt;0),IF(AND(C63&gt;=G63,C63&lt;=H63),"✓","✗"),"")</f>
        <v/>
      </c>
      <c r="L63" s="38" t="str">
        <f>IF(AND(C63&gt;0,C62&gt;0),(C63-C62)/C62,"")</f>
        <v/>
      </c>
      <c r="M63" s="36"/>
      <c r="N63" s="36"/>
    </row>
    <row r="64" spans="1:14">
      <c r="A64" s="36" t="s">
        <v>109</v>
      </c>
      <c r="B64" s="36">
        <v>29</v>
      </c>
      <c r="C64" s="36"/>
      <c r="D64" s="36"/>
      <c r="E64" s="36"/>
      <c r="F64" s="37">
        <v>1365</v>
      </c>
      <c r="G64" s="37">
        <v>1092</v>
      </c>
      <c r="H64" s="37">
        <v>1638</v>
      </c>
      <c r="I64" s="40">
        <v>0.4</v>
      </c>
      <c r="J64" s="39" t="str">
        <f>IF(AND(C64&gt;0,F64&gt;0),ABS(F64-C64)/C64,"")</f>
        <v/>
      </c>
      <c r="K64" s="36" t="str">
        <f>IF(AND(C64&gt;0,G64&gt;0),IF(AND(C64&gt;=G64,C64&lt;=H64),"✓","✗"),"")</f>
        <v/>
      </c>
      <c r="L64" s="38" t="str">
        <f>IF(AND(C64&gt;0,C63&gt;0),(C64-C63)/C63,"")</f>
        <v/>
      </c>
      <c r="M64" s="36"/>
      <c r="N64" s="36"/>
    </row>
    <row r="65" spans="1:14">
      <c r="A65" s="36" t="s">
        <v>110</v>
      </c>
      <c r="B65" s="36">
        <v>30</v>
      </c>
      <c r="C65" s="36"/>
      <c r="D65" s="36"/>
      <c r="E65" s="36"/>
      <c r="F65" s="37">
        <v>1365</v>
      </c>
      <c r="G65" s="37">
        <v>1092</v>
      </c>
      <c r="H65" s="37">
        <v>1638</v>
      </c>
      <c r="I65" s="40">
        <v>0.4</v>
      </c>
      <c r="J65" s="39" t="str">
        <f>IF(AND(C65&gt;0,F65&gt;0),ABS(F65-C65)/C65,"")</f>
        <v/>
      </c>
      <c r="K65" s="36" t="str">
        <f>IF(AND(C65&gt;0,G65&gt;0),IF(AND(C65&gt;=G65,C65&lt;=H65),"✓","✗"),"")</f>
        <v/>
      </c>
      <c r="L65" s="38" t="str">
        <f>IF(AND(C65&gt;0,C64&gt;0),(C65-C64)/C64,"")</f>
        <v/>
      </c>
      <c r="M65" s="36"/>
      <c r="N65" s="36"/>
    </row>
    <row r="66" spans="1:14">
      <c r="A66" s="36" t="s">
        <v>111</v>
      </c>
      <c r="B66" s="36">
        <v>31</v>
      </c>
      <c r="C66" s="36"/>
      <c r="D66" s="36"/>
      <c r="E66" s="36"/>
      <c r="F66" s="37">
        <v>1365</v>
      </c>
      <c r="G66" s="37">
        <v>1092</v>
      </c>
      <c r="H66" s="37">
        <v>1638</v>
      </c>
      <c r="I66" s="40">
        <v>0.4</v>
      </c>
      <c r="J66" s="39" t="str">
        <f>IF(AND(C66&gt;0,F66&gt;0),ABS(F66-C66)/C66,"")</f>
        <v/>
      </c>
      <c r="K66" s="36" t="str">
        <f>IF(AND(C66&gt;0,G66&gt;0),IF(AND(C66&gt;=G66,C66&lt;=H66),"✓","✗"),"")</f>
        <v/>
      </c>
      <c r="L66" s="38" t="str">
        <f>IF(AND(C66&gt;0,C65&gt;0),(C66-C65)/C65,"")</f>
        <v/>
      </c>
      <c r="M66" s="36"/>
      <c r="N66" s="36"/>
    </row>
    <row r="67" spans="1:14">
      <c r="A67" s="36" t="s">
        <v>112</v>
      </c>
      <c r="B67" s="36">
        <v>32</v>
      </c>
      <c r="C67" s="36"/>
      <c r="D67" s="36"/>
      <c r="E67" s="36"/>
      <c r="F67" s="37">
        <v>1264</v>
      </c>
      <c r="G67" s="37">
        <v>1011</v>
      </c>
      <c r="H67" s="37">
        <v>1517</v>
      </c>
      <c r="I67" s="40">
        <v>0.4</v>
      </c>
      <c r="J67" s="39" t="str">
        <f>IF(AND(C67&gt;0,F67&gt;0),ABS(F67-C67)/C67,"")</f>
        <v/>
      </c>
      <c r="K67" s="36" t="str">
        <f>IF(AND(C67&gt;0,G67&gt;0),IF(AND(C67&gt;=G67,C67&lt;=H67),"✓","✗"),"")</f>
        <v/>
      </c>
      <c r="L67" s="38" t="str">
        <f>IF(AND(C67&gt;0,C66&gt;0),(C67-C66)/C66,"")</f>
        <v/>
      </c>
      <c r="M67" s="36"/>
      <c r="N67" s="36"/>
    </row>
    <row r="68" spans="1:14">
      <c r="A68" s="36" t="s">
        <v>113</v>
      </c>
      <c r="B68" s="36">
        <v>33</v>
      </c>
      <c r="C68" s="36"/>
      <c r="D68" s="36"/>
      <c r="E68" s="36"/>
      <c r="F68" s="37">
        <v>1264</v>
      </c>
      <c r="G68" s="37">
        <v>1011</v>
      </c>
      <c r="H68" s="37">
        <v>1517</v>
      </c>
      <c r="I68" s="40">
        <v>0.4</v>
      </c>
      <c r="J68" s="39" t="str">
        <f>IF(AND(C68&gt;0,F68&gt;0),ABS(F68-C68)/C68,"")</f>
        <v/>
      </c>
      <c r="K68" s="36" t="str">
        <f>IF(AND(C68&gt;0,G68&gt;0),IF(AND(C68&gt;=G68,C68&lt;=H68),"✓","✗"),"")</f>
        <v/>
      </c>
      <c r="L68" s="38" t="str">
        <f>IF(AND(C68&gt;0,C67&gt;0),(C68-C67)/C67,"")</f>
        <v/>
      </c>
      <c r="M68" s="36"/>
      <c r="N68" s="36"/>
    </row>
    <row r="69" spans="1:14">
      <c r="A69" s="36" t="s">
        <v>114</v>
      </c>
      <c r="B69" s="36">
        <v>34</v>
      </c>
      <c r="C69" s="36"/>
      <c r="D69" s="36"/>
      <c r="E69" s="36"/>
      <c r="F69" s="37">
        <v>1264</v>
      </c>
      <c r="G69" s="37">
        <v>1011</v>
      </c>
      <c r="H69" s="37">
        <v>1517</v>
      </c>
      <c r="I69" s="40">
        <v>0.4</v>
      </c>
      <c r="J69" s="39" t="str">
        <f>IF(AND(C69&gt;0,F69&gt;0),ABS(F69-C69)/C69,"")</f>
        <v/>
      </c>
      <c r="K69" s="36" t="str">
        <f>IF(AND(C69&gt;0,G69&gt;0),IF(AND(C69&gt;=G69,C69&lt;=H69),"✓","✗"),"")</f>
        <v/>
      </c>
      <c r="L69" s="38" t="str">
        <f>IF(AND(C69&gt;0,C68&gt;0),(C69-C68)/C68,"")</f>
        <v/>
      </c>
      <c r="M69" s="36"/>
      <c r="N69" s="36"/>
    </row>
    <row r="70" spans="1:14">
      <c r="A70" s="36" t="s">
        <v>115</v>
      </c>
      <c r="B70" s="36">
        <v>35</v>
      </c>
      <c r="C70" s="36"/>
      <c r="D70" s="36"/>
      <c r="E70" s="36"/>
      <c r="F70" s="37">
        <v>1264</v>
      </c>
      <c r="G70" s="37">
        <v>1011</v>
      </c>
      <c r="H70" s="37">
        <v>1517</v>
      </c>
      <c r="I70" s="40">
        <v>0.4</v>
      </c>
      <c r="J70" s="39" t="str">
        <f>IF(AND(C70&gt;0,F70&gt;0),ABS(F70-C70)/C70,"")</f>
        <v/>
      </c>
      <c r="K70" s="36" t="str">
        <f>IF(AND(C70&gt;0,G70&gt;0),IF(AND(C70&gt;=G70,C70&lt;=H70),"✓","✗"),"")</f>
        <v/>
      </c>
      <c r="L70" s="38" t="str">
        <f>IF(AND(C70&gt;0,C69&gt;0),(C70-C69)/C69,"")</f>
        <v/>
      </c>
      <c r="M70" s="36"/>
      <c r="N70" s="36"/>
    </row>
    <row r="71" spans="1:14">
      <c r="A71" s="36" t="s">
        <v>116</v>
      </c>
      <c r="B71" s="36">
        <v>36</v>
      </c>
      <c r="C71" s="36"/>
      <c r="D71" s="36"/>
      <c r="E71" s="36"/>
      <c r="F71" s="37">
        <v>1561</v>
      </c>
      <c r="G71" s="37">
        <v>1249</v>
      </c>
      <c r="H71" s="37">
        <v>1873</v>
      </c>
      <c r="I71" s="40">
        <v>0.4</v>
      </c>
      <c r="J71" s="39" t="str">
        <f>IF(AND(C71&gt;0,F71&gt;0),ABS(F71-C71)/C71,"")</f>
        <v/>
      </c>
      <c r="K71" s="36" t="str">
        <f>IF(AND(C71&gt;0,G71&gt;0),IF(AND(C71&gt;=G71,C71&lt;=H71),"✓","✗"),"")</f>
        <v/>
      </c>
      <c r="L71" s="38" t="str">
        <f>IF(AND(C71&gt;0,C70&gt;0),(C71-C70)/C70,"")</f>
        <v/>
      </c>
      <c r="M71" s="36"/>
      <c r="N71" s="36"/>
    </row>
    <row r="72" spans="1:14">
      <c r="A72" s="36" t="s">
        <v>117</v>
      </c>
      <c r="B72" s="36">
        <v>37</v>
      </c>
      <c r="C72" s="36"/>
      <c r="D72" s="36"/>
      <c r="E72" s="36"/>
      <c r="F72" s="37">
        <v>1561</v>
      </c>
      <c r="G72" s="37">
        <v>1249</v>
      </c>
      <c r="H72" s="37">
        <v>1873</v>
      </c>
      <c r="I72" s="40">
        <v>0.4</v>
      </c>
      <c r="J72" s="39" t="str">
        <f>IF(AND(C72&gt;0,F72&gt;0),ABS(F72-C72)/C72,"")</f>
        <v/>
      </c>
      <c r="K72" s="36" t="str">
        <f>IF(AND(C72&gt;0,G72&gt;0),IF(AND(C72&gt;=G72,C72&lt;=H72),"✓","✗"),"")</f>
        <v/>
      </c>
      <c r="L72" s="38" t="str">
        <f>IF(AND(C72&gt;0,C71&gt;0),(C72-C71)/C71,"")</f>
        <v/>
      </c>
      <c r="M72" s="36"/>
      <c r="N72" s="36"/>
    </row>
    <row r="73" spans="1:14">
      <c r="A73" s="36" t="s">
        <v>118</v>
      </c>
      <c r="B73" s="36">
        <v>38</v>
      </c>
      <c r="C73" s="36"/>
      <c r="D73" s="36"/>
      <c r="E73" s="36"/>
      <c r="F73" s="37">
        <v>1561</v>
      </c>
      <c r="G73" s="37">
        <v>1249</v>
      </c>
      <c r="H73" s="37">
        <v>1873</v>
      </c>
      <c r="I73" s="40">
        <v>0.4</v>
      </c>
      <c r="J73" s="39" t="str">
        <f>IF(AND(C73&gt;0,F73&gt;0),ABS(F73-C73)/C73,"")</f>
        <v/>
      </c>
      <c r="K73" s="36" t="str">
        <f>IF(AND(C73&gt;0,G73&gt;0),IF(AND(C73&gt;=G73,C73&lt;=H73),"✓","✗"),"")</f>
        <v/>
      </c>
      <c r="L73" s="38" t="str">
        <f>IF(AND(C73&gt;0,C72&gt;0),(C73-C72)/C72,"")</f>
        <v/>
      </c>
      <c r="M73" s="36"/>
      <c r="N73" s="36"/>
    </row>
    <row r="74" spans="1:14">
      <c r="A74" s="36" t="s">
        <v>119</v>
      </c>
      <c r="B74" s="36">
        <v>39</v>
      </c>
      <c r="C74" s="36"/>
      <c r="D74" s="36"/>
      <c r="E74" s="36"/>
      <c r="F74" s="37">
        <v>1561</v>
      </c>
      <c r="G74" s="37">
        <v>1249</v>
      </c>
      <c r="H74" s="37">
        <v>1873</v>
      </c>
      <c r="I74" s="40">
        <v>0.4</v>
      </c>
      <c r="J74" s="39" t="str">
        <f>IF(AND(C74&gt;0,F74&gt;0),ABS(F74-C74)/C74,"")</f>
        <v/>
      </c>
      <c r="K74" s="36" t="str">
        <f>IF(AND(C74&gt;0,G74&gt;0),IF(AND(C74&gt;=G74,C74&lt;=H74),"✓","✗"),"")</f>
        <v/>
      </c>
      <c r="L74" s="38" t="str">
        <f>IF(AND(C74&gt;0,C73&gt;0),(C74-C73)/C73,"")</f>
        <v/>
      </c>
      <c r="M74" s="36"/>
      <c r="N74" s="36"/>
    </row>
    <row r="75" spans="1:14">
      <c r="A75" s="36" t="s">
        <v>120</v>
      </c>
      <c r="B75" s="36">
        <v>40</v>
      </c>
      <c r="C75" s="36"/>
      <c r="D75" s="36"/>
      <c r="E75" s="36"/>
      <c r="F75" s="37">
        <v>1352</v>
      </c>
      <c r="G75" s="37">
        <v>1082</v>
      </c>
      <c r="H75" s="37">
        <v>1622</v>
      </c>
      <c r="I75" s="40">
        <v>0.4</v>
      </c>
      <c r="J75" s="39" t="str">
        <f>IF(AND(C75&gt;0,F75&gt;0),ABS(F75-C75)/C75,"")</f>
        <v/>
      </c>
      <c r="K75" s="36" t="str">
        <f>IF(AND(C75&gt;0,G75&gt;0),IF(AND(C75&gt;=G75,C75&lt;=H75),"✓","✗"),"")</f>
        <v/>
      </c>
      <c r="L75" s="38" t="str">
        <f>IF(AND(C75&gt;0,C74&gt;0),(C75-C74)/C74,"")</f>
        <v/>
      </c>
      <c r="M75" s="36"/>
      <c r="N75" s="36"/>
    </row>
    <row r="76" spans="1:14">
      <c r="A76" s="36" t="s">
        <v>121</v>
      </c>
      <c r="B76" s="36">
        <v>41</v>
      </c>
      <c r="C76" s="36"/>
      <c r="D76" s="36"/>
      <c r="E76" s="36"/>
      <c r="F76" s="37">
        <v>1352</v>
      </c>
      <c r="G76" s="37">
        <v>1082</v>
      </c>
      <c r="H76" s="37">
        <v>1622</v>
      </c>
      <c r="I76" s="40">
        <v>0.4</v>
      </c>
      <c r="J76" s="39" t="str">
        <f>IF(AND(C76&gt;0,F76&gt;0),ABS(F76-C76)/C76,"")</f>
        <v/>
      </c>
      <c r="K76" s="36" t="str">
        <f>IF(AND(C76&gt;0,G76&gt;0),IF(AND(C76&gt;=G76,C76&lt;=H76),"✓","✗"),"")</f>
        <v/>
      </c>
      <c r="L76" s="38" t="str">
        <f>IF(AND(C76&gt;0,C75&gt;0),(C76-C75)/C75,"")</f>
        <v/>
      </c>
      <c r="M76" s="36"/>
      <c r="N76" s="36"/>
    </row>
    <row r="77" spans="1:14">
      <c r="A77" s="36" t="s">
        <v>122</v>
      </c>
      <c r="B77" s="36">
        <v>42</v>
      </c>
      <c r="C77" s="36"/>
      <c r="D77" s="36"/>
      <c r="E77" s="36"/>
      <c r="F77" s="37">
        <v>1352</v>
      </c>
      <c r="G77" s="37">
        <v>1082</v>
      </c>
      <c r="H77" s="37">
        <v>1622</v>
      </c>
      <c r="I77" s="40">
        <v>0.4</v>
      </c>
      <c r="J77" s="39" t="str">
        <f>IF(AND(C77&gt;0,F77&gt;0),ABS(F77-C77)/C77,"")</f>
        <v/>
      </c>
      <c r="K77" s="36" t="str">
        <f>IF(AND(C77&gt;0,G77&gt;0),IF(AND(C77&gt;=G77,C77&lt;=H77),"✓","✗"),"")</f>
        <v/>
      </c>
      <c r="L77" s="38" t="str">
        <f>IF(AND(C77&gt;0,C76&gt;0),(C77-C76)/C76,"")</f>
        <v/>
      </c>
      <c r="M77" s="36"/>
      <c r="N77" s="36"/>
    </row>
    <row r="78" spans="1:14">
      <c r="A78" s="36" t="s">
        <v>123</v>
      </c>
      <c r="B78" s="36">
        <v>43</v>
      </c>
      <c r="C78" s="36"/>
      <c r="D78" s="36"/>
      <c r="E78" s="36"/>
      <c r="F78" s="37">
        <v>1352</v>
      </c>
      <c r="G78" s="37">
        <v>1082</v>
      </c>
      <c r="H78" s="37">
        <v>1622</v>
      </c>
      <c r="I78" s="40">
        <v>0.4</v>
      </c>
      <c r="J78" s="39" t="str">
        <f>IF(AND(C78&gt;0,F78&gt;0),ABS(F78-C78)/C78,"")</f>
        <v/>
      </c>
      <c r="K78" s="36" t="str">
        <f>IF(AND(C78&gt;0,G78&gt;0),IF(AND(C78&gt;=G78,C78&lt;=H78),"✓","✗"),"")</f>
        <v/>
      </c>
      <c r="L78" s="38" t="str">
        <f>IF(AND(C78&gt;0,C77&gt;0),(C78-C77)/C77,"")</f>
        <v/>
      </c>
      <c r="M78" s="36"/>
      <c r="N78" s="36"/>
    </row>
    <row r="79" spans="1:14">
      <c r="A79" s="36" t="s">
        <v>124</v>
      </c>
      <c r="B79" s="36">
        <v>44</v>
      </c>
      <c r="C79" s="36"/>
      <c r="D79" s="36"/>
      <c r="E79" s="36"/>
      <c r="F79" s="37">
        <v>1352</v>
      </c>
      <c r="G79" s="37">
        <v>1082</v>
      </c>
      <c r="H79" s="37">
        <v>1622</v>
      </c>
      <c r="I79" s="40">
        <v>0.4</v>
      </c>
      <c r="J79" s="39" t="str">
        <f>IF(AND(C79&gt;0,F79&gt;0),ABS(F79-C79)/C79,"")</f>
        <v/>
      </c>
      <c r="K79" s="36" t="str">
        <f>IF(AND(C79&gt;0,G79&gt;0),IF(AND(C79&gt;=G79,C79&lt;=H79),"✓","✗"),"")</f>
        <v/>
      </c>
      <c r="L79" s="38" t="str">
        <f>IF(AND(C79&gt;0,C78&gt;0),(C79-C78)/C78,"")</f>
        <v/>
      </c>
      <c r="M79" s="36"/>
      <c r="N79" s="36"/>
    </row>
    <row r="80" spans="1:14">
      <c r="A80" s="36" t="s">
        <v>125</v>
      </c>
      <c r="B80" s="36">
        <v>45</v>
      </c>
      <c r="C80" s="36"/>
      <c r="D80" s="36"/>
      <c r="E80" s="36"/>
      <c r="F80" s="37">
        <v>1744</v>
      </c>
      <c r="G80" s="37">
        <v>1395</v>
      </c>
      <c r="H80" s="37">
        <v>2093</v>
      </c>
      <c r="I80" s="40">
        <v>0.4</v>
      </c>
      <c r="J80" s="39" t="str">
        <f>IF(AND(C80&gt;0,F80&gt;0),ABS(F80-C80)/C80,"")</f>
        <v/>
      </c>
      <c r="K80" s="36" t="str">
        <f>IF(AND(C80&gt;0,G80&gt;0),IF(AND(C80&gt;=G80,C80&lt;=H80),"✓","✗"),"")</f>
        <v/>
      </c>
      <c r="L80" s="38" t="str">
        <f>IF(AND(C80&gt;0,C79&gt;0),(C80-C79)/C79,"")</f>
        <v/>
      </c>
      <c r="M80" s="36"/>
      <c r="N80" s="36"/>
    </row>
    <row r="81" spans="1:14">
      <c r="A81" s="36" t="s">
        <v>126</v>
      </c>
      <c r="B81" s="36">
        <v>46</v>
      </c>
      <c r="C81" s="36"/>
      <c r="D81" s="36"/>
      <c r="E81" s="36"/>
      <c r="F81" s="37">
        <v>1744</v>
      </c>
      <c r="G81" s="37">
        <v>1395</v>
      </c>
      <c r="H81" s="37">
        <v>2093</v>
      </c>
      <c r="I81" s="40">
        <v>0.4</v>
      </c>
      <c r="J81" s="39" t="str">
        <f>IF(AND(C81&gt;0,F81&gt;0),ABS(F81-C81)/C81,"")</f>
        <v/>
      </c>
      <c r="K81" s="36" t="str">
        <f>IF(AND(C81&gt;0,G81&gt;0),IF(AND(C81&gt;=G81,C81&lt;=H81),"✓","✗"),"")</f>
        <v/>
      </c>
      <c r="L81" s="38" t="str">
        <f>IF(AND(C81&gt;0,C80&gt;0),(C81-C80)/C80,"")</f>
        <v/>
      </c>
      <c r="M81" s="36"/>
      <c r="N81" s="36"/>
    </row>
    <row r="82" spans="1:14">
      <c r="A82" s="36" t="s">
        <v>127</v>
      </c>
      <c r="B82" s="36">
        <v>47</v>
      </c>
      <c r="C82" s="36"/>
      <c r="D82" s="36"/>
      <c r="E82" s="36"/>
      <c r="F82" s="37">
        <v>1744</v>
      </c>
      <c r="G82" s="37">
        <v>1395</v>
      </c>
      <c r="H82" s="37">
        <v>2093</v>
      </c>
      <c r="I82" s="40">
        <v>0.4</v>
      </c>
      <c r="J82" s="39" t="str">
        <f>IF(AND(C82&gt;0,F82&gt;0),ABS(F82-C82)/C82,"")</f>
        <v/>
      </c>
      <c r="K82" s="36" t="str">
        <f>IF(AND(C82&gt;0,G82&gt;0),IF(AND(C82&gt;=G82,C82&lt;=H82),"✓","✗"),"")</f>
        <v/>
      </c>
      <c r="L82" s="38" t="str">
        <f>IF(AND(C82&gt;0,C81&gt;0),(C82-C81)/C81,"")</f>
        <v/>
      </c>
      <c r="M82" s="36"/>
      <c r="N82" s="36"/>
    </row>
    <row r="83" spans="1:14">
      <c r="A83" s="36" t="s">
        <v>128</v>
      </c>
      <c r="B83" s="36">
        <v>48</v>
      </c>
      <c r="C83" s="36"/>
      <c r="D83" s="36"/>
      <c r="E83" s="36"/>
      <c r="F83" s="37">
        <v>1744</v>
      </c>
      <c r="G83" s="37">
        <v>1395</v>
      </c>
      <c r="H83" s="37">
        <v>2093</v>
      </c>
      <c r="I83" s="40">
        <v>0.4</v>
      </c>
      <c r="J83" s="39" t="str">
        <f>IF(AND(C83&gt;0,F83&gt;0),ABS(F83-C83)/C83,"")</f>
        <v/>
      </c>
      <c r="K83" s="36" t="str">
        <f>IF(AND(C83&gt;0,G83&gt;0),IF(AND(C83&gt;=G83,C83&lt;=H83),"✓","✗"),"")</f>
        <v/>
      </c>
      <c r="L83" s="38" t="str">
        <f>IF(AND(C83&gt;0,C82&gt;0),(C83-C82)/C82,"")</f>
        <v/>
      </c>
      <c r="M83" s="36"/>
      <c r="N83" s="36"/>
    </row>
    <row r="84" spans="1:14">
      <c r="A84" s="36" t="s">
        <v>129</v>
      </c>
      <c r="B84" s="36">
        <v>49</v>
      </c>
      <c r="C84" s="36"/>
      <c r="D84" s="36"/>
      <c r="E84" s="36"/>
      <c r="F84" s="37">
        <v>1232</v>
      </c>
      <c r="G84" s="37">
        <v>986</v>
      </c>
      <c r="H84" s="37">
        <v>1478</v>
      </c>
      <c r="I84" s="40">
        <v>0.4</v>
      </c>
      <c r="J84" s="39" t="str">
        <f>IF(AND(C84&gt;0,F84&gt;0),ABS(F84-C84)/C84,"")</f>
        <v/>
      </c>
      <c r="K84" s="36" t="str">
        <f>IF(AND(C84&gt;0,G84&gt;0),IF(AND(C84&gt;=G84,C84&lt;=H84),"✓","✗"),"")</f>
        <v/>
      </c>
      <c r="L84" s="38" t="str">
        <f>IF(AND(C84&gt;0,C83&gt;0),(C84-C83)/C83,"")</f>
        <v/>
      </c>
      <c r="M84" s="36"/>
      <c r="N84" s="36"/>
    </row>
    <row r="85" spans="1:14">
      <c r="A85" s="36" t="s">
        <v>130</v>
      </c>
      <c r="B85" s="36">
        <v>50</v>
      </c>
      <c r="C85" s="36"/>
      <c r="D85" s="36"/>
      <c r="E85" s="36"/>
      <c r="F85" s="37">
        <v>1232</v>
      </c>
      <c r="G85" s="37">
        <v>986</v>
      </c>
      <c r="H85" s="37">
        <v>1478</v>
      </c>
      <c r="I85" s="40">
        <v>0.4</v>
      </c>
      <c r="J85" s="39" t="str">
        <f>IF(AND(C85&gt;0,F85&gt;0),ABS(F85-C85)/C85,"")</f>
        <v/>
      </c>
      <c r="K85" s="36" t="str">
        <f>IF(AND(C85&gt;0,G85&gt;0),IF(AND(C85&gt;=G85,C85&lt;=H85),"✓","✗"),"")</f>
        <v/>
      </c>
      <c r="L85" s="38" t="str">
        <f>IF(AND(C85&gt;0,C84&gt;0),(C85-C84)/C84,"")</f>
        <v/>
      </c>
      <c r="M85" s="36"/>
      <c r="N85" s="36"/>
    </row>
    <row r="86" spans="1:14">
      <c r="A86" s="36" t="s">
        <v>131</v>
      </c>
      <c r="B86" s="36">
        <v>51</v>
      </c>
      <c r="C86" s="36"/>
      <c r="D86" s="36"/>
      <c r="E86" s="36"/>
      <c r="F86" s="37">
        <v>1232</v>
      </c>
      <c r="G86" s="37">
        <v>986</v>
      </c>
      <c r="H86" s="37">
        <v>1478</v>
      </c>
      <c r="I86" s="40">
        <v>0.4</v>
      </c>
      <c r="J86" s="39" t="str">
        <f>IF(AND(C86&gt;0,F86&gt;0),ABS(F86-C86)/C86,"")</f>
        <v/>
      </c>
      <c r="K86" s="36" t="str">
        <f>IF(AND(C86&gt;0,G86&gt;0),IF(AND(C86&gt;=G86,C86&lt;=H86),"✓","✗"),"")</f>
        <v/>
      </c>
      <c r="L86" s="38" t="str">
        <f>IF(AND(C86&gt;0,C85&gt;0),(C86-C85)/C85,"")</f>
        <v/>
      </c>
      <c r="M86" s="36"/>
      <c r="N86" s="36"/>
    </row>
    <row r="87" spans="1:14">
      <c r="A87" s="36" t="s">
        <v>132</v>
      </c>
      <c r="B87" s="36">
        <v>52</v>
      </c>
      <c r="C87" s="36"/>
      <c r="D87" s="36"/>
      <c r="E87" s="36"/>
      <c r="F87" s="37">
        <v>1232</v>
      </c>
      <c r="G87" s="37">
        <v>986</v>
      </c>
      <c r="H87" s="37">
        <v>1478</v>
      </c>
      <c r="I87" s="40">
        <v>0.4</v>
      </c>
      <c r="J87" s="39" t="str">
        <f>IF(AND(C87&gt;0,F87&gt;0),ABS(F87-C87)/C87,"")</f>
        <v/>
      </c>
      <c r="K87" s="36" t="str">
        <f>IF(AND(C87&gt;0,G87&gt;0),IF(AND(C87&gt;=G87,C87&lt;=H87),"✓","✗"),"")</f>
        <v/>
      </c>
      <c r="L87" s="38" t="str">
        <f>IF(AND(C87&gt;0,C86&gt;0),(C87-C86)/C86,"")</f>
        <v/>
      </c>
      <c r="M87" s="36"/>
      <c r="N87" s="36"/>
    </row>
  </sheetData>
  <mergeCells count="15">
    <mergeCell ref="C3:D3"/>
    <mergeCell ref="A3:B3"/>
    <mergeCell ref="G3:H3"/>
    <mergeCell ref="E3:F3"/>
    <mergeCell ref="A1:N1"/>
    <mergeCell ref="A4:B4"/>
    <mergeCell ref="G4:H4"/>
    <mergeCell ref="E4:F4"/>
    <mergeCell ref="A12:K12"/>
    <mergeCell ref="A34:N34"/>
    <mergeCell ref="A5:B5"/>
    <mergeCell ref="C4:D4"/>
    <mergeCell ref="G5:H5"/>
    <mergeCell ref="A8:K8"/>
    <mergeCell ref="A19:K19"/>
  </mergeCells>
  <conditionalFormatting sqref="C36:C87">
    <cfRule type="dataBar" priority="1">
      <dataBar>
        <cfvo type="num" val="0"/>
        <cfvo type="max"/>
        <color rgb="FFE67E22"/>
      </dataBar>
    </cfRule>
  </conditionalFormatting>
  <conditionalFormatting sqref="J36:J87">
    <cfRule type="colorScale" priority="2">
      <colorScale>
        <cfvo type="num" val="0"/>
        <cfvo type="num" val="0.1"/>
        <cfvo type="num" val="0.3"/>
        <color rgb="FF27AE60"/>
        <color rgb="FFFFFFFF"/>
        <color rgb="FFE74C3C"/>
      </colorScale>
    </cfRule>
  </conditionalFormatting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74C3C"/>
  </sheetPr>
  <dimension ref="A1:N87"/>
  <sheetViews>
    <sheetView showGridLines="0" workbookViewId="0">
      <selection sqref="A1:XFD1048576"/>
    </sheetView>
  </sheetViews>
  <sheetFormatPr defaultColWidth="12.7109375" defaultRowHeight="15"/>
  <cols>
    <col min="1" max="1" width="11.85546875" style="30" bestFit="1" customWidth="1"/>
    <col min="2" max="3" width="10.140625" style="30" bestFit="1" customWidth="1"/>
    <col min="4" max="4" width="9.85546875" style="30" bestFit="1" customWidth="1"/>
    <col min="5" max="5" width="9.5703125" style="30" bestFit="1" customWidth="1"/>
    <col min="6" max="6" width="9.7109375" style="30" bestFit="1" customWidth="1"/>
    <col min="7" max="7" width="8.140625" style="30" bestFit="1" customWidth="1"/>
    <col min="8" max="8" width="6.85546875" style="30" bestFit="1" customWidth="1"/>
    <col min="9" max="9" width="9.85546875" style="30" bestFit="1" customWidth="1"/>
    <col min="10" max="10" width="6.85546875" style="30" bestFit="1" customWidth="1"/>
    <col min="11" max="11" width="10.85546875" style="30" bestFit="1" customWidth="1"/>
    <col min="12" max="12" width="8.28515625" style="30" bestFit="1" customWidth="1"/>
    <col min="13" max="13" width="9.7109375" style="30" bestFit="1" customWidth="1"/>
    <col min="14" max="14" width="7.42578125" style="30" bestFit="1" customWidth="1"/>
    <col min="15" max="16384" width="12.7109375" style="30"/>
  </cols>
  <sheetData>
    <row r="1" spans="1:14" ht="21">
      <c r="A1" s="64" t="s">
        <v>143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3" spans="1:14">
      <c r="A3" s="31" t="s">
        <v>34</v>
      </c>
      <c r="B3" s="32"/>
      <c r="C3" s="31" t="s">
        <v>35</v>
      </c>
      <c r="D3" s="32"/>
      <c r="E3" s="31" t="s">
        <v>36</v>
      </c>
      <c r="F3" s="32"/>
      <c r="G3" s="31" t="s">
        <v>37</v>
      </c>
      <c r="H3" s="32"/>
    </row>
    <row r="4" spans="1:14" ht="26.25">
      <c r="A4" s="33" t="s">
        <v>144</v>
      </c>
      <c r="B4" s="32"/>
      <c r="C4" s="33" t="s">
        <v>145</v>
      </c>
      <c r="D4" s="32"/>
      <c r="E4" s="33" t="s">
        <v>146</v>
      </c>
      <c r="F4" s="32"/>
      <c r="G4" s="33" t="s">
        <v>147</v>
      </c>
      <c r="H4" s="32"/>
    </row>
    <row r="5" spans="1:14">
      <c r="A5" s="31" t="s">
        <v>10</v>
      </c>
      <c r="B5" s="32"/>
      <c r="C5" s="34"/>
      <c r="D5" s="34"/>
      <c r="E5" s="34"/>
      <c r="F5" s="34"/>
      <c r="G5" s="31" t="s">
        <v>23</v>
      </c>
      <c r="H5" s="32"/>
    </row>
    <row r="8" spans="1:14" ht="15.75">
      <c r="A8" s="35" t="s">
        <v>42</v>
      </c>
      <c r="B8" s="29"/>
      <c r="C8" s="29"/>
      <c r="D8" s="29"/>
      <c r="E8" s="29"/>
      <c r="F8" s="29"/>
      <c r="G8" s="29"/>
      <c r="H8" s="29"/>
      <c r="I8" s="29"/>
      <c r="J8" s="29"/>
      <c r="K8" s="29"/>
    </row>
    <row r="9" spans="1:14">
      <c r="A9" s="65" t="s">
        <v>43</v>
      </c>
      <c r="B9" s="65" t="s">
        <v>44</v>
      </c>
      <c r="C9" s="65" t="s">
        <v>45</v>
      </c>
      <c r="D9" s="65" t="s">
        <v>46</v>
      </c>
      <c r="E9" s="65" t="s">
        <v>47</v>
      </c>
      <c r="F9" s="65" t="s">
        <v>48</v>
      </c>
      <c r="G9" s="65" t="s">
        <v>20</v>
      </c>
      <c r="H9" s="65" t="s">
        <v>49</v>
      </c>
      <c r="I9" s="65" t="s">
        <v>50</v>
      </c>
      <c r="J9" s="65" t="s">
        <v>51</v>
      </c>
      <c r="K9" s="65" t="s">
        <v>52</v>
      </c>
    </row>
    <row r="10" spans="1:14">
      <c r="A10" s="36" t="s">
        <v>53</v>
      </c>
      <c r="B10" s="37"/>
      <c r="C10" s="37"/>
      <c r="D10" s="37"/>
      <c r="E10" s="37"/>
      <c r="F10" s="37">
        <v>53455.27</v>
      </c>
      <c r="G10" s="38" t="str">
        <f>IF(AND(B10&gt;0,F10&gt;0),(B10-F10)/F10,"")</f>
        <v/>
      </c>
      <c r="H10" s="39" t="str">
        <f>IF(AND(B10&gt;0,C10&gt;0),ABS(C10-B10)/B10,"")</f>
        <v/>
      </c>
      <c r="I10" s="40"/>
      <c r="J10" s="36"/>
      <c r="K10" s="36"/>
    </row>
    <row r="12" spans="1:14" ht="15.75">
      <c r="A12" s="35" t="s">
        <v>54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</row>
    <row r="13" spans="1:14">
      <c r="A13" s="65" t="s">
        <v>43</v>
      </c>
      <c r="B13" s="65" t="s">
        <v>44</v>
      </c>
      <c r="C13" s="65" t="s">
        <v>45</v>
      </c>
      <c r="D13" s="65" t="s">
        <v>46</v>
      </c>
      <c r="E13" s="65" t="s">
        <v>47</v>
      </c>
      <c r="F13" s="65" t="s">
        <v>48</v>
      </c>
      <c r="G13" s="65" t="s">
        <v>20</v>
      </c>
      <c r="H13" s="65" t="s">
        <v>49</v>
      </c>
      <c r="I13" s="65" t="s">
        <v>50</v>
      </c>
      <c r="J13" s="65" t="s">
        <v>51</v>
      </c>
      <c r="K13" s="65" t="s">
        <v>52</v>
      </c>
    </row>
    <row r="14" spans="1:14">
      <c r="A14" s="41" t="s">
        <v>55</v>
      </c>
      <c r="B14" s="42">
        <v>13842</v>
      </c>
      <c r="C14" s="42"/>
      <c r="D14" s="42"/>
      <c r="E14" s="42"/>
      <c r="F14" s="42">
        <v>14059.81</v>
      </c>
      <c r="G14" s="43">
        <f>IF(AND(B14&gt;0,F14&gt;0),(B14-F14)/F14,"")</f>
        <v>-1.5491674496312504E-2</v>
      </c>
      <c r="H14" s="44" t="str">
        <f>IF(AND(B14&gt;0,C14&gt;0),ABS(C14-B14)/B14,"")</f>
        <v/>
      </c>
      <c r="I14" s="45"/>
      <c r="J14" s="41"/>
      <c r="K14" s="41"/>
    </row>
    <row r="15" spans="1:14">
      <c r="A15" s="36" t="s">
        <v>56</v>
      </c>
      <c r="B15" s="36"/>
      <c r="C15" s="37"/>
      <c r="D15" s="37"/>
      <c r="E15" s="37"/>
      <c r="F15" s="37">
        <v>12024.61</v>
      </c>
      <c r="G15" s="38" t="str">
        <f>IF(AND(B15&gt;0,F15&gt;0),(B15-F15)/F15,"")</f>
        <v/>
      </c>
      <c r="H15" s="39" t="str">
        <f>IF(AND(B15&gt;0,C15&gt;0),ABS(C15-B15)/B15,"")</f>
        <v/>
      </c>
      <c r="I15" s="40"/>
      <c r="J15" s="36"/>
      <c r="K15" s="36"/>
    </row>
    <row r="16" spans="1:14">
      <c r="A16" s="36" t="s">
        <v>57</v>
      </c>
      <c r="B16" s="36"/>
      <c r="C16" s="37"/>
      <c r="D16" s="37"/>
      <c r="E16" s="37"/>
      <c r="F16" s="37">
        <v>13164.33</v>
      </c>
      <c r="G16" s="38" t="str">
        <f>IF(AND(B16&gt;0,F16&gt;0),(B16-F16)/F16,"")</f>
        <v/>
      </c>
      <c r="H16" s="39" t="str">
        <f>IF(AND(B16&gt;0,C16&gt;0),ABS(C16-B16)/B16,"")</f>
        <v/>
      </c>
      <c r="I16" s="40"/>
      <c r="J16" s="36"/>
      <c r="K16" s="36"/>
    </row>
    <row r="17" spans="1:11">
      <c r="A17" s="36" t="s">
        <v>58</v>
      </c>
      <c r="B17" s="36"/>
      <c r="C17" s="37"/>
      <c r="D17" s="37"/>
      <c r="E17" s="37"/>
      <c r="F17" s="37">
        <v>14206.52</v>
      </c>
      <c r="G17" s="38" t="str">
        <f>IF(AND(B17&gt;0,F17&gt;0),(B17-F17)/F17,"")</f>
        <v/>
      </c>
      <c r="H17" s="39" t="str">
        <f>IF(AND(B17&gt;0,C17&gt;0),ABS(C17-B17)/B17,"")</f>
        <v/>
      </c>
      <c r="I17" s="40"/>
      <c r="J17" s="36"/>
      <c r="K17" s="36"/>
    </row>
    <row r="19" spans="1:11" ht="15.75">
      <c r="A19" s="35" t="s">
        <v>59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</row>
    <row r="20" spans="1:11">
      <c r="A20" s="65" t="s">
        <v>43</v>
      </c>
      <c r="B20" s="65" t="s">
        <v>44</v>
      </c>
      <c r="C20" s="65" t="s">
        <v>45</v>
      </c>
      <c r="D20" s="65" t="s">
        <v>46</v>
      </c>
      <c r="E20" s="65" t="s">
        <v>47</v>
      </c>
      <c r="F20" s="65" t="s">
        <v>48</v>
      </c>
      <c r="G20" s="65" t="s">
        <v>20</v>
      </c>
      <c r="H20" s="65" t="s">
        <v>49</v>
      </c>
      <c r="I20" s="65" t="s">
        <v>50</v>
      </c>
      <c r="J20" s="65" t="s">
        <v>51</v>
      </c>
      <c r="K20" s="65" t="s">
        <v>52</v>
      </c>
    </row>
    <row r="21" spans="1:11">
      <c r="A21" s="41" t="s">
        <v>60</v>
      </c>
      <c r="B21" s="42">
        <v>3899</v>
      </c>
      <c r="C21" s="42"/>
      <c r="D21" s="42"/>
      <c r="E21" s="42"/>
      <c r="F21" s="42">
        <v>5014.08</v>
      </c>
      <c r="G21" s="43">
        <f>IF(AND(B21&gt;0,F21&gt;0),(B21-F21)/F21,"")</f>
        <v>-0.22238975046269704</v>
      </c>
      <c r="H21" s="44" t="str">
        <f>IF(AND(B21&gt;0,C21&gt;0),ABS(C21-B21)/B21,"")</f>
        <v/>
      </c>
      <c r="I21" s="45"/>
      <c r="J21" s="41"/>
      <c r="K21" s="41"/>
    </row>
    <row r="22" spans="1:11">
      <c r="A22" s="46" t="s">
        <v>61</v>
      </c>
      <c r="B22" s="47">
        <v>4268</v>
      </c>
      <c r="C22" s="47"/>
      <c r="D22" s="47"/>
      <c r="E22" s="47"/>
      <c r="F22" s="47">
        <v>4351.3100000000004</v>
      </c>
      <c r="G22" s="48">
        <f>IF(AND(B22&gt;0,F22&gt;0),(B22-F22)/F22,"")</f>
        <v>-1.9145958343579381E-2</v>
      </c>
      <c r="H22" s="49" t="str">
        <f>IF(AND(B22&gt;0,C22&gt;0),ABS(C22-B22)/B22,"")</f>
        <v/>
      </c>
      <c r="I22" s="50"/>
      <c r="J22" s="46"/>
      <c r="K22" s="46"/>
    </row>
    <row r="23" spans="1:11">
      <c r="A23" s="41" t="s">
        <v>62</v>
      </c>
      <c r="B23" s="42">
        <v>5675</v>
      </c>
      <c r="C23" s="42"/>
      <c r="D23" s="42"/>
      <c r="E23" s="42"/>
      <c r="F23" s="42">
        <v>4694.42</v>
      </c>
      <c r="G23" s="43">
        <f>IF(AND(B23&gt;0,F23&gt;0),(B23-F23)/F23,"")</f>
        <v>0.20888203441532713</v>
      </c>
      <c r="H23" s="44" t="str">
        <f>IF(AND(B23&gt;0,C23&gt;0),ABS(C23-B23)/B23,"")</f>
        <v/>
      </c>
      <c r="I23" s="45"/>
      <c r="J23" s="41"/>
      <c r="K23" s="41"/>
    </row>
    <row r="24" spans="1:11">
      <c r="A24" s="36" t="s">
        <v>63</v>
      </c>
      <c r="B24" s="37"/>
      <c r="C24" s="37">
        <v>4116.79</v>
      </c>
      <c r="D24" s="37">
        <v>3499</v>
      </c>
      <c r="E24" s="37">
        <v>4734</v>
      </c>
      <c r="F24" s="37">
        <v>4116.79</v>
      </c>
      <c r="G24" s="38" t="str">
        <f>IF(AND(B24&gt;0,F24&gt;0),(B24-F24)/F24,"")</f>
        <v/>
      </c>
      <c r="H24" s="39" t="str">
        <f>IF(AND(B24&gt;0,C24&gt;0),ABS(C24-B24)/B24,"")</f>
        <v/>
      </c>
      <c r="I24" s="40">
        <v>0.5</v>
      </c>
      <c r="J24" s="36"/>
      <c r="K24" s="36" t="s">
        <v>64</v>
      </c>
    </row>
    <row r="25" spans="1:11">
      <c r="A25" s="36" t="s">
        <v>65</v>
      </c>
      <c r="B25" s="37"/>
      <c r="C25" s="37">
        <v>3771.42</v>
      </c>
      <c r="D25" s="37">
        <v>3206</v>
      </c>
      <c r="E25" s="37">
        <v>4337</v>
      </c>
      <c r="F25" s="37">
        <v>3771.42</v>
      </c>
      <c r="G25" s="38" t="str">
        <f>IF(AND(B25&gt;0,F25&gt;0),(B25-F25)/F25,"")</f>
        <v/>
      </c>
      <c r="H25" s="39" t="str">
        <f>IF(AND(B25&gt;0,C25&gt;0),ABS(C25-B25)/B25,"")</f>
        <v/>
      </c>
      <c r="I25" s="40">
        <v>0.5</v>
      </c>
      <c r="J25" s="36"/>
      <c r="K25" s="36" t="s">
        <v>64</v>
      </c>
    </row>
    <row r="26" spans="1:11">
      <c r="A26" s="36" t="s">
        <v>66</v>
      </c>
      <c r="B26" s="37"/>
      <c r="C26" s="37">
        <v>4136.3999999999996</v>
      </c>
      <c r="D26" s="37">
        <v>3516</v>
      </c>
      <c r="E26" s="37">
        <v>4757</v>
      </c>
      <c r="F26" s="37">
        <v>4136.3999999999996</v>
      </c>
      <c r="G26" s="38" t="str">
        <f>IF(AND(B26&gt;0,F26&gt;0),(B26-F26)/F26,"")</f>
        <v/>
      </c>
      <c r="H26" s="39" t="str">
        <f>IF(AND(B26&gt;0,C26&gt;0),ABS(C26-B26)/B26,"")</f>
        <v/>
      </c>
      <c r="I26" s="40">
        <v>0.5</v>
      </c>
      <c r="J26" s="36"/>
      <c r="K26" s="36" t="s">
        <v>64</v>
      </c>
    </row>
    <row r="27" spans="1:11">
      <c r="A27" s="36" t="s">
        <v>67</v>
      </c>
      <c r="B27" s="37"/>
      <c r="C27" s="37">
        <v>4284.6499999999996</v>
      </c>
      <c r="D27" s="37">
        <v>3642</v>
      </c>
      <c r="E27" s="37">
        <v>4927</v>
      </c>
      <c r="F27" s="37">
        <v>4284.6499999999996</v>
      </c>
      <c r="G27" s="38" t="str">
        <f>IF(AND(B27&gt;0,F27&gt;0),(B27-F27)/F27,"")</f>
        <v/>
      </c>
      <c r="H27" s="39" t="str">
        <f>IF(AND(B27&gt;0,C27&gt;0),ABS(C27-B27)/B27,"")</f>
        <v/>
      </c>
      <c r="I27" s="40">
        <v>0.5</v>
      </c>
      <c r="J27" s="36"/>
      <c r="K27" s="36" t="s">
        <v>64</v>
      </c>
    </row>
    <row r="28" spans="1:11">
      <c r="A28" s="36" t="s">
        <v>68</v>
      </c>
      <c r="B28" s="37"/>
      <c r="C28" s="37">
        <v>3669.39</v>
      </c>
      <c r="D28" s="37">
        <v>3119</v>
      </c>
      <c r="E28" s="37">
        <v>4220</v>
      </c>
      <c r="F28" s="37">
        <v>3669.39</v>
      </c>
      <c r="G28" s="38" t="str">
        <f>IF(AND(B28&gt;0,F28&gt;0),(B28-F28)/F28,"")</f>
        <v/>
      </c>
      <c r="H28" s="39" t="str">
        <f>IF(AND(B28&gt;0,C28&gt;0),ABS(C28-B28)/B28,"")</f>
        <v/>
      </c>
      <c r="I28" s="40">
        <v>0.5</v>
      </c>
      <c r="J28" s="36"/>
      <c r="K28" s="36" t="s">
        <v>64</v>
      </c>
    </row>
    <row r="29" spans="1:11">
      <c r="A29" s="36" t="s">
        <v>69</v>
      </c>
      <c r="B29" s="37"/>
      <c r="C29" s="37">
        <v>5210.29</v>
      </c>
      <c r="D29" s="37">
        <v>4429</v>
      </c>
      <c r="E29" s="37">
        <v>5992</v>
      </c>
      <c r="F29" s="37">
        <v>5210.29</v>
      </c>
      <c r="G29" s="38" t="str">
        <f>IF(AND(B29&gt;0,F29&gt;0),(B29-F29)/F29,"")</f>
        <v/>
      </c>
      <c r="H29" s="39" t="str">
        <f>IF(AND(B29&gt;0,C29&gt;0),ABS(C29-B29)/B29,"")</f>
        <v/>
      </c>
      <c r="I29" s="40">
        <v>0.5</v>
      </c>
      <c r="J29" s="36"/>
      <c r="K29" s="36" t="s">
        <v>64</v>
      </c>
    </row>
    <row r="30" spans="1:11">
      <c r="A30" s="36" t="s">
        <v>70</v>
      </c>
      <c r="B30" s="37"/>
      <c r="C30" s="37">
        <v>5222.59</v>
      </c>
      <c r="D30" s="37">
        <v>4439</v>
      </c>
      <c r="E30" s="37">
        <v>6006</v>
      </c>
      <c r="F30" s="37">
        <v>5222.59</v>
      </c>
      <c r="G30" s="38" t="str">
        <f>IF(AND(B30&gt;0,F30&gt;0),(B30-F30)/F30,"")</f>
        <v/>
      </c>
      <c r="H30" s="39" t="str">
        <f>IF(AND(B30&gt;0,C30&gt;0),ABS(C30-B30)/B30,"")</f>
        <v/>
      </c>
      <c r="I30" s="40">
        <v>0.5</v>
      </c>
      <c r="J30" s="36"/>
      <c r="K30" s="36" t="s">
        <v>64</v>
      </c>
    </row>
    <row r="31" spans="1:11">
      <c r="A31" s="36" t="s">
        <v>71</v>
      </c>
      <c r="B31" s="37"/>
      <c r="C31" s="37">
        <v>5344.39</v>
      </c>
      <c r="D31" s="37">
        <v>4543</v>
      </c>
      <c r="E31" s="37">
        <v>6146</v>
      </c>
      <c r="F31" s="37">
        <v>5344.39</v>
      </c>
      <c r="G31" s="38" t="str">
        <f>IF(AND(B31&gt;0,F31&gt;0),(B31-F31)/F31,"")</f>
        <v/>
      </c>
      <c r="H31" s="39" t="str">
        <f>IF(AND(B31&gt;0,C31&gt;0),ABS(C31-B31)/B31,"")</f>
        <v/>
      </c>
      <c r="I31" s="40">
        <v>0.5</v>
      </c>
      <c r="J31" s="36"/>
      <c r="K31" s="36" t="s">
        <v>64</v>
      </c>
    </row>
    <row r="32" spans="1:11">
      <c r="A32" s="36" t="s">
        <v>72</v>
      </c>
      <c r="B32" s="37"/>
      <c r="C32" s="37">
        <v>3639.54</v>
      </c>
      <c r="D32" s="37">
        <v>3094</v>
      </c>
      <c r="E32" s="37">
        <v>4185</v>
      </c>
      <c r="F32" s="37">
        <v>3639.54</v>
      </c>
      <c r="G32" s="38" t="str">
        <f>IF(AND(B32&gt;0,F32&gt;0),(B32-F32)/F32,"")</f>
        <v/>
      </c>
      <c r="H32" s="39" t="str">
        <f>IF(AND(B32&gt;0,C32&gt;0),ABS(C32-B32)/B32,"")</f>
        <v/>
      </c>
      <c r="I32" s="40">
        <v>0.5</v>
      </c>
      <c r="J32" s="36"/>
      <c r="K32" s="36" t="s">
        <v>64</v>
      </c>
    </row>
    <row r="34" spans="1:14" ht="15.75">
      <c r="A34" s="35" t="s">
        <v>73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</row>
    <row r="35" spans="1:14">
      <c r="A35" s="65" t="s">
        <v>74</v>
      </c>
      <c r="B35" s="65" t="s">
        <v>75</v>
      </c>
      <c r="C35" s="65" t="s">
        <v>44</v>
      </c>
      <c r="D35" s="65" t="s">
        <v>76</v>
      </c>
      <c r="E35" s="65" t="s">
        <v>77</v>
      </c>
      <c r="F35" s="65" t="s">
        <v>45</v>
      </c>
      <c r="G35" s="65" t="s">
        <v>46</v>
      </c>
      <c r="H35" s="65" t="s">
        <v>47</v>
      </c>
      <c r="I35" s="65" t="s">
        <v>50</v>
      </c>
      <c r="J35" s="65" t="s">
        <v>49</v>
      </c>
      <c r="K35" s="65" t="s">
        <v>78</v>
      </c>
      <c r="L35" s="65" t="s">
        <v>18</v>
      </c>
      <c r="M35" s="65" t="s">
        <v>79</v>
      </c>
      <c r="N35" s="65" t="s">
        <v>80</v>
      </c>
    </row>
    <row r="36" spans="1:14">
      <c r="A36" s="41" t="s">
        <v>81</v>
      </c>
      <c r="B36" s="41">
        <v>1</v>
      </c>
      <c r="C36" s="42">
        <v>657</v>
      </c>
      <c r="D36" s="51">
        <v>30250</v>
      </c>
      <c r="E36" s="52">
        <v>46.04</v>
      </c>
      <c r="F36" s="42"/>
      <c r="G36" s="42"/>
      <c r="H36" s="42"/>
      <c r="I36" s="45"/>
      <c r="J36" s="44" t="str">
        <f>IF(AND(C36&gt;0,F36&gt;0),ABS(F36-C36)/C36,"")</f>
        <v/>
      </c>
      <c r="K36" s="41" t="str">
        <f>IF(AND(C36&gt;0,G36&gt;0),IF(AND(C36&gt;=G36,C36&lt;=H36),"✓","✗"),"")</f>
        <v/>
      </c>
      <c r="L36" s="41"/>
      <c r="M36" s="42">
        <v>259</v>
      </c>
      <c r="N36" s="42">
        <v>398</v>
      </c>
    </row>
    <row r="37" spans="1:14">
      <c r="A37" s="46" t="s">
        <v>82</v>
      </c>
      <c r="B37" s="46">
        <v>2</v>
      </c>
      <c r="C37" s="47">
        <v>1116</v>
      </c>
      <c r="D37" s="53">
        <v>47676</v>
      </c>
      <c r="E37" s="54">
        <v>42.72</v>
      </c>
      <c r="F37" s="47"/>
      <c r="G37" s="47"/>
      <c r="H37" s="47"/>
      <c r="I37" s="50"/>
      <c r="J37" s="49" t="str">
        <f>IF(AND(C37&gt;0,F37&gt;0),ABS(F37-C37)/C37,"")</f>
        <v/>
      </c>
      <c r="K37" s="46" t="str">
        <f>IF(AND(C37&gt;0,G37&gt;0),IF(AND(C37&gt;=G37,C37&lt;=H37),"✓","✗"),"")</f>
        <v/>
      </c>
      <c r="L37" s="48">
        <f>IF(AND(C37&gt;0,C36&gt;0),(C37-C36)/C36,"")</f>
        <v>0.69863013698630139</v>
      </c>
      <c r="M37" s="47">
        <v>500</v>
      </c>
      <c r="N37" s="47">
        <v>616</v>
      </c>
    </row>
    <row r="38" spans="1:14">
      <c r="A38" s="41" t="s">
        <v>83</v>
      </c>
      <c r="B38" s="41">
        <v>3</v>
      </c>
      <c r="C38" s="42">
        <v>1051</v>
      </c>
      <c r="D38" s="51">
        <v>70671</v>
      </c>
      <c r="E38" s="52">
        <v>67.239999999999995</v>
      </c>
      <c r="F38" s="42"/>
      <c r="G38" s="42"/>
      <c r="H38" s="42"/>
      <c r="I38" s="45"/>
      <c r="J38" s="44" t="str">
        <f>IF(AND(C38&gt;0,F38&gt;0),ABS(F38-C38)/C38,"")</f>
        <v/>
      </c>
      <c r="K38" s="41" t="str">
        <f>IF(AND(C38&gt;0,G38&gt;0),IF(AND(C38&gt;=G38,C38&lt;=H38),"✓","✗"),"")</f>
        <v/>
      </c>
      <c r="L38" s="43">
        <f>IF(AND(C38&gt;0,C37&gt;0),(C38-C37)/C37,"")</f>
        <v>-5.824372759856631E-2</v>
      </c>
      <c r="M38" s="42">
        <v>469</v>
      </c>
      <c r="N38" s="42">
        <v>582</v>
      </c>
    </row>
    <row r="39" spans="1:14">
      <c r="A39" s="46" t="s">
        <v>84</v>
      </c>
      <c r="B39" s="46">
        <v>4</v>
      </c>
      <c r="C39" s="47">
        <v>1075</v>
      </c>
      <c r="D39" s="53">
        <v>69957</v>
      </c>
      <c r="E39" s="54">
        <v>65.08</v>
      </c>
      <c r="F39" s="47"/>
      <c r="G39" s="47"/>
      <c r="H39" s="47"/>
      <c r="I39" s="50"/>
      <c r="J39" s="49" t="str">
        <f>IF(AND(C39&gt;0,F39&gt;0),ABS(F39-C39)/C39,"")</f>
        <v/>
      </c>
      <c r="K39" s="46" t="str">
        <f>IF(AND(C39&gt;0,G39&gt;0),IF(AND(C39&gt;=G39,C39&lt;=H39),"✓","✗"),"")</f>
        <v/>
      </c>
      <c r="L39" s="48">
        <f>IF(AND(C39&gt;0,C38&gt;0),(C39-C38)/C38,"")</f>
        <v>2.2835394862036156E-2</v>
      </c>
      <c r="M39" s="47">
        <v>485</v>
      </c>
      <c r="N39" s="47">
        <v>590</v>
      </c>
    </row>
    <row r="40" spans="1:14">
      <c r="A40" s="41" t="s">
        <v>85</v>
      </c>
      <c r="B40" s="41">
        <v>5</v>
      </c>
      <c r="C40" s="42">
        <v>1051</v>
      </c>
      <c r="D40" s="51">
        <v>64417</v>
      </c>
      <c r="E40" s="52">
        <v>61.29</v>
      </c>
      <c r="F40" s="42"/>
      <c r="G40" s="42"/>
      <c r="H40" s="42"/>
      <c r="I40" s="45"/>
      <c r="J40" s="44" t="str">
        <f>IF(AND(C40&gt;0,F40&gt;0),ABS(F40-C40)/C40,"")</f>
        <v/>
      </c>
      <c r="K40" s="41" t="str">
        <f>IF(AND(C40&gt;0,G40&gt;0),IF(AND(C40&gt;=G40,C40&lt;=H40),"✓","✗"),"")</f>
        <v/>
      </c>
      <c r="L40" s="43">
        <f>IF(AND(C40&gt;0,C39&gt;0),(C40-C39)/C39,"")</f>
        <v>-2.2325581395348838E-2</v>
      </c>
      <c r="M40" s="42">
        <v>460</v>
      </c>
      <c r="N40" s="42">
        <v>591</v>
      </c>
    </row>
    <row r="41" spans="1:14">
      <c r="A41" s="46" t="s">
        <v>86</v>
      </c>
      <c r="B41" s="46">
        <v>6</v>
      </c>
      <c r="C41" s="47">
        <v>1013</v>
      </c>
      <c r="D41" s="53">
        <v>57855</v>
      </c>
      <c r="E41" s="54">
        <v>57.11</v>
      </c>
      <c r="F41" s="47"/>
      <c r="G41" s="47"/>
      <c r="H41" s="47"/>
      <c r="I41" s="50"/>
      <c r="J41" s="49" t="str">
        <f>IF(AND(C41&gt;0,F41&gt;0),ABS(F41-C41)/C41,"")</f>
        <v/>
      </c>
      <c r="K41" s="46" t="str">
        <f>IF(AND(C41&gt;0,G41&gt;0),IF(AND(C41&gt;=G41,C41&lt;=H41),"✓","✗"),"")</f>
        <v/>
      </c>
      <c r="L41" s="48">
        <f>IF(AND(C41&gt;0,C40&gt;0),(C41-C40)/C40,"")</f>
        <v>-3.6156041864890583E-2</v>
      </c>
      <c r="M41" s="47">
        <v>415</v>
      </c>
      <c r="N41" s="47">
        <v>598</v>
      </c>
    </row>
    <row r="42" spans="1:14">
      <c r="A42" s="41" t="s">
        <v>87</v>
      </c>
      <c r="B42" s="41">
        <v>7</v>
      </c>
      <c r="C42" s="42">
        <v>1083</v>
      </c>
      <c r="D42" s="51">
        <v>62194</v>
      </c>
      <c r="E42" s="52">
        <v>57.43</v>
      </c>
      <c r="F42" s="42"/>
      <c r="G42" s="42"/>
      <c r="H42" s="42"/>
      <c r="I42" s="45"/>
      <c r="J42" s="44" t="str">
        <f>IF(AND(C42&gt;0,F42&gt;0),ABS(F42-C42)/C42,"")</f>
        <v/>
      </c>
      <c r="K42" s="41" t="str">
        <f>IF(AND(C42&gt;0,G42&gt;0),IF(AND(C42&gt;=G42,C42&lt;=H42),"✓","✗"),"")</f>
        <v/>
      </c>
      <c r="L42" s="43">
        <f>IF(AND(C42&gt;0,C41&gt;0),(C42-C41)/C41,"")</f>
        <v>6.9101678183613027E-2</v>
      </c>
      <c r="M42" s="42">
        <v>510</v>
      </c>
      <c r="N42" s="42">
        <v>573</v>
      </c>
    </row>
    <row r="43" spans="1:14">
      <c r="A43" s="46" t="s">
        <v>88</v>
      </c>
      <c r="B43" s="46">
        <v>8</v>
      </c>
      <c r="C43" s="47">
        <v>1121</v>
      </c>
      <c r="D43" s="53">
        <v>69766</v>
      </c>
      <c r="E43" s="54">
        <v>62.24</v>
      </c>
      <c r="F43" s="47"/>
      <c r="G43" s="47"/>
      <c r="H43" s="47"/>
      <c r="I43" s="50"/>
      <c r="J43" s="49" t="str">
        <f>IF(AND(C43&gt;0,F43&gt;0),ABS(F43-C43)/C43,"")</f>
        <v/>
      </c>
      <c r="K43" s="46" t="str">
        <f>IF(AND(C43&gt;0,G43&gt;0),IF(AND(C43&gt;=G43,C43&lt;=H43),"✓","✗"),"")</f>
        <v/>
      </c>
      <c r="L43" s="48">
        <f>IF(AND(C43&gt;0,C42&gt;0),(C43-C42)/C42,"")</f>
        <v>3.5087719298245612E-2</v>
      </c>
      <c r="M43" s="47">
        <v>439</v>
      </c>
      <c r="N43" s="47">
        <v>682</v>
      </c>
    </row>
    <row r="44" spans="1:14">
      <c r="A44" s="41" t="s">
        <v>89</v>
      </c>
      <c r="B44" s="41">
        <v>9</v>
      </c>
      <c r="C44" s="42">
        <v>1095</v>
      </c>
      <c r="D44" s="51">
        <v>77374</v>
      </c>
      <c r="E44" s="52">
        <v>70.66</v>
      </c>
      <c r="F44" s="42"/>
      <c r="G44" s="42"/>
      <c r="H44" s="42"/>
      <c r="I44" s="45"/>
      <c r="J44" s="44" t="str">
        <f>IF(AND(C44&gt;0,F44&gt;0),ABS(F44-C44)/C44,"")</f>
        <v/>
      </c>
      <c r="K44" s="41" t="str">
        <f>IF(AND(C44&gt;0,G44&gt;0),IF(AND(C44&gt;=G44,C44&lt;=H44),"✓","✗"),"")</f>
        <v/>
      </c>
      <c r="L44" s="43">
        <f>IF(AND(C44&gt;0,C43&gt;0),(C44-C43)/C43,"")</f>
        <v>-2.31935771632471E-2</v>
      </c>
      <c r="M44" s="42">
        <v>440</v>
      </c>
      <c r="N44" s="42">
        <v>655</v>
      </c>
    </row>
    <row r="45" spans="1:14">
      <c r="A45" s="46" t="s">
        <v>90</v>
      </c>
      <c r="B45" s="46">
        <v>10</v>
      </c>
      <c r="C45" s="47">
        <v>1075</v>
      </c>
      <c r="D45" s="53">
        <v>78871</v>
      </c>
      <c r="E45" s="54">
        <v>73.37</v>
      </c>
      <c r="F45" s="47"/>
      <c r="G45" s="47"/>
      <c r="H45" s="47"/>
      <c r="I45" s="50"/>
      <c r="J45" s="49" t="str">
        <f>IF(AND(C45&gt;0,F45&gt;0),ABS(F45-C45)/C45,"")</f>
        <v/>
      </c>
      <c r="K45" s="46" t="str">
        <f>IF(AND(C45&gt;0,G45&gt;0),IF(AND(C45&gt;=G45,C45&lt;=H45),"✓","✗"),"")</f>
        <v/>
      </c>
      <c r="L45" s="48">
        <f>IF(AND(C45&gt;0,C44&gt;0),(C45-C44)/C44,"")</f>
        <v>-1.8264840182648401E-2</v>
      </c>
      <c r="M45" s="47">
        <v>476</v>
      </c>
      <c r="N45" s="47">
        <v>599</v>
      </c>
    </row>
    <row r="46" spans="1:14">
      <c r="A46" s="41" t="s">
        <v>91</v>
      </c>
      <c r="B46" s="41">
        <v>11</v>
      </c>
      <c r="C46" s="42">
        <v>1195</v>
      </c>
      <c r="D46" s="51">
        <v>71668</v>
      </c>
      <c r="E46" s="52">
        <v>59.97</v>
      </c>
      <c r="F46" s="42"/>
      <c r="G46" s="42"/>
      <c r="H46" s="42"/>
      <c r="I46" s="45"/>
      <c r="J46" s="44" t="str">
        <f>IF(AND(C46&gt;0,F46&gt;0),ABS(F46-C46)/C46,"")</f>
        <v/>
      </c>
      <c r="K46" s="41" t="str">
        <f>IF(AND(C46&gt;0,G46&gt;0),IF(AND(C46&gt;=G46,C46&lt;=H46),"✓","✗"),"")</f>
        <v/>
      </c>
      <c r="L46" s="43">
        <f>IF(AND(C46&gt;0,C45&gt;0),(C46-C45)/C45,"")</f>
        <v>0.11162790697674418</v>
      </c>
      <c r="M46" s="42">
        <v>549</v>
      </c>
      <c r="N46" s="42">
        <v>646</v>
      </c>
    </row>
    <row r="47" spans="1:14">
      <c r="A47" s="46" t="s">
        <v>92</v>
      </c>
      <c r="B47" s="46">
        <v>12</v>
      </c>
      <c r="C47" s="47">
        <v>1140</v>
      </c>
      <c r="D47" s="53">
        <v>60811</v>
      </c>
      <c r="E47" s="54">
        <v>53.34</v>
      </c>
      <c r="F47" s="47"/>
      <c r="G47" s="47"/>
      <c r="H47" s="47"/>
      <c r="I47" s="50"/>
      <c r="J47" s="49" t="str">
        <f>IF(AND(C47&gt;0,F47&gt;0),ABS(F47-C47)/C47,"")</f>
        <v/>
      </c>
      <c r="K47" s="46" t="str">
        <f>IF(AND(C47&gt;0,G47&gt;0),IF(AND(C47&gt;=G47,C47&lt;=H47),"✓","✗"),"")</f>
        <v/>
      </c>
      <c r="L47" s="48">
        <f>IF(AND(C47&gt;0,C46&gt;0),(C47-C46)/C46,"")</f>
        <v>-4.6025104602510462E-2</v>
      </c>
      <c r="M47" s="47">
        <v>479</v>
      </c>
      <c r="N47" s="47">
        <v>661</v>
      </c>
    </row>
    <row r="48" spans="1:14">
      <c r="A48" s="41" t="s">
        <v>93</v>
      </c>
      <c r="B48" s="41">
        <v>13</v>
      </c>
      <c r="C48" s="42">
        <v>1170</v>
      </c>
      <c r="D48" s="51">
        <v>69335</v>
      </c>
      <c r="E48" s="52">
        <v>59.26</v>
      </c>
      <c r="F48" s="42"/>
      <c r="G48" s="42"/>
      <c r="H48" s="42"/>
      <c r="I48" s="45"/>
      <c r="J48" s="44" t="str">
        <f>IF(AND(C48&gt;0,F48&gt;0),ABS(F48-C48)/C48,"")</f>
        <v/>
      </c>
      <c r="K48" s="41" t="str">
        <f>IF(AND(C48&gt;0,G48&gt;0),IF(AND(C48&gt;=G48,C48&lt;=H48),"✓","✗"),"")</f>
        <v/>
      </c>
      <c r="L48" s="43">
        <f>IF(AND(C48&gt;0,C47&gt;0),(C48-C47)/C47,"")</f>
        <v>2.6315789473684209E-2</v>
      </c>
      <c r="M48" s="42">
        <v>474</v>
      </c>
      <c r="N48" s="42">
        <v>696</v>
      </c>
    </row>
    <row r="49" spans="1:14">
      <c r="A49" s="46" t="s">
        <v>94</v>
      </c>
      <c r="B49" s="46">
        <v>14</v>
      </c>
      <c r="C49" s="47">
        <v>1148</v>
      </c>
      <c r="D49" s="53">
        <v>66262</v>
      </c>
      <c r="E49" s="54">
        <v>57.72</v>
      </c>
      <c r="F49" s="47"/>
      <c r="G49" s="47"/>
      <c r="H49" s="47"/>
      <c r="I49" s="50"/>
      <c r="J49" s="49" t="str">
        <f>IF(AND(C49&gt;0,F49&gt;0),ABS(F49-C49)/C49,"")</f>
        <v/>
      </c>
      <c r="K49" s="46" t="str">
        <f>IF(AND(C49&gt;0,G49&gt;0),IF(AND(C49&gt;=G49,C49&lt;=H49),"✓","✗"),"")</f>
        <v/>
      </c>
      <c r="L49" s="48">
        <f>IF(AND(C49&gt;0,C48&gt;0),(C49-C48)/C48,"")</f>
        <v>-1.8803418803418803E-2</v>
      </c>
      <c r="M49" s="47">
        <v>465</v>
      </c>
      <c r="N49" s="47">
        <v>683</v>
      </c>
    </row>
    <row r="50" spans="1:14">
      <c r="A50" s="41" t="s">
        <v>95</v>
      </c>
      <c r="B50" s="41">
        <v>15</v>
      </c>
      <c r="C50" s="42">
        <v>886</v>
      </c>
      <c r="D50" s="51">
        <v>60766</v>
      </c>
      <c r="E50" s="52">
        <v>68.59</v>
      </c>
      <c r="F50" s="42"/>
      <c r="G50" s="42"/>
      <c r="H50" s="42"/>
      <c r="I50" s="45"/>
      <c r="J50" s="44" t="str">
        <f>IF(AND(C50&gt;0,F50&gt;0),ABS(F50-C50)/C50,"")</f>
        <v/>
      </c>
      <c r="K50" s="41" t="str">
        <f>IF(AND(C50&gt;0,G50&gt;0),IF(AND(C50&gt;=G50,C50&lt;=H50),"✓","✗"),"")</f>
        <v/>
      </c>
      <c r="L50" s="43">
        <f>IF(AND(C50&gt;0,C49&gt;0),(C50-C49)/C49,"")</f>
        <v>-0.22822299651567945</v>
      </c>
      <c r="M50" s="42">
        <v>359</v>
      </c>
      <c r="N50" s="42">
        <v>527</v>
      </c>
    </row>
    <row r="51" spans="1:14">
      <c r="A51" s="36" t="s">
        <v>96</v>
      </c>
      <c r="B51" s="36">
        <v>16</v>
      </c>
      <c r="C51" s="36"/>
      <c r="D51" s="36"/>
      <c r="E51" s="36"/>
      <c r="F51" s="37">
        <v>1029</v>
      </c>
      <c r="G51" s="37">
        <v>823</v>
      </c>
      <c r="H51" s="37">
        <v>1235</v>
      </c>
      <c r="I51" s="40">
        <v>0.4</v>
      </c>
      <c r="J51" s="39" t="str">
        <f>IF(AND(C51&gt;0,F51&gt;0),ABS(F51-C51)/C51,"")</f>
        <v/>
      </c>
      <c r="K51" s="36" t="str">
        <f>IF(AND(C51&gt;0,G51&gt;0),IF(AND(C51&gt;=G51,C51&lt;=H51),"✓","✗"),"")</f>
        <v/>
      </c>
      <c r="L51" s="38" t="str">
        <f>IF(AND(C51&gt;0,C50&gt;0),(C51-C50)/C50,"")</f>
        <v/>
      </c>
      <c r="M51" s="36"/>
      <c r="N51" s="36"/>
    </row>
    <row r="52" spans="1:14">
      <c r="A52" s="36" t="s">
        <v>97</v>
      </c>
      <c r="B52" s="36">
        <v>17</v>
      </c>
      <c r="C52" s="36"/>
      <c r="D52" s="36"/>
      <c r="E52" s="36"/>
      <c r="F52" s="37">
        <v>1029</v>
      </c>
      <c r="G52" s="37">
        <v>823</v>
      </c>
      <c r="H52" s="37">
        <v>1235</v>
      </c>
      <c r="I52" s="40">
        <v>0.4</v>
      </c>
      <c r="J52" s="39" t="str">
        <f>IF(AND(C52&gt;0,F52&gt;0),ABS(F52-C52)/C52,"")</f>
        <v/>
      </c>
      <c r="K52" s="36" t="str">
        <f>IF(AND(C52&gt;0,G52&gt;0),IF(AND(C52&gt;=G52,C52&lt;=H52),"✓","✗"),"")</f>
        <v/>
      </c>
      <c r="L52" s="38" t="str">
        <f>IF(AND(C52&gt;0,C51&gt;0),(C52-C51)/C51,"")</f>
        <v/>
      </c>
      <c r="M52" s="36"/>
      <c r="N52" s="36"/>
    </row>
    <row r="53" spans="1:14">
      <c r="A53" s="36" t="s">
        <v>98</v>
      </c>
      <c r="B53" s="36">
        <v>18</v>
      </c>
      <c r="C53" s="36"/>
      <c r="D53" s="36"/>
      <c r="E53" s="36"/>
      <c r="F53" s="37">
        <v>754</v>
      </c>
      <c r="G53" s="37">
        <v>603</v>
      </c>
      <c r="H53" s="37">
        <v>905</v>
      </c>
      <c r="I53" s="40">
        <v>0.4</v>
      </c>
      <c r="J53" s="39" t="str">
        <f>IF(AND(C53&gt;0,F53&gt;0),ABS(F53-C53)/C53,"")</f>
        <v/>
      </c>
      <c r="K53" s="36" t="str">
        <f>IF(AND(C53&gt;0,G53&gt;0),IF(AND(C53&gt;=G53,C53&lt;=H53),"✓","✗"),"")</f>
        <v/>
      </c>
      <c r="L53" s="38" t="str">
        <f>IF(AND(C53&gt;0,C52&gt;0),(C53-C52)/C52,"")</f>
        <v/>
      </c>
      <c r="M53" s="36"/>
      <c r="N53" s="36"/>
    </row>
    <row r="54" spans="1:14">
      <c r="A54" s="36" t="s">
        <v>99</v>
      </c>
      <c r="B54" s="36">
        <v>19</v>
      </c>
      <c r="C54" s="36"/>
      <c r="D54" s="36"/>
      <c r="E54" s="36"/>
      <c r="F54" s="37">
        <v>754</v>
      </c>
      <c r="G54" s="37">
        <v>603</v>
      </c>
      <c r="H54" s="37">
        <v>905</v>
      </c>
      <c r="I54" s="40">
        <v>0.4</v>
      </c>
      <c r="J54" s="39" t="str">
        <f>IF(AND(C54&gt;0,F54&gt;0),ABS(F54-C54)/C54,"")</f>
        <v/>
      </c>
      <c r="K54" s="36" t="str">
        <f>IF(AND(C54&gt;0,G54&gt;0),IF(AND(C54&gt;=G54,C54&lt;=H54),"✓","✗"),"")</f>
        <v/>
      </c>
      <c r="L54" s="38" t="str">
        <f>IF(AND(C54&gt;0,C53&gt;0),(C54-C53)/C53,"")</f>
        <v/>
      </c>
      <c r="M54" s="36"/>
      <c r="N54" s="36"/>
    </row>
    <row r="55" spans="1:14">
      <c r="A55" s="36" t="s">
        <v>100</v>
      </c>
      <c r="B55" s="36">
        <v>20</v>
      </c>
      <c r="C55" s="36"/>
      <c r="D55" s="36"/>
      <c r="E55" s="36"/>
      <c r="F55" s="37">
        <v>754</v>
      </c>
      <c r="G55" s="37">
        <v>603</v>
      </c>
      <c r="H55" s="37">
        <v>905</v>
      </c>
      <c r="I55" s="40">
        <v>0.4</v>
      </c>
      <c r="J55" s="39" t="str">
        <f>IF(AND(C55&gt;0,F55&gt;0),ABS(F55-C55)/C55,"")</f>
        <v/>
      </c>
      <c r="K55" s="36" t="str">
        <f>IF(AND(C55&gt;0,G55&gt;0),IF(AND(C55&gt;=G55,C55&lt;=H55),"✓","✗"),"")</f>
        <v/>
      </c>
      <c r="L55" s="38" t="str">
        <f>IF(AND(C55&gt;0,C54&gt;0),(C55-C54)/C54,"")</f>
        <v/>
      </c>
      <c r="M55" s="36"/>
      <c r="N55" s="36"/>
    </row>
    <row r="56" spans="1:14">
      <c r="A56" s="36" t="s">
        <v>101</v>
      </c>
      <c r="B56" s="36">
        <v>21</v>
      </c>
      <c r="C56" s="36"/>
      <c r="D56" s="36"/>
      <c r="E56" s="36"/>
      <c r="F56" s="37">
        <v>754</v>
      </c>
      <c r="G56" s="37">
        <v>603</v>
      </c>
      <c r="H56" s="37">
        <v>905</v>
      </c>
      <c r="I56" s="40">
        <v>0.4</v>
      </c>
      <c r="J56" s="39" t="str">
        <f>IF(AND(C56&gt;0,F56&gt;0),ABS(F56-C56)/C56,"")</f>
        <v/>
      </c>
      <c r="K56" s="36" t="str">
        <f>IF(AND(C56&gt;0,G56&gt;0),IF(AND(C56&gt;=G56,C56&lt;=H56),"✓","✗"),"")</f>
        <v/>
      </c>
      <c r="L56" s="38" t="str">
        <f>IF(AND(C56&gt;0,C55&gt;0),(C56-C55)/C55,"")</f>
        <v/>
      </c>
      <c r="M56" s="36"/>
      <c r="N56" s="36"/>
    </row>
    <row r="57" spans="1:14">
      <c r="A57" s="36" t="s">
        <v>102</v>
      </c>
      <c r="B57" s="36">
        <v>22</v>
      </c>
      <c r="C57" s="36"/>
      <c r="D57" s="36"/>
      <c r="E57" s="36"/>
      <c r="F57" s="37">
        <v>754</v>
      </c>
      <c r="G57" s="37">
        <v>603</v>
      </c>
      <c r="H57" s="37">
        <v>905</v>
      </c>
      <c r="I57" s="40">
        <v>0.4</v>
      </c>
      <c r="J57" s="39" t="str">
        <f>IF(AND(C57&gt;0,F57&gt;0),ABS(F57-C57)/C57,"")</f>
        <v/>
      </c>
      <c r="K57" s="36" t="str">
        <f>IF(AND(C57&gt;0,G57&gt;0),IF(AND(C57&gt;=G57,C57&lt;=H57),"✓","✗"),"")</f>
        <v/>
      </c>
      <c r="L57" s="38" t="str">
        <f>IF(AND(C57&gt;0,C56&gt;0),(C57-C56)/C56,"")</f>
        <v/>
      </c>
      <c r="M57" s="36"/>
      <c r="N57" s="36"/>
    </row>
    <row r="58" spans="1:14">
      <c r="A58" s="36" t="s">
        <v>103</v>
      </c>
      <c r="B58" s="36">
        <v>23</v>
      </c>
      <c r="C58" s="36"/>
      <c r="D58" s="36"/>
      <c r="E58" s="36"/>
      <c r="F58" s="37">
        <v>1034</v>
      </c>
      <c r="G58" s="37">
        <v>827</v>
      </c>
      <c r="H58" s="37">
        <v>1241</v>
      </c>
      <c r="I58" s="40">
        <v>0.4</v>
      </c>
      <c r="J58" s="39" t="str">
        <f>IF(AND(C58&gt;0,F58&gt;0),ABS(F58-C58)/C58,"")</f>
        <v/>
      </c>
      <c r="K58" s="36" t="str">
        <f>IF(AND(C58&gt;0,G58&gt;0),IF(AND(C58&gt;=G58,C58&lt;=H58),"✓","✗"),"")</f>
        <v/>
      </c>
      <c r="L58" s="38" t="str">
        <f>IF(AND(C58&gt;0,C57&gt;0),(C58-C57)/C57,"")</f>
        <v/>
      </c>
      <c r="M58" s="36"/>
      <c r="N58" s="36"/>
    </row>
    <row r="59" spans="1:14">
      <c r="A59" s="36" t="s">
        <v>104</v>
      </c>
      <c r="B59" s="36">
        <v>24</v>
      </c>
      <c r="C59" s="36"/>
      <c r="D59" s="36"/>
      <c r="E59" s="36"/>
      <c r="F59" s="37">
        <v>1034</v>
      </c>
      <c r="G59" s="37">
        <v>827</v>
      </c>
      <c r="H59" s="37">
        <v>1241</v>
      </c>
      <c r="I59" s="40">
        <v>0.4</v>
      </c>
      <c r="J59" s="39" t="str">
        <f>IF(AND(C59&gt;0,F59&gt;0),ABS(F59-C59)/C59,"")</f>
        <v/>
      </c>
      <c r="K59" s="36" t="str">
        <f>IF(AND(C59&gt;0,G59&gt;0),IF(AND(C59&gt;=G59,C59&lt;=H59),"✓","✗"),"")</f>
        <v/>
      </c>
      <c r="L59" s="38" t="str">
        <f>IF(AND(C59&gt;0,C58&gt;0),(C59-C58)/C58,"")</f>
        <v/>
      </c>
      <c r="M59" s="36"/>
      <c r="N59" s="36"/>
    </row>
    <row r="60" spans="1:14">
      <c r="A60" s="36" t="s">
        <v>105</v>
      </c>
      <c r="B60" s="36">
        <v>25</v>
      </c>
      <c r="C60" s="36"/>
      <c r="D60" s="36"/>
      <c r="E60" s="36"/>
      <c r="F60" s="37">
        <v>1034</v>
      </c>
      <c r="G60" s="37">
        <v>827</v>
      </c>
      <c r="H60" s="37">
        <v>1241</v>
      </c>
      <c r="I60" s="40">
        <v>0.4</v>
      </c>
      <c r="J60" s="39" t="str">
        <f>IF(AND(C60&gt;0,F60&gt;0),ABS(F60-C60)/C60,"")</f>
        <v/>
      </c>
      <c r="K60" s="36" t="str">
        <f>IF(AND(C60&gt;0,G60&gt;0),IF(AND(C60&gt;=G60,C60&lt;=H60),"✓","✗"),"")</f>
        <v/>
      </c>
      <c r="L60" s="38" t="str">
        <f>IF(AND(C60&gt;0,C59&gt;0),(C60-C59)/C59,"")</f>
        <v/>
      </c>
      <c r="M60" s="36"/>
      <c r="N60" s="36"/>
    </row>
    <row r="61" spans="1:14">
      <c r="A61" s="36" t="s">
        <v>106</v>
      </c>
      <c r="B61" s="36">
        <v>26</v>
      </c>
      <c r="C61" s="36"/>
      <c r="D61" s="36"/>
      <c r="E61" s="36"/>
      <c r="F61" s="37">
        <v>1034</v>
      </c>
      <c r="G61" s="37">
        <v>827</v>
      </c>
      <c r="H61" s="37">
        <v>1241</v>
      </c>
      <c r="I61" s="40">
        <v>0.4</v>
      </c>
      <c r="J61" s="39" t="str">
        <f>IF(AND(C61&gt;0,F61&gt;0),ABS(F61-C61)/C61,"")</f>
        <v/>
      </c>
      <c r="K61" s="36" t="str">
        <f>IF(AND(C61&gt;0,G61&gt;0),IF(AND(C61&gt;=G61,C61&lt;=H61),"✓","✗"),"")</f>
        <v/>
      </c>
      <c r="L61" s="38" t="str">
        <f>IF(AND(C61&gt;0,C60&gt;0),(C61-C60)/C60,"")</f>
        <v/>
      </c>
      <c r="M61" s="36"/>
      <c r="N61" s="36"/>
    </row>
    <row r="62" spans="1:14">
      <c r="A62" s="36" t="s">
        <v>107</v>
      </c>
      <c r="B62" s="36">
        <v>27</v>
      </c>
      <c r="C62" s="36"/>
      <c r="D62" s="36"/>
      <c r="E62" s="36"/>
      <c r="F62" s="37">
        <v>857</v>
      </c>
      <c r="G62" s="37">
        <v>686</v>
      </c>
      <c r="H62" s="37">
        <v>1028</v>
      </c>
      <c r="I62" s="40">
        <v>0.4</v>
      </c>
      <c r="J62" s="39" t="str">
        <f>IF(AND(C62&gt;0,F62&gt;0),ABS(F62-C62)/C62,"")</f>
        <v/>
      </c>
      <c r="K62" s="36" t="str">
        <f>IF(AND(C62&gt;0,G62&gt;0),IF(AND(C62&gt;=G62,C62&lt;=H62),"✓","✗"),"")</f>
        <v/>
      </c>
      <c r="L62" s="38" t="str">
        <f>IF(AND(C62&gt;0,C61&gt;0),(C62-C61)/C61,"")</f>
        <v/>
      </c>
      <c r="M62" s="36"/>
      <c r="N62" s="36"/>
    </row>
    <row r="63" spans="1:14">
      <c r="A63" s="36" t="s">
        <v>108</v>
      </c>
      <c r="B63" s="36">
        <v>28</v>
      </c>
      <c r="C63" s="36"/>
      <c r="D63" s="36"/>
      <c r="E63" s="36"/>
      <c r="F63" s="37">
        <v>857</v>
      </c>
      <c r="G63" s="37">
        <v>686</v>
      </c>
      <c r="H63" s="37">
        <v>1028</v>
      </c>
      <c r="I63" s="40">
        <v>0.4</v>
      </c>
      <c r="J63" s="39" t="str">
        <f>IF(AND(C63&gt;0,F63&gt;0),ABS(F63-C63)/C63,"")</f>
        <v/>
      </c>
      <c r="K63" s="36" t="str">
        <f>IF(AND(C63&gt;0,G63&gt;0),IF(AND(C63&gt;=G63,C63&lt;=H63),"✓","✗"),"")</f>
        <v/>
      </c>
      <c r="L63" s="38" t="str">
        <f>IF(AND(C63&gt;0,C62&gt;0),(C63-C62)/C62,"")</f>
        <v/>
      </c>
      <c r="M63" s="36"/>
      <c r="N63" s="36"/>
    </row>
    <row r="64" spans="1:14">
      <c r="A64" s="36" t="s">
        <v>109</v>
      </c>
      <c r="B64" s="36">
        <v>29</v>
      </c>
      <c r="C64" s="36"/>
      <c r="D64" s="36"/>
      <c r="E64" s="36"/>
      <c r="F64" s="37">
        <v>857</v>
      </c>
      <c r="G64" s="37">
        <v>686</v>
      </c>
      <c r="H64" s="37">
        <v>1028</v>
      </c>
      <c r="I64" s="40">
        <v>0.4</v>
      </c>
      <c r="J64" s="39" t="str">
        <f>IF(AND(C64&gt;0,F64&gt;0),ABS(F64-C64)/C64,"")</f>
        <v/>
      </c>
      <c r="K64" s="36" t="str">
        <f>IF(AND(C64&gt;0,G64&gt;0),IF(AND(C64&gt;=G64,C64&lt;=H64),"✓","✗"),"")</f>
        <v/>
      </c>
      <c r="L64" s="38" t="str">
        <f>IF(AND(C64&gt;0,C63&gt;0),(C64-C63)/C63,"")</f>
        <v/>
      </c>
      <c r="M64" s="36"/>
      <c r="N64" s="36"/>
    </row>
    <row r="65" spans="1:14">
      <c r="A65" s="36" t="s">
        <v>110</v>
      </c>
      <c r="B65" s="36">
        <v>30</v>
      </c>
      <c r="C65" s="36"/>
      <c r="D65" s="36"/>
      <c r="E65" s="36"/>
      <c r="F65" s="37">
        <v>857</v>
      </c>
      <c r="G65" s="37">
        <v>686</v>
      </c>
      <c r="H65" s="37">
        <v>1028</v>
      </c>
      <c r="I65" s="40">
        <v>0.4</v>
      </c>
      <c r="J65" s="39" t="str">
        <f>IF(AND(C65&gt;0,F65&gt;0),ABS(F65-C65)/C65,"")</f>
        <v/>
      </c>
      <c r="K65" s="36" t="str">
        <f>IF(AND(C65&gt;0,G65&gt;0),IF(AND(C65&gt;=G65,C65&lt;=H65),"✓","✗"),"")</f>
        <v/>
      </c>
      <c r="L65" s="38" t="str">
        <f>IF(AND(C65&gt;0,C64&gt;0),(C65-C64)/C64,"")</f>
        <v/>
      </c>
      <c r="M65" s="36"/>
      <c r="N65" s="36"/>
    </row>
    <row r="66" spans="1:14">
      <c r="A66" s="36" t="s">
        <v>111</v>
      </c>
      <c r="B66" s="36">
        <v>31</v>
      </c>
      <c r="C66" s="36"/>
      <c r="D66" s="36"/>
      <c r="E66" s="36"/>
      <c r="F66" s="37">
        <v>857</v>
      </c>
      <c r="G66" s="37">
        <v>686</v>
      </c>
      <c r="H66" s="37">
        <v>1028</v>
      </c>
      <c r="I66" s="40">
        <v>0.4</v>
      </c>
      <c r="J66" s="39" t="str">
        <f>IF(AND(C66&gt;0,F66&gt;0),ABS(F66-C66)/C66,"")</f>
        <v/>
      </c>
      <c r="K66" s="36" t="str">
        <f>IF(AND(C66&gt;0,G66&gt;0),IF(AND(C66&gt;=G66,C66&lt;=H66),"✓","✗"),"")</f>
        <v/>
      </c>
      <c r="L66" s="38" t="str">
        <f>IF(AND(C66&gt;0,C65&gt;0),(C66-C65)/C65,"")</f>
        <v/>
      </c>
      <c r="M66" s="36"/>
      <c r="N66" s="36"/>
    </row>
    <row r="67" spans="1:14">
      <c r="A67" s="36" t="s">
        <v>112</v>
      </c>
      <c r="B67" s="36">
        <v>32</v>
      </c>
      <c r="C67" s="36"/>
      <c r="D67" s="36"/>
      <c r="E67" s="36"/>
      <c r="F67" s="37">
        <v>917</v>
      </c>
      <c r="G67" s="37">
        <v>734</v>
      </c>
      <c r="H67" s="37">
        <v>1100</v>
      </c>
      <c r="I67" s="40">
        <v>0.4</v>
      </c>
      <c r="J67" s="39" t="str">
        <f>IF(AND(C67&gt;0,F67&gt;0),ABS(F67-C67)/C67,"")</f>
        <v/>
      </c>
      <c r="K67" s="36" t="str">
        <f>IF(AND(C67&gt;0,G67&gt;0),IF(AND(C67&gt;=G67,C67&lt;=H67),"✓","✗"),"")</f>
        <v/>
      </c>
      <c r="L67" s="38" t="str">
        <f>IF(AND(C67&gt;0,C66&gt;0),(C67-C66)/C66,"")</f>
        <v/>
      </c>
      <c r="M67" s="36"/>
      <c r="N67" s="36"/>
    </row>
    <row r="68" spans="1:14">
      <c r="A68" s="36" t="s">
        <v>113</v>
      </c>
      <c r="B68" s="36">
        <v>33</v>
      </c>
      <c r="C68" s="36"/>
      <c r="D68" s="36"/>
      <c r="E68" s="36"/>
      <c r="F68" s="37">
        <v>917</v>
      </c>
      <c r="G68" s="37">
        <v>734</v>
      </c>
      <c r="H68" s="37">
        <v>1100</v>
      </c>
      <c r="I68" s="40">
        <v>0.4</v>
      </c>
      <c r="J68" s="39" t="str">
        <f>IF(AND(C68&gt;0,F68&gt;0),ABS(F68-C68)/C68,"")</f>
        <v/>
      </c>
      <c r="K68" s="36" t="str">
        <f>IF(AND(C68&gt;0,G68&gt;0),IF(AND(C68&gt;=G68,C68&lt;=H68),"✓","✗"),"")</f>
        <v/>
      </c>
      <c r="L68" s="38" t="str">
        <f>IF(AND(C68&gt;0,C67&gt;0),(C68-C67)/C67,"")</f>
        <v/>
      </c>
      <c r="M68" s="36"/>
      <c r="N68" s="36"/>
    </row>
    <row r="69" spans="1:14">
      <c r="A69" s="36" t="s">
        <v>114</v>
      </c>
      <c r="B69" s="36">
        <v>34</v>
      </c>
      <c r="C69" s="36"/>
      <c r="D69" s="36"/>
      <c r="E69" s="36"/>
      <c r="F69" s="37">
        <v>917</v>
      </c>
      <c r="G69" s="37">
        <v>734</v>
      </c>
      <c r="H69" s="37">
        <v>1100</v>
      </c>
      <c r="I69" s="40">
        <v>0.4</v>
      </c>
      <c r="J69" s="39" t="str">
        <f>IF(AND(C69&gt;0,F69&gt;0),ABS(F69-C69)/C69,"")</f>
        <v/>
      </c>
      <c r="K69" s="36" t="str">
        <f>IF(AND(C69&gt;0,G69&gt;0),IF(AND(C69&gt;=G69,C69&lt;=H69),"✓","✗"),"")</f>
        <v/>
      </c>
      <c r="L69" s="38" t="str">
        <f>IF(AND(C69&gt;0,C68&gt;0),(C69-C68)/C68,"")</f>
        <v/>
      </c>
      <c r="M69" s="36"/>
      <c r="N69" s="36"/>
    </row>
    <row r="70" spans="1:14">
      <c r="A70" s="36" t="s">
        <v>115</v>
      </c>
      <c r="B70" s="36">
        <v>35</v>
      </c>
      <c r="C70" s="36"/>
      <c r="D70" s="36"/>
      <c r="E70" s="36"/>
      <c r="F70" s="37">
        <v>917</v>
      </c>
      <c r="G70" s="37">
        <v>734</v>
      </c>
      <c r="H70" s="37">
        <v>1100</v>
      </c>
      <c r="I70" s="40">
        <v>0.4</v>
      </c>
      <c r="J70" s="39" t="str">
        <f>IF(AND(C70&gt;0,F70&gt;0),ABS(F70-C70)/C70,"")</f>
        <v/>
      </c>
      <c r="K70" s="36" t="str">
        <f>IF(AND(C70&gt;0,G70&gt;0),IF(AND(C70&gt;=G70,C70&lt;=H70),"✓","✗"),"")</f>
        <v/>
      </c>
      <c r="L70" s="38" t="str">
        <f>IF(AND(C70&gt;0,C69&gt;0),(C70-C69)/C69,"")</f>
        <v/>
      </c>
      <c r="M70" s="36"/>
      <c r="N70" s="36"/>
    </row>
    <row r="71" spans="1:14">
      <c r="A71" s="36" t="s">
        <v>116</v>
      </c>
      <c r="B71" s="36">
        <v>36</v>
      </c>
      <c r="C71" s="36"/>
      <c r="D71" s="36"/>
      <c r="E71" s="36"/>
      <c r="F71" s="37">
        <v>1303</v>
      </c>
      <c r="G71" s="37">
        <v>1042</v>
      </c>
      <c r="H71" s="37">
        <v>1564</v>
      </c>
      <c r="I71" s="40">
        <v>0.4</v>
      </c>
      <c r="J71" s="39" t="str">
        <f>IF(AND(C71&gt;0,F71&gt;0),ABS(F71-C71)/C71,"")</f>
        <v/>
      </c>
      <c r="K71" s="36" t="str">
        <f>IF(AND(C71&gt;0,G71&gt;0),IF(AND(C71&gt;=G71,C71&lt;=H71),"✓","✗"),"")</f>
        <v/>
      </c>
      <c r="L71" s="38" t="str">
        <f>IF(AND(C71&gt;0,C70&gt;0),(C71-C70)/C70,"")</f>
        <v/>
      </c>
      <c r="M71" s="36"/>
      <c r="N71" s="36"/>
    </row>
    <row r="72" spans="1:14">
      <c r="A72" s="36" t="s">
        <v>117</v>
      </c>
      <c r="B72" s="36">
        <v>37</v>
      </c>
      <c r="C72" s="36"/>
      <c r="D72" s="36"/>
      <c r="E72" s="36"/>
      <c r="F72" s="37">
        <v>1303</v>
      </c>
      <c r="G72" s="37">
        <v>1042</v>
      </c>
      <c r="H72" s="37">
        <v>1564</v>
      </c>
      <c r="I72" s="40">
        <v>0.4</v>
      </c>
      <c r="J72" s="39" t="str">
        <f>IF(AND(C72&gt;0,F72&gt;0),ABS(F72-C72)/C72,"")</f>
        <v/>
      </c>
      <c r="K72" s="36" t="str">
        <f>IF(AND(C72&gt;0,G72&gt;0),IF(AND(C72&gt;=G72,C72&lt;=H72),"✓","✗"),"")</f>
        <v/>
      </c>
      <c r="L72" s="38" t="str">
        <f>IF(AND(C72&gt;0,C71&gt;0),(C72-C71)/C71,"")</f>
        <v/>
      </c>
      <c r="M72" s="36"/>
      <c r="N72" s="36"/>
    </row>
    <row r="73" spans="1:14">
      <c r="A73" s="36" t="s">
        <v>118</v>
      </c>
      <c r="B73" s="36">
        <v>38</v>
      </c>
      <c r="C73" s="36"/>
      <c r="D73" s="36"/>
      <c r="E73" s="36"/>
      <c r="F73" s="37">
        <v>1303</v>
      </c>
      <c r="G73" s="37">
        <v>1042</v>
      </c>
      <c r="H73" s="37">
        <v>1564</v>
      </c>
      <c r="I73" s="40">
        <v>0.4</v>
      </c>
      <c r="J73" s="39" t="str">
        <f>IF(AND(C73&gt;0,F73&gt;0),ABS(F73-C73)/C73,"")</f>
        <v/>
      </c>
      <c r="K73" s="36" t="str">
        <f>IF(AND(C73&gt;0,G73&gt;0),IF(AND(C73&gt;=G73,C73&lt;=H73),"✓","✗"),"")</f>
        <v/>
      </c>
      <c r="L73" s="38" t="str">
        <f>IF(AND(C73&gt;0,C72&gt;0),(C73-C72)/C72,"")</f>
        <v/>
      </c>
      <c r="M73" s="36"/>
      <c r="N73" s="36"/>
    </row>
    <row r="74" spans="1:14">
      <c r="A74" s="36" t="s">
        <v>119</v>
      </c>
      <c r="B74" s="36">
        <v>39</v>
      </c>
      <c r="C74" s="36"/>
      <c r="D74" s="36"/>
      <c r="E74" s="36"/>
      <c r="F74" s="37">
        <v>1303</v>
      </c>
      <c r="G74" s="37">
        <v>1042</v>
      </c>
      <c r="H74" s="37">
        <v>1564</v>
      </c>
      <c r="I74" s="40">
        <v>0.4</v>
      </c>
      <c r="J74" s="39" t="str">
        <f>IF(AND(C74&gt;0,F74&gt;0),ABS(F74-C74)/C74,"")</f>
        <v/>
      </c>
      <c r="K74" s="36" t="str">
        <f>IF(AND(C74&gt;0,G74&gt;0),IF(AND(C74&gt;=G74,C74&lt;=H74),"✓","✗"),"")</f>
        <v/>
      </c>
      <c r="L74" s="38" t="str">
        <f>IF(AND(C74&gt;0,C73&gt;0),(C74-C73)/C73,"")</f>
        <v/>
      </c>
      <c r="M74" s="36"/>
      <c r="N74" s="36"/>
    </row>
    <row r="75" spans="1:14">
      <c r="A75" s="36" t="s">
        <v>120</v>
      </c>
      <c r="B75" s="36">
        <v>40</v>
      </c>
      <c r="C75" s="36"/>
      <c r="D75" s="36"/>
      <c r="E75" s="36"/>
      <c r="F75" s="37">
        <v>1045</v>
      </c>
      <c r="G75" s="37">
        <v>836</v>
      </c>
      <c r="H75" s="37">
        <v>1254</v>
      </c>
      <c r="I75" s="40">
        <v>0.4</v>
      </c>
      <c r="J75" s="39" t="str">
        <f>IF(AND(C75&gt;0,F75&gt;0),ABS(F75-C75)/C75,"")</f>
        <v/>
      </c>
      <c r="K75" s="36" t="str">
        <f>IF(AND(C75&gt;0,G75&gt;0),IF(AND(C75&gt;=G75,C75&lt;=H75),"✓","✗"),"")</f>
        <v/>
      </c>
      <c r="L75" s="38" t="str">
        <f>IF(AND(C75&gt;0,C74&gt;0),(C75-C74)/C74,"")</f>
        <v/>
      </c>
      <c r="M75" s="36"/>
      <c r="N75" s="36"/>
    </row>
    <row r="76" spans="1:14">
      <c r="A76" s="36" t="s">
        <v>121</v>
      </c>
      <c r="B76" s="36">
        <v>41</v>
      </c>
      <c r="C76" s="36"/>
      <c r="D76" s="36"/>
      <c r="E76" s="36"/>
      <c r="F76" s="37">
        <v>1045</v>
      </c>
      <c r="G76" s="37">
        <v>836</v>
      </c>
      <c r="H76" s="37">
        <v>1254</v>
      </c>
      <c r="I76" s="40">
        <v>0.4</v>
      </c>
      <c r="J76" s="39" t="str">
        <f>IF(AND(C76&gt;0,F76&gt;0),ABS(F76-C76)/C76,"")</f>
        <v/>
      </c>
      <c r="K76" s="36" t="str">
        <f>IF(AND(C76&gt;0,G76&gt;0),IF(AND(C76&gt;=G76,C76&lt;=H76),"✓","✗"),"")</f>
        <v/>
      </c>
      <c r="L76" s="38" t="str">
        <f>IF(AND(C76&gt;0,C75&gt;0),(C76-C75)/C75,"")</f>
        <v/>
      </c>
      <c r="M76" s="36"/>
      <c r="N76" s="36"/>
    </row>
    <row r="77" spans="1:14">
      <c r="A77" s="36" t="s">
        <v>122</v>
      </c>
      <c r="B77" s="36">
        <v>42</v>
      </c>
      <c r="C77" s="36"/>
      <c r="D77" s="36"/>
      <c r="E77" s="36"/>
      <c r="F77" s="37">
        <v>1045</v>
      </c>
      <c r="G77" s="37">
        <v>836</v>
      </c>
      <c r="H77" s="37">
        <v>1254</v>
      </c>
      <c r="I77" s="40">
        <v>0.4</v>
      </c>
      <c r="J77" s="39" t="str">
        <f>IF(AND(C77&gt;0,F77&gt;0),ABS(F77-C77)/C77,"")</f>
        <v/>
      </c>
      <c r="K77" s="36" t="str">
        <f>IF(AND(C77&gt;0,G77&gt;0),IF(AND(C77&gt;=G77,C77&lt;=H77),"✓","✗"),"")</f>
        <v/>
      </c>
      <c r="L77" s="38" t="str">
        <f>IF(AND(C77&gt;0,C76&gt;0),(C77-C76)/C76,"")</f>
        <v/>
      </c>
      <c r="M77" s="36"/>
      <c r="N77" s="36"/>
    </row>
    <row r="78" spans="1:14">
      <c r="A78" s="36" t="s">
        <v>123</v>
      </c>
      <c r="B78" s="36">
        <v>43</v>
      </c>
      <c r="C78" s="36"/>
      <c r="D78" s="36"/>
      <c r="E78" s="36"/>
      <c r="F78" s="37">
        <v>1045</v>
      </c>
      <c r="G78" s="37">
        <v>836</v>
      </c>
      <c r="H78" s="37">
        <v>1254</v>
      </c>
      <c r="I78" s="40">
        <v>0.4</v>
      </c>
      <c r="J78" s="39" t="str">
        <f>IF(AND(C78&gt;0,F78&gt;0),ABS(F78-C78)/C78,"")</f>
        <v/>
      </c>
      <c r="K78" s="36" t="str">
        <f>IF(AND(C78&gt;0,G78&gt;0),IF(AND(C78&gt;=G78,C78&lt;=H78),"✓","✗"),"")</f>
        <v/>
      </c>
      <c r="L78" s="38" t="str">
        <f>IF(AND(C78&gt;0,C77&gt;0),(C78-C77)/C77,"")</f>
        <v/>
      </c>
      <c r="M78" s="36"/>
      <c r="N78" s="36"/>
    </row>
    <row r="79" spans="1:14">
      <c r="A79" s="36" t="s">
        <v>124</v>
      </c>
      <c r="B79" s="36">
        <v>44</v>
      </c>
      <c r="C79" s="36"/>
      <c r="D79" s="36"/>
      <c r="E79" s="36"/>
      <c r="F79" s="37">
        <v>1045</v>
      </c>
      <c r="G79" s="37">
        <v>836</v>
      </c>
      <c r="H79" s="37">
        <v>1254</v>
      </c>
      <c r="I79" s="40">
        <v>0.4</v>
      </c>
      <c r="J79" s="39" t="str">
        <f>IF(AND(C79&gt;0,F79&gt;0),ABS(F79-C79)/C79,"")</f>
        <v/>
      </c>
      <c r="K79" s="36" t="str">
        <f>IF(AND(C79&gt;0,G79&gt;0),IF(AND(C79&gt;=G79,C79&lt;=H79),"✓","✗"),"")</f>
        <v/>
      </c>
      <c r="L79" s="38" t="str">
        <f>IF(AND(C79&gt;0,C78&gt;0),(C79-C78)/C78,"")</f>
        <v/>
      </c>
      <c r="M79" s="36"/>
      <c r="N79" s="36"/>
    </row>
    <row r="80" spans="1:14">
      <c r="A80" s="36" t="s">
        <v>125</v>
      </c>
      <c r="B80" s="36">
        <v>45</v>
      </c>
      <c r="C80" s="36"/>
      <c r="D80" s="36"/>
      <c r="E80" s="36"/>
      <c r="F80" s="37">
        <v>1336</v>
      </c>
      <c r="G80" s="37">
        <v>1069</v>
      </c>
      <c r="H80" s="37">
        <v>1603</v>
      </c>
      <c r="I80" s="40">
        <v>0.4</v>
      </c>
      <c r="J80" s="39" t="str">
        <f>IF(AND(C80&gt;0,F80&gt;0),ABS(F80-C80)/C80,"")</f>
        <v/>
      </c>
      <c r="K80" s="36" t="str">
        <f>IF(AND(C80&gt;0,G80&gt;0),IF(AND(C80&gt;=G80,C80&lt;=H80),"✓","✗"),"")</f>
        <v/>
      </c>
      <c r="L80" s="38" t="str">
        <f>IF(AND(C80&gt;0,C79&gt;0),(C80-C79)/C79,"")</f>
        <v/>
      </c>
      <c r="M80" s="36"/>
      <c r="N80" s="36"/>
    </row>
    <row r="81" spans="1:14">
      <c r="A81" s="36" t="s">
        <v>126</v>
      </c>
      <c r="B81" s="36">
        <v>46</v>
      </c>
      <c r="C81" s="36"/>
      <c r="D81" s="36"/>
      <c r="E81" s="36"/>
      <c r="F81" s="37">
        <v>1336</v>
      </c>
      <c r="G81" s="37">
        <v>1069</v>
      </c>
      <c r="H81" s="37">
        <v>1603</v>
      </c>
      <c r="I81" s="40">
        <v>0.4</v>
      </c>
      <c r="J81" s="39" t="str">
        <f>IF(AND(C81&gt;0,F81&gt;0),ABS(F81-C81)/C81,"")</f>
        <v/>
      </c>
      <c r="K81" s="36" t="str">
        <f>IF(AND(C81&gt;0,G81&gt;0),IF(AND(C81&gt;=G81,C81&lt;=H81),"✓","✗"),"")</f>
        <v/>
      </c>
      <c r="L81" s="38" t="str">
        <f>IF(AND(C81&gt;0,C80&gt;0),(C81-C80)/C80,"")</f>
        <v/>
      </c>
      <c r="M81" s="36"/>
      <c r="N81" s="36"/>
    </row>
    <row r="82" spans="1:14">
      <c r="A82" s="36" t="s">
        <v>127</v>
      </c>
      <c r="B82" s="36">
        <v>47</v>
      </c>
      <c r="C82" s="36"/>
      <c r="D82" s="36"/>
      <c r="E82" s="36"/>
      <c r="F82" s="37">
        <v>1336</v>
      </c>
      <c r="G82" s="37">
        <v>1069</v>
      </c>
      <c r="H82" s="37">
        <v>1603</v>
      </c>
      <c r="I82" s="40">
        <v>0.4</v>
      </c>
      <c r="J82" s="39" t="str">
        <f>IF(AND(C82&gt;0,F82&gt;0),ABS(F82-C82)/C82,"")</f>
        <v/>
      </c>
      <c r="K82" s="36" t="str">
        <f>IF(AND(C82&gt;0,G82&gt;0),IF(AND(C82&gt;=G82,C82&lt;=H82),"✓","✗"),"")</f>
        <v/>
      </c>
      <c r="L82" s="38" t="str">
        <f>IF(AND(C82&gt;0,C81&gt;0),(C82-C81)/C81,"")</f>
        <v/>
      </c>
      <c r="M82" s="36"/>
      <c r="N82" s="36"/>
    </row>
    <row r="83" spans="1:14">
      <c r="A83" s="36" t="s">
        <v>128</v>
      </c>
      <c r="B83" s="36">
        <v>48</v>
      </c>
      <c r="C83" s="36"/>
      <c r="D83" s="36"/>
      <c r="E83" s="36"/>
      <c r="F83" s="37">
        <v>1336</v>
      </c>
      <c r="G83" s="37">
        <v>1069</v>
      </c>
      <c r="H83" s="37">
        <v>1603</v>
      </c>
      <c r="I83" s="40">
        <v>0.4</v>
      </c>
      <c r="J83" s="39" t="str">
        <f>IF(AND(C83&gt;0,F83&gt;0),ABS(F83-C83)/C83,"")</f>
        <v/>
      </c>
      <c r="K83" s="36" t="str">
        <f>IF(AND(C83&gt;0,G83&gt;0),IF(AND(C83&gt;=G83,C83&lt;=H83),"✓","✗"),"")</f>
        <v/>
      </c>
      <c r="L83" s="38" t="str">
        <f>IF(AND(C83&gt;0,C82&gt;0),(C83-C82)/C82,"")</f>
        <v/>
      </c>
      <c r="M83" s="36"/>
      <c r="N83" s="36"/>
    </row>
    <row r="84" spans="1:14">
      <c r="A84" s="36" t="s">
        <v>129</v>
      </c>
      <c r="B84" s="36">
        <v>49</v>
      </c>
      <c r="C84" s="36"/>
      <c r="D84" s="36"/>
      <c r="E84" s="36"/>
      <c r="F84" s="37">
        <v>910</v>
      </c>
      <c r="G84" s="37">
        <v>728</v>
      </c>
      <c r="H84" s="37">
        <v>1092</v>
      </c>
      <c r="I84" s="40">
        <v>0.4</v>
      </c>
      <c r="J84" s="39" t="str">
        <f>IF(AND(C84&gt;0,F84&gt;0),ABS(F84-C84)/C84,"")</f>
        <v/>
      </c>
      <c r="K84" s="36" t="str">
        <f>IF(AND(C84&gt;0,G84&gt;0),IF(AND(C84&gt;=G84,C84&lt;=H84),"✓","✗"),"")</f>
        <v/>
      </c>
      <c r="L84" s="38" t="str">
        <f>IF(AND(C84&gt;0,C83&gt;0),(C84-C83)/C83,"")</f>
        <v/>
      </c>
      <c r="M84" s="36"/>
      <c r="N84" s="36"/>
    </row>
    <row r="85" spans="1:14">
      <c r="A85" s="36" t="s">
        <v>130</v>
      </c>
      <c r="B85" s="36">
        <v>50</v>
      </c>
      <c r="C85" s="36"/>
      <c r="D85" s="36"/>
      <c r="E85" s="36"/>
      <c r="F85" s="37">
        <v>910</v>
      </c>
      <c r="G85" s="37">
        <v>728</v>
      </c>
      <c r="H85" s="37">
        <v>1092</v>
      </c>
      <c r="I85" s="40">
        <v>0.4</v>
      </c>
      <c r="J85" s="39" t="str">
        <f>IF(AND(C85&gt;0,F85&gt;0),ABS(F85-C85)/C85,"")</f>
        <v/>
      </c>
      <c r="K85" s="36" t="str">
        <f>IF(AND(C85&gt;0,G85&gt;0),IF(AND(C85&gt;=G85,C85&lt;=H85),"✓","✗"),"")</f>
        <v/>
      </c>
      <c r="L85" s="38" t="str">
        <f>IF(AND(C85&gt;0,C84&gt;0),(C85-C84)/C84,"")</f>
        <v/>
      </c>
      <c r="M85" s="36"/>
      <c r="N85" s="36"/>
    </row>
    <row r="86" spans="1:14">
      <c r="A86" s="36" t="s">
        <v>131</v>
      </c>
      <c r="B86" s="36">
        <v>51</v>
      </c>
      <c r="C86" s="36"/>
      <c r="D86" s="36"/>
      <c r="E86" s="36"/>
      <c r="F86" s="37">
        <v>910</v>
      </c>
      <c r="G86" s="37">
        <v>728</v>
      </c>
      <c r="H86" s="37">
        <v>1092</v>
      </c>
      <c r="I86" s="40">
        <v>0.4</v>
      </c>
      <c r="J86" s="39" t="str">
        <f>IF(AND(C86&gt;0,F86&gt;0),ABS(F86-C86)/C86,"")</f>
        <v/>
      </c>
      <c r="K86" s="36" t="str">
        <f>IF(AND(C86&gt;0,G86&gt;0),IF(AND(C86&gt;=G86,C86&lt;=H86),"✓","✗"),"")</f>
        <v/>
      </c>
      <c r="L86" s="38" t="str">
        <f>IF(AND(C86&gt;0,C85&gt;0),(C86-C85)/C85,"")</f>
        <v/>
      </c>
      <c r="M86" s="36"/>
      <c r="N86" s="36"/>
    </row>
    <row r="87" spans="1:14">
      <c r="A87" s="36" t="s">
        <v>132</v>
      </c>
      <c r="B87" s="36">
        <v>52</v>
      </c>
      <c r="C87" s="36"/>
      <c r="D87" s="36"/>
      <c r="E87" s="36"/>
      <c r="F87" s="37">
        <v>910</v>
      </c>
      <c r="G87" s="37">
        <v>728</v>
      </c>
      <c r="H87" s="37">
        <v>1092</v>
      </c>
      <c r="I87" s="40">
        <v>0.4</v>
      </c>
      <c r="J87" s="39" t="str">
        <f>IF(AND(C87&gt;0,F87&gt;0),ABS(F87-C87)/C87,"")</f>
        <v/>
      </c>
      <c r="K87" s="36" t="str">
        <f>IF(AND(C87&gt;0,G87&gt;0),IF(AND(C87&gt;=G87,C87&lt;=H87),"✓","✗"),"")</f>
        <v/>
      </c>
      <c r="L87" s="38" t="str">
        <f>IF(AND(C87&gt;0,C86&gt;0),(C87-C86)/C86,"")</f>
        <v/>
      </c>
      <c r="M87" s="36"/>
      <c r="N87" s="36"/>
    </row>
  </sheetData>
  <mergeCells count="15">
    <mergeCell ref="C3:D3"/>
    <mergeCell ref="A3:B3"/>
    <mergeCell ref="G3:H3"/>
    <mergeCell ref="E3:F3"/>
    <mergeCell ref="A1:N1"/>
    <mergeCell ref="A4:B4"/>
    <mergeCell ref="G4:H4"/>
    <mergeCell ref="E4:F4"/>
    <mergeCell ref="A12:K12"/>
    <mergeCell ref="A34:N34"/>
    <mergeCell ref="A5:B5"/>
    <mergeCell ref="C4:D4"/>
    <mergeCell ref="G5:H5"/>
    <mergeCell ref="A8:K8"/>
    <mergeCell ref="A19:K19"/>
  </mergeCells>
  <conditionalFormatting sqref="C36:C87">
    <cfRule type="dataBar" priority="1">
      <dataBar>
        <cfvo type="num" val="0"/>
        <cfvo type="max"/>
        <color rgb="FFE74C3C"/>
      </dataBar>
    </cfRule>
  </conditionalFormatting>
  <conditionalFormatting sqref="J36:J87">
    <cfRule type="colorScale" priority="2">
      <colorScale>
        <cfvo type="num" val="0"/>
        <cfvo type="num" val="0.1"/>
        <cfvo type="num" val="0.3"/>
        <color rgb="FF27AE60"/>
        <color rgb="FFFFFFFF"/>
        <color rgb="FFE74C3C"/>
      </colorScale>
    </cfRule>
  </conditionalFormatting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ABC9C"/>
  </sheetPr>
  <dimension ref="A1:N87"/>
  <sheetViews>
    <sheetView showGridLines="0" workbookViewId="0">
      <pane xSplit="2" ySplit="35" topLeftCell="C36" activePane="bottomRight" state="frozen"/>
      <selection pane="bottomRight" sqref="A1:XFD1048576"/>
      <selection pane="bottomLeft"/>
      <selection pane="topRight"/>
    </sheetView>
  </sheetViews>
  <sheetFormatPr defaultColWidth="12.5703125" defaultRowHeight="15"/>
  <cols>
    <col min="1" max="1" width="11.85546875" style="30" bestFit="1" customWidth="1"/>
    <col min="2" max="3" width="10.140625" style="30" bestFit="1" customWidth="1"/>
    <col min="4" max="4" width="9.85546875" style="30" bestFit="1" customWidth="1"/>
    <col min="5" max="5" width="9.5703125" style="30" bestFit="1" customWidth="1"/>
    <col min="6" max="6" width="9.7109375" style="30" bestFit="1" customWidth="1"/>
    <col min="7" max="7" width="8.140625" style="30" bestFit="1" customWidth="1"/>
    <col min="8" max="8" width="6.85546875" style="30" bestFit="1" customWidth="1"/>
    <col min="9" max="9" width="9.85546875" style="30" bestFit="1" customWidth="1"/>
    <col min="10" max="10" width="6.85546875" style="30" bestFit="1" customWidth="1"/>
    <col min="11" max="11" width="10.85546875" style="30" bestFit="1" customWidth="1"/>
    <col min="12" max="12" width="8.28515625" style="30" bestFit="1" customWidth="1"/>
    <col min="13" max="13" width="9.7109375" style="30" bestFit="1" customWidth="1"/>
    <col min="14" max="14" width="7.42578125" style="30" bestFit="1" customWidth="1"/>
    <col min="15" max="16384" width="12.5703125" style="30"/>
  </cols>
  <sheetData>
    <row r="1" spans="1:14" ht="21">
      <c r="A1" s="62" t="s">
        <v>148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3" spans="1:14">
      <c r="A3" s="31" t="s">
        <v>34</v>
      </c>
      <c r="B3" s="32"/>
      <c r="C3" s="31" t="s">
        <v>35</v>
      </c>
      <c r="D3" s="32"/>
      <c r="E3" s="31" t="s">
        <v>36</v>
      </c>
      <c r="F3" s="32"/>
      <c r="G3" s="31" t="s">
        <v>37</v>
      </c>
      <c r="H3" s="32"/>
    </row>
    <row r="4" spans="1:14" ht="26.25">
      <c r="A4" s="33" t="s">
        <v>149</v>
      </c>
      <c r="B4" s="32"/>
      <c r="C4" s="33" t="s">
        <v>150</v>
      </c>
      <c r="D4" s="32"/>
      <c r="E4" s="33" t="s">
        <v>151</v>
      </c>
      <c r="F4" s="32"/>
      <c r="G4" s="33" t="s">
        <v>152</v>
      </c>
      <c r="H4" s="32"/>
    </row>
    <row r="5" spans="1:14">
      <c r="A5" s="31" t="s">
        <v>10</v>
      </c>
      <c r="B5" s="32"/>
      <c r="C5" s="34"/>
      <c r="D5" s="34"/>
      <c r="E5" s="34"/>
      <c r="F5" s="34"/>
      <c r="G5" s="31" t="s">
        <v>23</v>
      </c>
      <c r="H5" s="32"/>
    </row>
    <row r="8" spans="1:14" ht="15.75">
      <c r="A8" s="35" t="s">
        <v>42</v>
      </c>
      <c r="B8" s="29"/>
      <c r="C8" s="29"/>
      <c r="D8" s="29"/>
      <c r="E8" s="29"/>
      <c r="F8" s="29"/>
      <c r="G8" s="29"/>
      <c r="H8" s="29"/>
      <c r="I8" s="29"/>
      <c r="J8" s="29"/>
      <c r="K8" s="29"/>
    </row>
    <row r="9" spans="1:14">
      <c r="A9" s="63" t="s">
        <v>43</v>
      </c>
      <c r="B9" s="63" t="s">
        <v>44</v>
      </c>
      <c r="C9" s="63" t="s">
        <v>45</v>
      </c>
      <c r="D9" s="63" t="s">
        <v>46</v>
      </c>
      <c r="E9" s="63" t="s">
        <v>47</v>
      </c>
      <c r="F9" s="63" t="s">
        <v>48</v>
      </c>
      <c r="G9" s="63" t="s">
        <v>20</v>
      </c>
      <c r="H9" s="63" t="s">
        <v>49</v>
      </c>
      <c r="I9" s="63" t="s">
        <v>50</v>
      </c>
      <c r="J9" s="63" t="s">
        <v>51</v>
      </c>
      <c r="K9" s="63" t="s">
        <v>52</v>
      </c>
    </row>
    <row r="10" spans="1:14">
      <c r="A10" s="36" t="s">
        <v>53</v>
      </c>
      <c r="B10" s="37"/>
      <c r="C10" s="37"/>
      <c r="D10" s="37"/>
      <c r="E10" s="37"/>
      <c r="F10" s="37">
        <v>64434.44</v>
      </c>
      <c r="G10" s="38" t="str">
        <f>IF(AND(B10&gt;0,F10&gt;0),(B10-F10)/F10,"")</f>
        <v/>
      </c>
      <c r="H10" s="39" t="str">
        <f>IF(AND(B10&gt;0,C10&gt;0),ABS(C10-B10)/B10,"")</f>
        <v/>
      </c>
      <c r="I10" s="40"/>
      <c r="J10" s="36"/>
      <c r="K10" s="36"/>
    </row>
    <row r="12" spans="1:14" ht="15.75">
      <c r="A12" s="35" t="s">
        <v>54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</row>
    <row r="13" spans="1:14">
      <c r="A13" s="63" t="s">
        <v>43</v>
      </c>
      <c r="B13" s="63" t="s">
        <v>44</v>
      </c>
      <c r="C13" s="63" t="s">
        <v>45</v>
      </c>
      <c r="D13" s="63" t="s">
        <v>46</v>
      </c>
      <c r="E13" s="63" t="s">
        <v>47</v>
      </c>
      <c r="F13" s="63" t="s">
        <v>48</v>
      </c>
      <c r="G13" s="63" t="s">
        <v>20</v>
      </c>
      <c r="H13" s="63" t="s">
        <v>49</v>
      </c>
      <c r="I13" s="63" t="s">
        <v>50</v>
      </c>
      <c r="J13" s="63" t="s">
        <v>51</v>
      </c>
      <c r="K13" s="63" t="s">
        <v>52</v>
      </c>
    </row>
    <row r="14" spans="1:14">
      <c r="A14" s="41" t="s">
        <v>55</v>
      </c>
      <c r="B14" s="42">
        <v>16492</v>
      </c>
      <c r="C14" s="42"/>
      <c r="D14" s="42"/>
      <c r="E14" s="42"/>
      <c r="F14" s="42">
        <v>16544.689999999999</v>
      </c>
      <c r="G14" s="43">
        <f>IF(AND(B14&gt;0,F14&gt;0),(B14-F14)/F14,"")</f>
        <v>-3.1847076010489586E-3</v>
      </c>
      <c r="H14" s="44" t="str">
        <f>IF(AND(B14&gt;0,C14&gt;0),ABS(C14-B14)/B14,"")</f>
        <v/>
      </c>
      <c r="I14" s="45"/>
      <c r="J14" s="41"/>
      <c r="K14" s="41"/>
    </row>
    <row r="15" spans="1:14">
      <c r="A15" s="36" t="s">
        <v>56</v>
      </c>
      <c r="B15" s="36"/>
      <c r="C15" s="37"/>
      <c r="D15" s="37"/>
      <c r="E15" s="37"/>
      <c r="F15" s="37">
        <v>15337.48</v>
      </c>
      <c r="G15" s="38" t="str">
        <f>IF(AND(B15&gt;0,F15&gt;0),(B15-F15)/F15,"")</f>
        <v/>
      </c>
      <c r="H15" s="39" t="str">
        <f>IF(AND(B15&gt;0,C15&gt;0),ABS(C15-B15)/B15,"")</f>
        <v/>
      </c>
      <c r="I15" s="40"/>
      <c r="J15" s="36"/>
      <c r="K15" s="36"/>
    </row>
    <row r="16" spans="1:14">
      <c r="A16" s="36" t="s">
        <v>57</v>
      </c>
      <c r="B16" s="36"/>
      <c r="C16" s="37"/>
      <c r="D16" s="37"/>
      <c r="E16" s="37"/>
      <c r="F16" s="37">
        <v>15004.41</v>
      </c>
      <c r="G16" s="38" t="str">
        <f>IF(AND(B16&gt;0,F16&gt;0),(B16-F16)/F16,"")</f>
        <v/>
      </c>
      <c r="H16" s="39" t="str">
        <f>IF(AND(B16&gt;0,C16&gt;0),ABS(C16-B16)/B16,"")</f>
        <v/>
      </c>
      <c r="I16" s="40"/>
      <c r="J16" s="36"/>
      <c r="K16" s="36"/>
    </row>
    <row r="17" spans="1:11">
      <c r="A17" s="36" t="s">
        <v>58</v>
      </c>
      <c r="B17" s="36"/>
      <c r="C17" s="37"/>
      <c r="D17" s="37"/>
      <c r="E17" s="37"/>
      <c r="F17" s="37">
        <v>17547.86</v>
      </c>
      <c r="G17" s="38" t="str">
        <f>IF(AND(B17&gt;0,F17&gt;0),(B17-F17)/F17,"")</f>
        <v/>
      </c>
      <c r="H17" s="39" t="str">
        <f>IF(AND(B17&gt;0,C17&gt;0),ABS(C17-B17)/B17,"")</f>
        <v/>
      </c>
      <c r="I17" s="40"/>
      <c r="J17" s="36"/>
      <c r="K17" s="36"/>
    </row>
    <row r="19" spans="1:11" ht="15.75">
      <c r="A19" s="35" t="s">
        <v>59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</row>
    <row r="20" spans="1:11">
      <c r="A20" s="63" t="s">
        <v>43</v>
      </c>
      <c r="B20" s="63" t="s">
        <v>44</v>
      </c>
      <c r="C20" s="63" t="s">
        <v>45</v>
      </c>
      <c r="D20" s="63" t="s">
        <v>46</v>
      </c>
      <c r="E20" s="63" t="s">
        <v>47</v>
      </c>
      <c r="F20" s="63" t="s">
        <v>48</v>
      </c>
      <c r="G20" s="63" t="s">
        <v>20</v>
      </c>
      <c r="H20" s="63" t="s">
        <v>49</v>
      </c>
      <c r="I20" s="63" t="s">
        <v>50</v>
      </c>
      <c r="J20" s="63" t="s">
        <v>51</v>
      </c>
      <c r="K20" s="63" t="s">
        <v>52</v>
      </c>
    </row>
    <row r="21" spans="1:11">
      <c r="A21" s="41" t="s">
        <v>60</v>
      </c>
      <c r="B21" s="42">
        <v>4714</v>
      </c>
      <c r="C21" s="42"/>
      <c r="D21" s="42"/>
      <c r="E21" s="42"/>
      <c r="F21" s="42">
        <v>5625.25</v>
      </c>
      <c r="G21" s="43">
        <f>IF(AND(B21&gt;0,F21&gt;0),(B21-F21)/F21,"")</f>
        <v>-0.16199280031998578</v>
      </c>
      <c r="H21" s="44" t="str">
        <f>IF(AND(B21&gt;0,C21&gt;0),ABS(C21-B21)/B21,"")</f>
        <v/>
      </c>
      <c r="I21" s="45"/>
      <c r="J21" s="41"/>
      <c r="K21" s="41"/>
    </row>
    <row r="22" spans="1:11">
      <c r="A22" s="46" t="s">
        <v>61</v>
      </c>
      <c r="B22" s="47">
        <v>5279</v>
      </c>
      <c r="C22" s="47"/>
      <c r="D22" s="47"/>
      <c r="E22" s="47"/>
      <c r="F22" s="47">
        <v>5355.99</v>
      </c>
      <c r="G22" s="48">
        <f>IF(AND(B22&gt;0,F22&gt;0),(B22-F22)/F22,"")</f>
        <v>-1.4374560071994121E-2</v>
      </c>
      <c r="H22" s="49" t="str">
        <f>IF(AND(B22&gt;0,C22&gt;0),ABS(C22-B22)/B22,"")</f>
        <v/>
      </c>
      <c r="I22" s="50"/>
      <c r="J22" s="46"/>
      <c r="K22" s="46"/>
    </row>
    <row r="23" spans="1:11">
      <c r="A23" s="41" t="s">
        <v>62</v>
      </c>
      <c r="B23" s="42">
        <v>6499</v>
      </c>
      <c r="C23" s="42"/>
      <c r="D23" s="42"/>
      <c r="E23" s="42"/>
      <c r="F23" s="42">
        <v>5563.45</v>
      </c>
      <c r="G23" s="43">
        <f>IF(AND(B23&gt;0,F23&gt;0),(B23-F23)/F23,"")</f>
        <v>0.16816004457665662</v>
      </c>
      <c r="H23" s="44" t="str">
        <f>IF(AND(B23&gt;0,C23&gt;0),ABS(C23-B23)/B23,"")</f>
        <v/>
      </c>
      <c r="I23" s="45"/>
      <c r="J23" s="41"/>
      <c r="K23" s="41"/>
    </row>
    <row r="24" spans="1:11">
      <c r="A24" s="36" t="s">
        <v>63</v>
      </c>
      <c r="B24" s="37"/>
      <c r="C24" s="37">
        <v>5041.84</v>
      </c>
      <c r="D24" s="37">
        <v>4286</v>
      </c>
      <c r="E24" s="37">
        <v>5798</v>
      </c>
      <c r="F24" s="37">
        <v>5041.84</v>
      </c>
      <c r="G24" s="38" t="str">
        <f>IF(AND(B24&gt;0,F24&gt;0),(B24-F24)/F24,"")</f>
        <v/>
      </c>
      <c r="H24" s="39" t="str">
        <f>IF(AND(B24&gt;0,C24&gt;0),ABS(C24-B24)/B24,"")</f>
        <v/>
      </c>
      <c r="I24" s="40">
        <v>0.5</v>
      </c>
      <c r="J24" s="36"/>
      <c r="K24" s="36" t="s">
        <v>64</v>
      </c>
    </row>
    <row r="25" spans="1:11">
      <c r="A25" s="36" t="s">
        <v>65</v>
      </c>
      <c r="B25" s="37"/>
      <c r="C25" s="37">
        <v>5352.72</v>
      </c>
      <c r="D25" s="37">
        <v>4550</v>
      </c>
      <c r="E25" s="37">
        <v>6156</v>
      </c>
      <c r="F25" s="37">
        <v>5352.72</v>
      </c>
      <c r="G25" s="38" t="str">
        <f>IF(AND(B25&gt;0,F25&gt;0),(B25-F25)/F25,"")</f>
        <v/>
      </c>
      <c r="H25" s="39" t="str">
        <f>IF(AND(B25&gt;0,C25&gt;0),ABS(C25-B25)/B25,"")</f>
        <v/>
      </c>
      <c r="I25" s="40">
        <v>0.5</v>
      </c>
      <c r="J25" s="36"/>
      <c r="K25" s="36" t="s">
        <v>64</v>
      </c>
    </row>
    <row r="26" spans="1:11">
      <c r="A26" s="36" t="s">
        <v>66</v>
      </c>
      <c r="B26" s="37"/>
      <c r="C26" s="37">
        <v>4942.92</v>
      </c>
      <c r="D26" s="37">
        <v>4201</v>
      </c>
      <c r="E26" s="37">
        <v>5684</v>
      </c>
      <c r="F26" s="37">
        <v>4942.92</v>
      </c>
      <c r="G26" s="38" t="str">
        <f>IF(AND(B26&gt;0,F26&gt;0),(B26-F26)/F26,"")</f>
        <v/>
      </c>
      <c r="H26" s="39" t="str">
        <f>IF(AND(B26&gt;0,C26&gt;0),ABS(C26-B26)/B26,"")</f>
        <v/>
      </c>
      <c r="I26" s="40">
        <v>0.5</v>
      </c>
      <c r="J26" s="36"/>
      <c r="K26" s="36" t="s">
        <v>64</v>
      </c>
    </row>
    <row r="27" spans="1:11">
      <c r="A27" s="36" t="s">
        <v>67</v>
      </c>
      <c r="B27" s="37"/>
      <c r="C27" s="37">
        <v>5285.77</v>
      </c>
      <c r="D27" s="37">
        <v>4493</v>
      </c>
      <c r="E27" s="37">
        <v>6079</v>
      </c>
      <c r="F27" s="37">
        <v>5285.77</v>
      </c>
      <c r="G27" s="38" t="str">
        <f>IF(AND(B27&gt;0,F27&gt;0),(B27-F27)/F27,"")</f>
        <v/>
      </c>
      <c r="H27" s="39" t="str">
        <f>IF(AND(B27&gt;0,C27&gt;0),ABS(C27-B27)/B27,"")</f>
        <v/>
      </c>
      <c r="I27" s="40">
        <v>0.5</v>
      </c>
      <c r="J27" s="36"/>
      <c r="K27" s="36" t="s">
        <v>64</v>
      </c>
    </row>
    <row r="28" spans="1:11">
      <c r="A28" s="36" t="s">
        <v>68</v>
      </c>
      <c r="B28" s="37"/>
      <c r="C28" s="37">
        <v>3838</v>
      </c>
      <c r="D28" s="37">
        <v>3262</v>
      </c>
      <c r="E28" s="37">
        <v>4414</v>
      </c>
      <c r="F28" s="37">
        <v>3838</v>
      </c>
      <c r="G28" s="38" t="str">
        <f>IF(AND(B28&gt;0,F28&gt;0),(B28-F28)/F28,"")</f>
        <v/>
      </c>
      <c r="H28" s="39" t="str">
        <f>IF(AND(B28&gt;0,C28&gt;0),ABS(C28-B28)/B28,"")</f>
        <v/>
      </c>
      <c r="I28" s="40">
        <v>0.5</v>
      </c>
      <c r="J28" s="36"/>
      <c r="K28" s="36" t="s">
        <v>64</v>
      </c>
    </row>
    <row r="29" spans="1:11">
      <c r="A29" s="36" t="s">
        <v>69</v>
      </c>
      <c r="B29" s="37"/>
      <c r="C29" s="37">
        <v>5880.64</v>
      </c>
      <c r="D29" s="37">
        <v>4999</v>
      </c>
      <c r="E29" s="37">
        <v>6763</v>
      </c>
      <c r="F29" s="37">
        <v>5880.64</v>
      </c>
      <c r="G29" s="38" t="str">
        <f>IF(AND(B29&gt;0,F29&gt;0),(B29-F29)/F29,"")</f>
        <v/>
      </c>
      <c r="H29" s="39" t="str">
        <f>IF(AND(B29&gt;0,C29&gt;0),ABS(C29-B29)/B29,"")</f>
        <v/>
      </c>
      <c r="I29" s="40">
        <v>0.5</v>
      </c>
      <c r="J29" s="36"/>
      <c r="K29" s="36" t="s">
        <v>64</v>
      </c>
    </row>
    <row r="30" spans="1:11">
      <c r="A30" s="36" t="s">
        <v>70</v>
      </c>
      <c r="B30" s="37"/>
      <c r="C30" s="37">
        <v>6410.28</v>
      </c>
      <c r="D30" s="37">
        <v>5449</v>
      </c>
      <c r="E30" s="37">
        <v>7372</v>
      </c>
      <c r="F30" s="37">
        <v>6410.28</v>
      </c>
      <c r="G30" s="38" t="str">
        <f>IF(AND(B30&gt;0,F30&gt;0),(B30-F30)/F30,"")</f>
        <v/>
      </c>
      <c r="H30" s="39" t="str">
        <f>IF(AND(B30&gt;0,C30&gt;0),ABS(C30-B30)/B30,"")</f>
        <v/>
      </c>
      <c r="I30" s="40">
        <v>0.5</v>
      </c>
      <c r="J30" s="36"/>
      <c r="K30" s="36" t="s">
        <v>64</v>
      </c>
    </row>
    <row r="31" spans="1:11">
      <c r="A31" s="36" t="s">
        <v>71</v>
      </c>
      <c r="B31" s="37"/>
      <c r="C31" s="37">
        <v>6449.8</v>
      </c>
      <c r="D31" s="37">
        <v>5482</v>
      </c>
      <c r="E31" s="37">
        <v>7417</v>
      </c>
      <c r="F31" s="37">
        <v>6449.8</v>
      </c>
      <c r="G31" s="38" t="str">
        <f>IF(AND(B31&gt;0,F31&gt;0),(B31-F31)/F31,"")</f>
        <v/>
      </c>
      <c r="H31" s="39" t="str">
        <f>IF(AND(B31&gt;0,C31&gt;0),ABS(C31-B31)/B31,"")</f>
        <v/>
      </c>
      <c r="I31" s="40">
        <v>0.5</v>
      </c>
      <c r="J31" s="36"/>
      <c r="K31" s="36" t="s">
        <v>64</v>
      </c>
    </row>
    <row r="32" spans="1:11">
      <c r="A32" s="36" t="s">
        <v>72</v>
      </c>
      <c r="B32" s="37"/>
      <c r="C32" s="37">
        <v>4687.78</v>
      </c>
      <c r="D32" s="37">
        <v>3985</v>
      </c>
      <c r="E32" s="37">
        <v>5391</v>
      </c>
      <c r="F32" s="37">
        <v>4687.78</v>
      </c>
      <c r="G32" s="38" t="str">
        <f>IF(AND(B32&gt;0,F32&gt;0),(B32-F32)/F32,"")</f>
        <v/>
      </c>
      <c r="H32" s="39" t="str">
        <f>IF(AND(B32&gt;0,C32&gt;0),ABS(C32-B32)/B32,"")</f>
        <v/>
      </c>
      <c r="I32" s="40">
        <v>0.5</v>
      </c>
      <c r="J32" s="36"/>
      <c r="K32" s="36" t="s">
        <v>64</v>
      </c>
    </row>
    <row r="34" spans="1:14" ht="15.75">
      <c r="A34" s="35" t="s">
        <v>73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</row>
    <row r="35" spans="1:14">
      <c r="A35" s="63" t="s">
        <v>74</v>
      </c>
      <c r="B35" s="63" t="s">
        <v>75</v>
      </c>
      <c r="C35" s="63" t="s">
        <v>44</v>
      </c>
      <c r="D35" s="63" t="s">
        <v>76</v>
      </c>
      <c r="E35" s="63" t="s">
        <v>77</v>
      </c>
      <c r="F35" s="63" t="s">
        <v>45</v>
      </c>
      <c r="G35" s="63" t="s">
        <v>46</v>
      </c>
      <c r="H35" s="63" t="s">
        <v>47</v>
      </c>
      <c r="I35" s="63" t="s">
        <v>50</v>
      </c>
      <c r="J35" s="63" t="s">
        <v>49</v>
      </c>
      <c r="K35" s="63" t="s">
        <v>78</v>
      </c>
      <c r="L35" s="63" t="s">
        <v>18</v>
      </c>
      <c r="M35" s="63" t="s">
        <v>79</v>
      </c>
      <c r="N35" s="63" t="s">
        <v>80</v>
      </c>
    </row>
    <row r="36" spans="1:14">
      <c r="A36" s="41" t="s">
        <v>81</v>
      </c>
      <c r="B36" s="41">
        <v>1</v>
      </c>
      <c r="C36" s="42">
        <v>722</v>
      </c>
      <c r="D36" s="51">
        <v>40763</v>
      </c>
      <c r="E36" s="52">
        <v>56.46</v>
      </c>
      <c r="F36" s="42"/>
      <c r="G36" s="42"/>
      <c r="H36" s="42"/>
      <c r="I36" s="45"/>
      <c r="J36" s="44" t="str">
        <f>IF(AND(C36&gt;0,F36&gt;0),ABS(F36-C36)/C36,"")</f>
        <v/>
      </c>
      <c r="K36" s="41" t="str">
        <f>IF(AND(C36&gt;0,G36&gt;0),IF(AND(C36&gt;=G36,C36&lt;=H36),"✓","✗"),"")</f>
        <v/>
      </c>
      <c r="L36" s="41"/>
      <c r="M36" s="42">
        <v>505</v>
      </c>
      <c r="N36" s="42">
        <v>217</v>
      </c>
    </row>
    <row r="37" spans="1:14">
      <c r="A37" s="46" t="s">
        <v>82</v>
      </c>
      <c r="B37" s="46">
        <v>2</v>
      </c>
      <c r="C37" s="47">
        <v>1301</v>
      </c>
      <c r="D37" s="53">
        <v>76620</v>
      </c>
      <c r="E37" s="54">
        <v>58.89</v>
      </c>
      <c r="F37" s="47"/>
      <c r="G37" s="47"/>
      <c r="H37" s="47"/>
      <c r="I37" s="50"/>
      <c r="J37" s="49" t="str">
        <f>IF(AND(C37&gt;0,F37&gt;0),ABS(F37-C37)/C37,"")</f>
        <v/>
      </c>
      <c r="K37" s="46" t="str">
        <f>IF(AND(C37&gt;0,G37&gt;0),IF(AND(C37&gt;=G37,C37&lt;=H37),"✓","✗"),"")</f>
        <v/>
      </c>
      <c r="L37" s="48">
        <f>IF(AND(C37&gt;0,C36&gt;0),(C37-C36)/C36,"")</f>
        <v>0.80193905817174516</v>
      </c>
      <c r="M37" s="47">
        <v>978</v>
      </c>
      <c r="N37" s="47">
        <v>323</v>
      </c>
    </row>
    <row r="38" spans="1:14">
      <c r="A38" s="41" t="s">
        <v>83</v>
      </c>
      <c r="B38" s="41">
        <v>3</v>
      </c>
      <c r="C38" s="42">
        <v>1372</v>
      </c>
      <c r="D38" s="51">
        <v>120319</v>
      </c>
      <c r="E38" s="52">
        <v>87.7</v>
      </c>
      <c r="F38" s="42"/>
      <c r="G38" s="42"/>
      <c r="H38" s="42"/>
      <c r="I38" s="45"/>
      <c r="J38" s="44" t="str">
        <f>IF(AND(C38&gt;0,F38&gt;0),ABS(F38-C38)/C38,"")</f>
        <v/>
      </c>
      <c r="K38" s="41" t="str">
        <f>IF(AND(C38&gt;0,G38&gt;0),IF(AND(C38&gt;=G38,C38&lt;=H38),"✓","✗"),"")</f>
        <v/>
      </c>
      <c r="L38" s="43">
        <f>IF(AND(C38&gt;0,C37&gt;0),(C38-C37)/C37,"")</f>
        <v>5.4573405073020755E-2</v>
      </c>
      <c r="M38" s="42">
        <v>1024</v>
      </c>
      <c r="N38" s="42">
        <v>348</v>
      </c>
    </row>
    <row r="39" spans="1:14">
      <c r="A39" s="46" t="s">
        <v>84</v>
      </c>
      <c r="B39" s="46">
        <v>4</v>
      </c>
      <c r="C39" s="47">
        <v>1319</v>
      </c>
      <c r="D39" s="53">
        <v>115803</v>
      </c>
      <c r="E39" s="54">
        <v>87.8</v>
      </c>
      <c r="F39" s="47"/>
      <c r="G39" s="47"/>
      <c r="H39" s="47"/>
      <c r="I39" s="50"/>
      <c r="J39" s="49" t="str">
        <f>IF(AND(C39&gt;0,F39&gt;0),ABS(F39-C39)/C39,"")</f>
        <v/>
      </c>
      <c r="K39" s="46" t="str">
        <f>IF(AND(C39&gt;0,G39&gt;0),IF(AND(C39&gt;=G39,C39&lt;=H39),"✓","✗"),"")</f>
        <v/>
      </c>
      <c r="L39" s="48">
        <f>IF(AND(C39&gt;0,C38&gt;0),(C39-C38)/C38,"")</f>
        <v>-3.8629737609329445E-2</v>
      </c>
      <c r="M39" s="47">
        <v>975</v>
      </c>
      <c r="N39" s="47">
        <v>344</v>
      </c>
    </row>
    <row r="40" spans="1:14">
      <c r="A40" s="41" t="s">
        <v>85</v>
      </c>
      <c r="B40" s="41">
        <v>5</v>
      </c>
      <c r="C40" s="42">
        <v>1365</v>
      </c>
      <c r="D40" s="51">
        <v>83525</v>
      </c>
      <c r="E40" s="52">
        <v>61.19</v>
      </c>
      <c r="F40" s="42"/>
      <c r="G40" s="42"/>
      <c r="H40" s="42"/>
      <c r="I40" s="45"/>
      <c r="J40" s="44" t="str">
        <f>IF(AND(C40&gt;0,F40&gt;0),ABS(F40-C40)/C40,"")</f>
        <v/>
      </c>
      <c r="K40" s="41" t="str">
        <f>IF(AND(C40&gt;0,G40&gt;0),IF(AND(C40&gt;=G40,C40&lt;=H40),"✓","✗"),"")</f>
        <v/>
      </c>
      <c r="L40" s="43">
        <f>IF(AND(C40&gt;0,C39&gt;0),(C40-C39)/C39,"")</f>
        <v>3.4874905231235785E-2</v>
      </c>
      <c r="M40" s="42">
        <v>1053</v>
      </c>
      <c r="N40" s="42">
        <v>312</v>
      </c>
    </row>
    <row r="41" spans="1:14">
      <c r="A41" s="46" t="s">
        <v>86</v>
      </c>
      <c r="B41" s="46">
        <v>6</v>
      </c>
      <c r="C41" s="47">
        <v>1340</v>
      </c>
      <c r="D41" s="53">
        <v>77304</v>
      </c>
      <c r="E41" s="54">
        <v>57.69</v>
      </c>
      <c r="F41" s="47"/>
      <c r="G41" s="47"/>
      <c r="H41" s="47"/>
      <c r="I41" s="50"/>
      <c r="J41" s="49" t="str">
        <f>IF(AND(C41&gt;0,F41&gt;0),ABS(F41-C41)/C41,"")</f>
        <v/>
      </c>
      <c r="K41" s="46" t="str">
        <f>IF(AND(C41&gt;0,G41&gt;0),IF(AND(C41&gt;=G41,C41&lt;=H41),"✓","✗"),"")</f>
        <v/>
      </c>
      <c r="L41" s="48">
        <f>IF(AND(C41&gt;0,C40&gt;0),(C41-C40)/C40,"")</f>
        <v>-1.8315018315018316E-2</v>
      </c>
      <c r="M41" s="47">
        <v>1047</v>
      </c>
      <c r="N41" s="47">
        <v>293</v>
      </c>
    </row>
    <row r="42" spans="1:14">
      <c r="A42" s="41" t="s">
        <v>87</v>
      </c>
      <c r="B42" s="41">
        <v>7</v>
      </c>
      <c r="C42" s="42">
        <v>1271</v>
      </c>
      <c r="D42" s="51">
        <v>95006</v>
      </c>
      <c r="E42" s="52">
        <v>74.75</v>
      </c>
      <c r="F42" s="42"/>
      <c r="G42" s="42"/>
      <c r="H42" s="42"/>
      <c r="I42" s="45"/>
      <c r="J42" s="44" t="str">
        <f>IF(AND(C42&gt;0,F42&gt;0),ABS(F42-C42)/C42,"")</f>
        <v/>
      </c>
      <c r="K42" s="41" t="str">
        <f>IF(AND(C42&gt;0,G42&gt;0),IF(AND(C42&gt;=G42,C42&lt;=H42),"✓","✗"),"")</f>
        <v/>
      </c>
      <c r="L42" s="43">
        <f>IF(AND(C42&gt;0,C41&gt;0),(C42-C41)/C41,"")</f>
        <v>-5.1492537313432833E-2</v>
      </c>
      <c r="M42" s="42">
        <v>903</v>
      </c>
      <c r="N42" s="42">
        <v>368</v>
      </c>
    </row>
    <row r="43" spans="1:14">
      <c r="A43" s="46" t="s">
        <v>88</v>
      </c>
      <c r="B43" s="46">
        <v>8</v>
      </c>
      <c r="C43" s="47">
        <v>1303</v>
      </c>
      <c r="D43" s="53">
        <v>102678</v>
      </c>
      <c r="E43" s="54">
        <v>78.8</v>
      </c>
      <c r="F43" s="47"/>
      <c r="G43" s="47"/>
      <c r="H43" s="47"/>
      <c r="I43" s="50"/>
      <c r="J43" s="49" t="str">
        <f>IF(AND(C43&gt;0,F43&gt;0),ABS(F43-C43)/C43,"")</f>
        <v/>
      </c>
      <c r="K43" s="46" t="str">
        <f>IF(AND(C43&gt;0,G43&gt;0),IF(AND(C43&gt;=G43,C43&lt;=H43),"✓","✗"),"")</f>
        <v/>
      </c>
      <c r="L43" s="48">
        <f>IF(AND(C43&gt;0,C42&gt;0),(C43-C42)/C42,"")</f>
        <v>2.5177025963808025E-2</v>
      </c>
      <c r="M43" s="47">
        <v>951</v>
      </c>
      <c r="N43" s="47">
        <v>352</v>
      </c>
    </row>
    <row r="44" spans="1:14">
      <c r="A44" s="41" t="s">
        <v>89</v>
      </c>
      <c r="B44" s="41">
        <v>9</v>
      </c>
      <c r="C44" s="42">
        <v>1327</v>
      </c>
      <c r="D44" s="51">
        <v>98316</v>
      </c>
      <c r="E44" s="52">
        <v>74.09</v>
      </c>
      <c r="F44" s="42"/>
      <c r="G44" s="42"/>
      <c r="H44" s="42"/>
      <c r="I44" s="45"/>
      <c r="J44" s="44" t="str">
        <f>IF(AND(C44&gt;0,F44&gt;0),ABS(F44-C44)/C44,"")</f>
        <v/>
      </c>
      <c r="K44" s="41" t="str">
        <f>IF(AND(C44&gt;0,G44&gt;0),IF(AND(C44&gt;=G44,C44&lt;=H44),"✓","✗"),"")</f>
        <v/>
      </c>
      <c r="L44" s="43">
        <f>IF(AND(C44&gt;0,C43&gt;0),(C44-C43)/C43,"")</f>
        <v>1.841903300076746E-2</v>
      </c>
      <c r="M44" s="42">
        <v>951</v>
      </c>
      <c r="N44" s="42">
        <v>376</v>
      </c>
    </row>
    <row r="45" spans="1:14">
      <c r="A45" s="46" t="s">
        <v>90</v>
      </c>
      <c r="B45" s="46">
        <v>10</v>
      </c>
      <c r="C45" s="47">
        <v>1150</v>
      </c>
      <c r="D45" s="53">
        <v>98845</v>
      </c>
      <c r="E45" s="54">
        <v>85.95</v>
      </c>
      <c r="F45" s="47"/>
      <c r="G45" s="47"/>
      <c r="H45" s="47"/>
      <c r="I45" s="50"/>
      <c r="J45" s="49" t="str">
        <f>IF(AND(C45&gt;0,F45&gt;0),ABS(F45-C45)/C45,"")</f>
        <v/>
      </c>
      <c r="K45" s="46" t="str">
        <f>IF(AND(C45&gt;0,G45&gt;0),IF(AND(C45&gt;=G45,C45&lt;=H45),"✓","✗"),"")</f>
        <v/>
      </c>
      <c r="L45" s="48">
        <f>IF(AND(C45&gt;0,C44&gt;0),(C45-C44)/C44,"")</f>
        <v>-0.1333835719668425</v>
      </c>
      <c r="M45" s="47">
        <v>802</v>
      </c>
      <c r="N45" s="47">
        <v>348</v>
      </c>
    </row>
    <row r="46" spans="1:14">
      <c r="A46" s="41" t="s">
        <v>91</v>
      </c>
      <c r="B46" s="41">
        <v>11</v>
      </c>
      <c r="C46" s="42">
        <v>1439</v>
      </c>
      <c r="D46" s="51">
        <v>93470</v>
      </c>
      <c r="E46" s="52">
        <v>64.95</v>
      </c>
      <c r="F46" s="42"/>
      <c r="G46" s="42"/>
      <c r="H46" s="42"/>
      <c r="I46" s="45"/>
      <c r="J46" s="44" t="str">
        <f>IF(AND(C46&gt;0,F46&gt;0),ABS(F46-C46)/C46,"")</f>
        <v/>
      </c>
      <c r="K46" s="41" t="str">
        <f>IF(AND(C46&gt;0,G46&gt;0),IF(AND(C46&gt;=G46,C46&lt;=H46),"✓","✗"),"")</f>
        <v/>
      </c>
      <c r="L46" s="43">
        <f>IF(AND(C46&gt;0,C45&gt;0),(C46-C45)/C45,"")</f>
        <v>0.25130434782608696</v>
      </c>
      <c r="M46" s="42">
        <v>1024</v>
      </c>
      <c r="N46" s="42">
        <v>415</v>
      </c>
    </row>
    <row r="47" spans="1:14">
      <c r="A47" s="46" t="s">
        <v>92</v>
      </c>
      <c r="B47" s="46">
        <v>12</v>
      </c>
      <c r="C47" s="47">
        <v>1244</v>
      </c>
      <c r="D47" s="53">
        <v>77673</v>
      </c>
      <c r="E47" s="54">
        <v>62.44</v>
      </c>
      <c r="F47" s="47"/>
      <c r="G47" s="47"/>
      <c r="H47" s="47"/>
      <c r="I47" s="50"/>
      <c r="J47" s="49" t="str">
        <f>IF(AND(C47&gt;0,F47&gt;0),ABS(F47-C47)/C47,"")</f>
        <v/>
      </c>
      <c r="K47" s="46" t="str">
        <f>IF(AND(C47&gt;0,G47&gt;0),IF(AND(C47&gt;=G47,C47&lt;=H47),"✓","✗"),"")</f>
        <v/>
      </c>
      <c r="L47" s="48">
        <f>IF(AND(C47&gt;0,C46&gt;0),(C47-C46)/C46,"")</f>
        <v>-0.13551077136900624</v>
      </c>
      <c r="M47" s="47">
        <v>899</v>
      </c>
      <c r="N47" s="47">
        <v>345</v>
      </c>
    </row>
    <row r="48" spans="1:14">
      <c r="A48" s="41" t="s">
        <v>93</v>
      </c>
      <c r="B48" s="41">
        <v>13</v>
      </c>
      <c r="C48" s="42">
        <v>1339</v>
      </c>
      <c r="D48" s="51">
        <v>97115</v>
      </c>
      <c r="E48" s="52">
        <v>72.53</v>
      </c>
      <c r="F48" s="42"/>
      <c r="G48" s="42"/>
      <c r="H48" s="42"/>
      <c r="I48" s="45"/>
      <c r="J48" s="44" t="str">
        <f>IF(AND(C48&gt;0,F48&gt;0),ABS(F48-C48)/C48,"")</f>
        <v/>
      </c>
      <c r="K48" s="41" t="str">
        <f>IF(AND(C48&gt;0,G48&gt;0),IF(AND(C48&gt;=G48,C48&lt;=H48),"✓","✗"),"")</f>
        <v/>
      </c>
      <c r="L48" s="43">
        <f>IF(AND(C48&gt;0,C47&gt;0),(C48-C47)/C47,"")</f>
        <v>7.6366559485530547E-2</v>
      </c>
      <c r="M48" s="42">
        <v>920</v>
      </c>
      <c r="N48" s="42">
        <v>419</v>
      </c>
    </row>
    <row r="49" spans="1:14">
      <c r="A49" s="46" t="s">
        <v>94</v>
      </c>
      <c r="B49" s="46">
        <v>14</v>
      </c>
      <c r="C49" s="47">
        <v>1320</v>
      </c>
      <c r="D49" s="53">
        <v>95028</v>
      </c>
      <c r="E49" s="54">
        <v>71.989999999999995</v>
      </c>
      <c r="F49" s="47"/>
      <c r="G49" s="47"/>
      <c r="H49" s="47"/>
      <c r="I49" s="50"/>
      <c r="J49" s="49" t="str">
        <f>IF(AND(C49&gt;0,F49&gt;0),ABS(F49-C49)/C49,"")</f>
        <v/>
      </c>
      <c r="K49" s="46" t="str">
        <f>IF(AND(C49&gt;0,G49&gt;0),IF(AND(C49&gt;=G49,C49&lt;=H49),"✓","✗"),"")</f>
        <v/>
      </c>
      <c r="L49" s="48">
        <f>IF(AND(C49&gt;0,C48&gt;0),(C49-C48)/C48,"")</f>
        <v>-1.4189693801344288E-2</v>
      </c>
      <c r="M49" s="47">
        <v>868</v>
      </c>
      <c r="N49" s="47">
        <v>452</v>
      </c>
    </row>
    <row r="50" spans="1:14">
      <c r="A50" s="41" t="s">
        <v>95</v>
      </c>
      <c r="B50" s="41">
        <v>15</v>
      </c>
      <c r="C50" s="42">
        <v>990</v>
      </c>
      <c r="D50" s="51">
        <v>99666</v>
      </c>
      <c r="E50" s="52">
        <v>100.67</v>
      </c>
      <c r="F50" s="42"/>
      <c r="G50" s="42"/>
      <c r="H50" s="42"/>
      <c r="I50" s="45"/>
      <c r="J50" s="44" t="str">
        <f>IF(AND(C50&gt;0,F50&gt;0),ABS(F50-C50)/C50,"")</f>
        <v/>
      </c>
      <c r="K50" s="41" t="str">
        <f>IF(AND(C50&gt;0,G50&gt;0),IF(AND(C50&gt;=G50,C50&lt;=H50),"✓","✗"),"")</f>
        <v/>
      </c>
      <c r="L50" s="43">
        <f>IF(AND(C50&gt;0,C49&gt;0),(C50-C49)/C49,"")</f>
        <v>-0.25</v>
      </c>
      <c r="M50" s="42">
        <v>675</v>
      </c>
      <c r="N50" s="42">
        <v>315</v>
      </c>
    </row>
    <row r="51" spans="1:14">
      <c r="A51" s="36" t="s">
        <v>96</v>
      </c>
      <c r="B51" s="36">
        <v>16</v>
      </c>
      <c r="C51" s="36"/>
      <c r="D51" s="36"/>
      <c r="E51" s="36"/>
      <c r="F51" s="37">
        <v>1260</v>
      </c>
      <c r="G51" s="37">
        <v>1008</v>
      </c>
      <c r="H51" s="37">
        <v>1512</v>
      </c>
      <c r="I51" s="40">
        <v>0.4</v>
      </c>
      <c r="J51" s="39" t="str">
        <f>IF(AND(C51&gt;0,F51&gt;0),ABS(F51-C51)/C51,"")</f>
        <v/>
      </c>
      <c r="K51" s="36" t="str">
        <f>IF(AND(C51&gt;0,G51&gt;0),IF(AND(C51&gt;=G51,C51&lt;=H51),"✓","✗"),"")</f>
        <v/>
      </c>
      <c r="L51" s="38" t="str">
        <f>IF(AND(C51&gt;0,C50&gt;0),(C51-C50)/C50,"")</f>
        <v/>
      </c>
      <c r="M51" s="36"/>
      <c r="N51" s="36"/>
    </row>
    <row r="52" spans="1:14">
      <c r="A52" s="36" t="s">
        <v>97</v>
      </c>
      <c r="B52" s="36">
        <v>17</v>
      </c>
      <c r="C52" s="36"/>
      <c r="D52" s="36"/>
      <c r="E52" s="36"/>
      <c r="F52" s="37">
        <v>1260</v>
      </c>
      <c r="G52" s="37">
        <v>1008</v>
      </c>
      <c r="H52" s="37">
        <v>1512</v>
      </c>
      <c r="I52" s="40">
        <v>0.4</v>
      </c>
      <c r="J52" s="39" t="str">
        <f>IF(AND(C52&gt;0,F52&gt;0),ABS(F52-C52)/C52,"")</f>
        <v/>
      </c>
      <c r="K52" s="36" t="str">
        <f>IF(AND(C52&gt;0,G52&gt;0),IF(AND(C52&gt;=G52,C52&lt;=H52),"✓","✗"),"")</f>
        <v/>
      </c>
      <c r="L52" s="38" t="str">
        <f>IF(AND(C52&gt;0,C51&gt;0),(C52-C51)/C51,"")</f>
        <v/>
      </c>
      <c r="M52" s="36"/>
      <c r="N52" s="36"/>
    </row>
    <row r="53" spans="1:14">
      <c r="A53" s="36" t="s">
        <v>98</v>
      </c>
      <c r="B53" s="36">
        <v>18</v>
      </c>
      <c r="C53" s="36"/>
      <c r="D53" s="36"/>
      <c r="E53" s="36"/>
      <c r="F53" s="37">
        <v>1071</v>
      </c>
      <c r="G53" s="37">
        <v>857</v>
      </c>
      <c r="H53" s="37">
        <v>1285</v>
      </c>
      <c r="I53" s="40">
        <v>0.4</v>
      </c>
      <c r="J53" s="39" t="str">
        <f>IF(AND(C53&gt;0,F53&gt;0),ABS(F53-C53)/C53,"")</f>
        <v/>
      </c>
      <c r="K53" s="36" t="str">
        <f>IF(AND(C53&gt;0,G53&gt;0),IF(AND(C53&gt;=G53,C53&lt;=H53),"✓","✗"),"")</f>
        <v/>
      </c>
      <c r="L53" s="38" t="str">
        <f>IF(AND(C53&gt;0,C52&gt;0),(C53-C52)/C52,"")</f>
        <v/>
      </c>
      <c r="M53" s="36"/>
      <c r="N53" s="36"/>
    </row>
    <row r="54" spans="1:14">
      <c r="A54" s="36" t="s">
        <v>99</v>
      </c>
      <c r="B54" s="36">
        <v>19</v>
      </c>
      <c r="C54" s="36"/>
      <c r="D54" s="36"/>
      <c r="E54" s="36"/>
      <c r="F54" s="37">
        <v>1071</v>
      </c>
      <c r="G54" s="37">
        <v>857</v>
      </c>
      <c r="H54" s="37">
        <v>1285</v>
      </c>
      <c r="I54" s="40">
        <v>0.4</v>
      </c>
      <c r="J54" s="39" t="str">
        <f>IF(AND(C54&gt;0,F54&gt;0),ABS(F54-C54)/C54,"")</f>
        <v/>
      </c>
      <c r="K54" s="36" t="str">
        <f>IF(AND(C54&gt;0,G54&gt;0),IF(AND(C54&gt;=G54,C54&lt;=H54),"✓","✗"),"")</f>
        <v/>
      </c>
      <c r="L54" s="38" t="str">
        <f>IF(AND(C54&gt;0,C53&gt;0),(C54-C53)/C53,"")</f>
        <v/>
      </c>
      <c r="M54" s="36"/>
      <c r="N54" s="36"/>
    </row>
    <row r="55" spans="1:14">
      <c r="A55" s="36" t="s">
        <v>100</v>
      </c>
      <c r="B55" s="36">
        <v>20</v>
      </c>
      <c r="C55" s="36"/>
      <c r="D55" s="36"/>
      <c r="E55" s="36"/>
      <c r="F55" s="37">
        <v>1071</v>
      </c>
      <c r="G55" s="37">
        <v>857</v>
      </c>
      <c r="H55" s="37">
        <v>1285</v>
      </c>
      <c r="I55" s="40">
        <v>0.4</v>
      </c>
      <c r="J55" s="39" t="str">
        <f>IF(AND(C55&gt;0,F55&gt;0),ABS(F55-C55)/C55,"")</f>
        <v/>
      </c>
      <c r="K55" s="36" t="str">
        <f>IF(AND(C55&gt;0,G55&gt;0),IF(AND(C55&gt;=G55,C55&lt;=H55),"✓","✗"),"")</f>
        <v/>
      </c>
      <c r="L55" s="38" t="str">
        <f>IF(AND(C55&gt;0,C54&gt;0),(C55-C54)/C54,"")</f>
        <v/>
      </c>
      <c r="M55" s="36"/>
      <c r="N55" s="36"/>
    </row>
    <row r="56" spans="1:14">
      <c r="A56" s="36" t="s">
        <v>101</v>
      </c>
      <c r="B56" s="36">
        <v>21</v>
      </c>
      <c r="C56" s="36"/>
      <c r="D56" s="36"/>
      <c r="E56" s="36"/>
      <c r="F56" s="37">
        <v>1071</v>
      </c>
      <c r="G56" s="37">
        <v>857</v>
      </c>
      <c r="H56" s="37">
        <v>1285</v>
      </c>
      <c r="I56" s="40">
        <v>0.4</v>
      </c>
      <c r="J56" s="39" t="str">
        <f>IF(AND(C56&gt;0,F56&gt;0),ABS(F56-C56)/C56,"")</f>
        <v/>
      </c>
      <c r="K56" s="36" t="str">
        <f>IF(AND(C56&gt;0,G56&gt;0),IF(AND(C56&gt;=G56,C56&lt;=H56),"✓","✗"),"")</f>
        <v/>
      </c>
      <c r="L56" s="38" t="str">
        <f>IF(AND(C56&gt;0,C55&gt;0),(C56-C55)/C55,"")</f>
        <v/>
      </c>
      <c r="M56" s="36"/>
      <c r="N56" s="36"/>
    </row>
    <row r="57" spans="1:14">
      <c r="A57" s="36" t="s">
        <v>102</v>
      </c>
      <c r="B57" s="36">
        <v>22</v>
      </c>
      <c r="C57" s="36"/>
      <c r="D57" s="36"/>
      <c r="E57" s="36"/>
      <c r="F57" s="37">
        <v>1071</v>
      </c>
      <c r="G57" s="37">
        <v>857</v>
      </c>
      <c r="H57" s="37">
        <v>1285</v>
      </c>
      <c r="I57" s="40">
        <v>0.4</v>
      </c>
      <c r="J57" s="39" t="str">
        <f>IF(AND(C57&gt;0,F57&gt;0),ABS(F57-C57)/C57,"")</f>
        <v/>
      </c>
      <c r="K57" s="36" t="str">
        <f>IF(AND(C57&gt;0,G57&gt;0),IF(AND(C57&gt;=G57,C57&lt;=H57),"✓","✗"),"")</f>
        <v/>
      </c>
      <c r="L57" s="38" t="str">
        <f>IF(AND(C57&gt;0,C56&gt;0),(C57-C56)/C56,"")</f>
        <v/>
      </c>
      <c r="M57" s="36"/>
      <c r="N57" s="36"/>
    </row>
    <row r="58" spans="1:14">
      <c r="A58" s="36" t="s">
        <v>103</v>
      </c>
      <c r="B58" s="36">
        <v>23</v>
      </c>
      <c r="C58" s="36"/>
      <c r="D58" s="36"/>
      <c r="E58" s="36"/>
      <c r="F58" s="37">
        <v>1236</v>
      </c>
      <c r="G58" s="37">
        <v>989</v>
      </c>
      <c r="H58" s="37">
        <v>1483</v>
      </c>
      <c r="I58" s="40">
        <v>0.4</v>
      </c>
      <c r="J58" s="39" t="str">
        <f>IF(AND(C58&gt;0,F58&gt;0),ABS(F58-C58)/C58,"")</f>
        <v/>
      </c>
      <c r="K58" s="36" t="str">
        <f>IF(AND(C58&gt;0,G58&gt;0),IF(AND(C58&gt;=G58,C58&lt;=H58),"✓","✗"),"")</f>
        <v/>
      </c>
      <c r="L58" s="38" t="str">
        <f>IF(AND(C58&gt;0,C57&gt;0),(C58-C57)/C57,"")</f>
        <v/>
      </c>
      <c r="M58" s="36"/>
      <c r="N58" s="36"/>
    </row>
    <row r="59" spans="1:14">
      <c r="A59" s="36" t="s">
        <v>104</v>
      </c>
      <c r="B59" s="36">
        <v>24</v>
      </c>
      <c r="C59" s="36"/>
      <c r="D59" s="36"/>
      <c r="E59" s="36"/>
      <c r="F59" s="37">
        <v>1236</v>
      </c>
      <c r="G59" s="37">
        <v>989</v>
      </c>
      <c r="H59" s="37">
        <v>1483</v>
      </c>
      <c r="I59" s="40">
        <v>0.4</v>
      </c>
      <c r="J59" s="39" t="str">
        <f>IF(AND(C59&gt;0,F59&gt;0),ABS(F59-C59)/C59,"")</f>
        <v/>
      </c>
      <c r="K59" s="36" t="str">
        <f>IF(AND(C59&gt;0,G59&gt;0),IF(AND(C59&gt;=G59,C59&lt;=H59),"✓","✗"),"")</f>
        <v/>
      </c>
      <c r="L59" s="38" t="str">
        <f>IF(AND(C59&gt;0,C58&gt;0),(C59-C58)/C58,"")</f>
        <v/>
      </c>
      <c r="M59" s="36"/>
      <c r="N59" s="36"/>
    </row>
    <row r="60" spans="1:14">
      <c r="A60" s="36" t="s">
        <v>105</v>
      </c>
      <c r="B60" s="36">
        <v>25</v>
      </c>
      <c r="C60" s="36"/>
      <c r="D60" s="36"/>
      <c r="E60" s="36"/>
      <c r="F60" s="37">
        <v>1236</v>
      </c>
      <c r="G60" s="37">
        <v>989</v>
      </c>
      <c r="H60" s="37">
        <v>1483</v>
      </c>
      <c r="I60" s="40">
        <v>0.4</v>
      </c>
      <c r="J60" s="39" t="str">
        <f>IF(AND(C60&gt;0,F60&gt;0),ABS(F60-C60)/C60,"")</f>
        <v/>
      </c>
      <c r="K60" s="36" t="str">
        <f>IF(AND(C60&gt;0,G60&gt;0),IF(AND(C60&gt;=G60,C60&lt;=H60),"✓","✗"),"")</f>
        <v/>
      </c>
      <c r="L60" s="38" t="str">
        <f>IF(AND(C60&gt;0,C59&gt;0),(C60-C59)/C59,"")</f>
        <v/>
      </c>
      <c r="M60" s="36"/>
      <c r="N60" s="36"/>
    </row>
    <row r="61" spans="1:14">
      <c r="A61" s="36" t="s">
        <v>106</v>
      </c>
      <c r="B61" s="36">
        <v>26</v>
      </c>
      <c r="C61" s="36"/>
      <c r="D61" s="36"/>
      <c r="E61" s="36"/>
      <c r="F61" s="37">
        <v>1236</v>
      </c>
      <c r="G61" s="37">
        <v>989</v>
      </c>
      <c r="H61" s="37">
        <v>1483</v>
      </c>
      <c r="I61" s="40">
        <v>0.4</v>
      </c>
      <c r="J61" s="39" t="str">
        <f>IF(AND(C61&gt;0,F61&gt;0),ABS(F61-C61)/C61,"")</f>
        <v/>
      </c>
      <c r="K61" s="36" t="str">
        <f>IF(AND(C61&gt;0,G61&gt;0),IF(AND(C61&gt;=G61,C61&lt;=H61),"✓","✗"),"")</f>
        <v/>
      </c>
      <c r="L61" s="38" t="str">
        <f>IF(AND(C61&gt;0,C60&gt;0),(C61-C60)/C60,"")</f>
        <v/>
      </c>
      <c r="M61" s="36"/>
      <c r="N61" s="36"/>
    </row>
    <row r="62" spans="1:14">
      <c r="A62" s="36" t="s">
        <v>107</v>
      </c>
      <c r="B62" s="36">
        <v>27</v>
      </c>
      <c r="C62" s="36"/>
      <c r="D62" s="36"/>
      <c r="E62" s="36"/>
      <c r="F62" s="37">
        <v>1057</v>
      </c>
      <c r="G62" s="37">
        <v>846</v>
      </c>
      <c r="H62" s="37">
        <v>1268</v>
      </c>
      <c r="I62" s="40">
        <v>0.4</v>
      </c>
      <c r="J62" s="39" t="str">
        <f>IF(AND(C62&gt;0,F62&gt;0),ABS(F62-C62)/C62,"")</f>
        <v/>
      </c>
      <c r="K62" s="36" t="str">
        <f>IF(AND(C62&gt;0,G62&gt;0),IF(AND(C62&gt;=G62,C62&lt;=H62),"✓","✗"),"")</f>
        <v/>
      </c>
      <c r="L62" s="38" t="str">
        <f>IF(AND(C62&gt;0,C61&gt;0),(C62-C61)/C61,"")</f>
        <v/>
      </c>
      <c r="M62" s="36"/>
      <c r="N62" s="36"/>
    </row>
    <row r="63" spans="1:14">
      <c r="A63" s="36" t="s">
        <v>108</v>
      </c>
      <c r="B63" s="36">
        <v>28</v>
      </c>
      <c r="C63" s="36"/>
      <c r="D63" s="36"/>
      <c r="E63" s="36"/>
      <c r="F63" s="37">
        <v>1057</v>
      </c>
      <c r="G63" s="37">
        <v>846</v>
      </c>
      <c r="H63" s="37">
        <v>1268</v>
      </c>
      <c r="I63" s="40">
        <v>0.4</v>
      </c>
      <c r="J63" s="39" t="str">
        <f>IF(AND(C63&gt;0,F63&gt;0),ABS(F63-C63)/C63,"")</f>
        <v/>
      </c>
      <c r="K63" s="36" t="str">
        <f>IF(AND(C63&gt;0,G63&gt;0),IF(AND(C63&gt;=G63,C63&lt;=H63),"✓","✗"),"")</f>
        <v/>
      </c>
      <c r="L63" s="38" t="str">
        <f>IF(AND(C63&gt;0,C62&gt;0),(C63-C62)/C62,"")</f>
        <v/>
      </c>
      <c r="M63" s="36"/>
      <c r="N63" s="36"/>
    </row>
    <row r="64" spans="1:14">
      <c r="A64" s="36" t="s">
        <v>109</v>
      </c>
      <c r="B64" s="36">
        <v>29</v>
      </c>
      <c r="C64" s="36"/>
      <c r="D64" s="36"/>
      <c r="E64" s="36"/>
      <c r="F64" s="37">
        <v>1057</v>
      </c>
      <c r="G64" s="37">
        <v>846</v>
      </c>
      <c r="H64" s="37">
        <v>1268</v>
      </c>
      <c r="I64" s="40">
        <v>0.4</v>
      </c>
      <c r="J64" s="39" t="str">
        <f>IF(AND(C64&gt;0,F64&gt;0),ABS(F64-C64)/C64,"")</f>
        <v/>
      </c>
      <c r="K64" s="36" t="str">
        <f>IF(AND(C64&gt;0,G64&gt;0),IF(AND(C64&gt;=G64,C64&lt;=H64),"✓","✗"),"")</f>
        <v/>
      </c>
      <c r="L64" s="38" t="str">
        <f>IF(AND(C64&gt;0,C63&gt;0),(C64-C63)/C63,"")</f>
        <v/>
      </c>
      <c r="M64" s="36"/>
      <c r="N64" s="36"/>
    </row>
    <row r="65" spans="1:14">
      <c r="A65" s="36" t="s">
        <v>110</v>
      </c>
      <c r="B65" s="36">
        <v>30</v>
      </c>
      <c r="C65" s="36"/>
      <c r="D65" s="36"/>
      <c r="E65" s="36"/>
      <c r="F65" s="37">
        <v>1057</v>
      </c>
      <c r="G65" s="37">
        <v>846</v>
      </c>
      <c r="H65" s="37">
        <v>1268</v>
      </c>
      <c r="I65" s="40">
        <v>0.4</v>
      </c>
      <c r="J65" s="39" t="str">
        <f>IF(AND(C65&gt;0,F65&gt;0),ABS(F65-C65)/C65,"")</f>
        <v/>
      </c>
      <c r="K65" s="36" t="str">
        <f>IF(AND(C65&gt;0,G65&gt;0),IF(AND(C65&gt;=G65,C65&lt;=H65),"✓","✗"),"")</f>
        <v/>
      </c>
      <c r="L65" s="38" t="str">
        <f>IF(AND(C65&gt;0,C64&gt;0),(C65-C64)/C64,"")</f>
        <v/>
      </c>
      <c r="M65" s="36"/>
      <c r="N65" s="36"/>
    </row>
    <row r="66" spans="1:14">
      <c r="A66" s="36" t="s">
        <v>111</v>
      </c>
      <c r="B66" s="36">
        <v>31</v>
      </c>
      <c r="C66" s="36"/>
      <c r="D66" s="36"/>
      <c r="E66" s="36"/>
      <c r="F66" s="37">
        <v>1057</v>
      </c>
      <c r="G66" s="37">
        <v>846</v>
      </c>
      <c r="H66" s="37">
        <v>1268</v>
      </c>
      <c r="I66" s="40">
        <v>0.4</v>
      </c>
      <c r="J66" s="39" t="str">
        <f>IF(AND(C66&gt;0,F66&gt;0),ABS(F66-C66)/C66,"")</f>
        <v/>
      </c>
      <c r="K66" s="36" t="str">
        <f>IF(AND(C66&gt;0,G66&gt;0),IF(AND(C66&gt;=G66,C66&lt;=H66),"✓","✗"),"")</f>
        <v/>
      </c>
      <c r="L66" s="38" t="str">
        <f>IF(AND(C66&gt;0,C65&gt;0),(C66-C65)/C65,"")</f>
        <v/>
      </c>
      <c r="M66" s="36"/>
      <c r="N66" s="36"/>
    </row>
    <row r="67" spans="1:14">
      <c r="A67" s="36" t="s">
        <v>112</v>
      </c>
      <c r="B67" s="36">
        <v>32</v>
      </c>
      <c r="C67" s="36"/>
      <c r="D67" s="36"/>
      <c r="E67" s="36"/>
      <c r="F67" s="37">
        <v>960</v>
      </c>
      <c r="G67" s="37">
        <v>768</v>
      </c>
      <c r="H67" s="37">
        <v>1152</v>
      </c>
      <c r="I67" s="40">
        <v>0.4</v>
      </c>
      <c r="J67" s="39" t="str">
        <f>IF(AND(C67&gt;0,F67&gt;0),ABS(F67-C67)/C67,"")</f>
        <v/>
      </c>
      <c r="K67" s="36" t="str">
        <f>IF(AND(C67&gt;0,G67&gt;0),IF(AND(C67&gt;=G67,C67&lt;=H67),"✓","✗"),"")</f>
        <v/>
      </c>
      <c r="L67" s="38" t="str">
        <f>IF(AND(C67&gt;0,C66&gt;0),(C67-C66)/C66,"")</f>
        <v/>
      </c>
      <c r="M67" s="36"/>
      <c r="N67" s="36"/>
    </row>
    <row r="68" spans="1:14">
      <c r="A68" s="36" t="s">
        <v>113</v>
      </c>
      <c r="B68" s="36">
        <v>33</v>
      </c>
      <c r="C68" s="36"/>
      <c r="D68" s="36"/>
      <c r="E68" s="36"/>
      <c r="F68" s="37">
        <v>960</v>
      </c>
      <c r="G68" s="37">
        <v>768</v>
      </c>
      <c r="H68" s="37">
        <v>1152</v>
      </c>
      <c r="I68" s="40">
        <v>0.4</v>
      </c>
      <c r="J68" s="39" t="str">
        <f>IF(AND(C68&gt;0,F68&gt;0),ABS(F68-C68)/C68,"")</f>
        <v/>
      </c>
      <c r="K68" s="36" t="str">
        <f>IF(AND(C68&gt;0,G68&gt;0),IF(AND(C68&gt;=G68,C68&lt;=H68),"✓","✗"),"")</f>
        <v/>
      </c>
      <c r="L68" s="38" t="str">
        <f>IF(AND(C68&gt;0,C67&gt;0),(C68-C67)/C67,"")</f>
        <v/>
      </c>
      <c r="M68" s="36"/>
      <c r="N68" s="36"/>
    </row>
    <row r="69" spans="1:14">
      <c r="A69" s="36" t="s">
        <v>114</v>
      </c>
      <c r="B69" s="36">
        <v>34</v>
      </c>
      <c r="C69" s="36"/>
      <c r="D69" s="36"/>
      <c r="E69" s="36"/>
      <c r="F69" s="37">
        <v>960</v>
      </c>
      <c r="G69" s="37">
        <v>768</v>
      </c>
      <c r="H69" s="37">
        <v>1152</v>
      </c>
      <c r="I69" s="40">
        <v>0.4</v>
      </c>
      <c r="J69" s="39" t="str">
        <f>IF(AND(C69&gt;0,F69&gt;0),ABS(F69-C69)/C69,"")</f>
        <v/>
      </c>
      <c r="K69" s="36" t="str">
        <f>IF(AND(C69&gt;0,G69&gt;0),IF(AND(C69&gt;=G69,C69&lt;=H69),"✓","✗"),"")</f>
        <v/>
      </c>
      <c r="L69" s="38" t="str">
        <f>IF(AND(C69&gt;0,C68&gt;0),(C69-C68)/C68,"")</f>
        <v/>
      </c>
      <c r="M69" s="36"/>
      <c r="N69" s="36"/>
    </row>
    <row r="70" spans="1:14">
      <c r="A70" s="36" t="s">
        <v>115</v>
      </c>
      <c r="B70" s="36">
        <v>35</v>
      </c>
      <c r="C70" s="36"/>
      <c r="D70" s="36"/>
      <c r="E70" s="36"/>
      <c r="F70" s="37">
        <v>960</v>
      </c>
      <c r="G70" s="37">
        <v>768</v>
      </c>
      <c r="H70" s="37">
        <v>1152</v>
      </c>
      <c r="I70" s="40">
        <v>0.4</v>
      </c>
      <c r="J70" s="39" t="str">
        <f>IF(AND(C70&gt;0,F70&gt;0),ABS(F70-C70)/C70,"")</f>
        <v/>
      </c>
      <c r="K70" s="36" t="str">
        <f>IF(AND(C70&gt;0,G70&gt;0),IF(AND(C70&gt;=G70,C70&lt;=H70),"✓","✗"),"")</f>
        <v/>
      </c>
      <c r="L70" s="38" t="str">
        <f>IF(AND(C70&gt;0,C69&gt;0),(C70-C69)/C69,"")</f>
        <v/>
      </c>
      <c r="M70" s="36"/>
      <c r="N70" s="36"/>
    </row>
    <row r="71" spans="1:14">
      <c r="A71" s="36" t="s">
        <v>116</v>
      </c>
      <c r="B71" s="36">
        <v>36</v>
      </c>
      <c r="C71" s="36"/>
      <c r="D71" s="36"/>
      <c r="E71" s="36"/>
      <c r="F71" s="37">
        <v>1470</v>
      </c>
      <c r="G71" s="37">
        <v>1176</v>
      </c>
      <c r="H71" s="37">
        <v>1764</v>
      </c>
      <c r="I71" s="40">
        <v>0.4</v>
      </c>
      <c r="J71" s="39" t="str">
        <f>IF(AND(C71&gt;0,F71&gt;0),ABS(F71-C71)/C71,"")</f>
        <v/>
      </c>
      <c r="K71" s="36" t="str">
        <f>IF(AND(C71&gt;0,G71&gt;0),IF(AND(C71&gt;=G71,C71&lt;=H71),"✓","✗"),"")</f>
        <v/>
      </c>
      <c r="L71" s="38" t="str">
        <f>IF(AND(C71&gt;0,C70&gt;0),(C71-C70)/C70,"")</f>
        <v/>
      </c>
      <c r="M71" s="36"/>
      <c r="N71" s="36"/>
    </row>
    <row r="72" spans="1:14">
      <c r="A72" s="36" t="s">
        <v>117</v>
      </c>
      <c r="B72" s="36">
        <v>37</v>
      </c>
      <c r="C72" s="36"/>
      <c r="D72" s="36"/>
      <c r="E72" s="36"/>
      <c r="F72" s="37">
        <v>1470</v>
      </c>
      <c r="G72" s="37">
        <v>1176</v>
      </c>
      <c r="H72" s="37">
        <v>1764</v>
      </c>
      <c r="I72" s="40">
        <v>0.4</v>
      </c>
      <c r="J72" s="39" t="str">
        <f>IF(AND(C72&gt;0,F72&gt;0),ABS(F72-C72)/C72,"")</f>
        <v/>
      </c>
      <c r="K72" s="36" t="str">
        <f>IF(AND(C72&gt;0,G72&gt;0),IF(AND(C72&gt;=G72,C72&lt;=H72),"✓","✗"),"")</f>
        <v/>
      </c>
      <c r="L72" s="38" t="str">
        <f>IF(AND(C72&gt;0,C71&gt;0),(C72-C71)/C71,"")</f>
        <v/>
      </c>
      <c r="M72" s="36"/>
      <c r="N72" s="36"/>
    </row>
    <row r="73" spans="1:14">
      <c r="A73" s="36" t="s">
        <v>118</v>
      </c>
      <c r="B73" s="36">
        <v>38</v>
      </c>
      <c r="C73" s="36"/>
      <c r="D73" s="36"/>
      <c r="E73" s="36"/>
      <c r="F73" s="37">
        <v>1470</v>
      </c>
      <c r="G73" s="37">
        <v>1176</v>
      </c>
      <c r="H73" s="37">
        <v>1764</v>
      </c>
      <c r="I73" s="40">
        <v>0.4</v>
      </c>
      <c r="J73" s="39" t="str">
        <f>IF(AND(C73&gt;0,F73&gt;0),ABS(F73-C73)/C73,"")</f>
        <v/>
      </c>
      <c r="K73" s="36" t="str">
        <f>IF(AND(C73&gt;0,G73&gt;0),IF(AND(C73&gt;=G73,C73&lt;=H73),"✓","✗"),"")</f>
        <v/>
      </c>
      <c r="L73" s="38" t="str">
        <f>IF(AND(C73&gt;0,C72&gt;0),(C73-C72)/C72,"")</f>
        <v/>
      </c>
      <c r="M73" s="36"/>
      <c r="N73" s="36"/>
    </row>
    <row r="74" spans="1:14">
      <c r="A74" s="36" t="s">
        <v>119</v>
      </c>
      <c r="B74" s="36">
        <v>39</v>
      </c>
      <c r="C74" s="36"/>
      <c r="D74" s="36"/>
      <c r="E74" s="36"/>
      <c r="F74" s="37">
        <v>1470</v>
      </c>
      <c r="G74" s="37">
        <v>1176</v>
      </c>
      <c r="H74" s="37">
        <v>1764</v>
      </c>
      <c r="I74" s="40">
        <v>0.4</v>
      </c>
      <c r="J74" s="39" t="str">
        <f>IF(AND(C74&gt;0,F74&gt;0),ABS(F74-C74)/C74,"")</f>
        <v/>
      </c>
      <c r="K74" s="36" t="str">
        <f>IF(AND(C74&gt;0,G74&gt;0),IF(AND(C74&gt;=G74,C74&lt;=H74),"✓","✗"),"")</f>
        <v/>
      </c>
      <c r="L74" s="38" t="str">
        <f>IF(AND(C74&gt;0,C73&gt;0),(C74-C73)/C73,"")</f>
        <v/>
      </c>
      <c r="M74" s="36"/>
      <c r="N74" s="36"/>
    </row>
    <row r="75" spans="1:14">
      <c r="A75" s="36" t="s">
        <v>120</v>
      </c>
      <c r="B75" s="36">
        <v>40</v>
      </c>
      <c r="C75" s="36"/>
      <c r="D75" s="36"/>
      <c r="E75" s="36"/>
      <c r="F75" s="37">
        <v>1282</v>
      </c>
      <c r="G75" s="37">
        <v>1026</v>
      </c>
      <c r="H75" s="37">
        <v>1538</v>
      </c>
      <c r="I75" s="40">
        <v>0.4</v>
      </c>
      <c r="J75" s="39" t="str">
        <f>IF(AND(C75&gt;0,F75&gt;0),ABS(F75-C75)/C75,"")</f>
        <v/>
      </c>
      <c r="K75" s="36" t="str">
        <f>IF(AND(C75&gt;0,G75&gt;0),IF(AND(C75&gt;=G75,C75&lt;=H75),"✓","✗"),"")</f>
        <v/>
      </c>
      <c r="L75" s="38" t="str">
        <f>IF(AND(C75&gt;0,C74&gt;0),(C75-C74)/C74,"")</f>
        <v/>
      </c>
      <c r="M75" s="36"/>
      <c r="N75" s="36"/>
    </row>
    <row r="76" spans="1:14">
      <c r="A76" s="36" t="s">
        <v>121</v>
      </c>
      <c r="B76" s="36">
        <v>41</v>
      </c>
      <c r="C76" s="36"/>
      <c r="D76" s="36"/>
      <c r="E76" s="36"/>
      <c r="F76" s="37">
        <v>1282</v>
      </c>
      <c r="G76" s="37">
        <v>1026</v>
      </c>
      <c r="H76" s="37">
        <v>1538</v>
      </c>
      <c r="I76" s="40">
        <v>0.4</v>
      </c>
      <c r="J76" s="39" t="str">
        <f>IF(AND(C76&gt;0,F76&gt;0),ABS(F76-C76)/C76,"")</f>
        <v/>
      </c>
      <c r="K76" s="36" t="str">
        <f>IF(AND(C76&gt;0,G76&gt;0),IF(AND(C76&gt;=G76,C76&lt;=H76),"✓","✗"),"")</f>
        <v/>
      </c>
      <c r="L76" s="38" t="str">
        <f>IF(AND(C76&gt;0,C75&gt;0),(C76-C75)/C75,"")</f>
        <v/>
      </c>
      <c r="M76" s="36"/>
      <c r="N76" s="36"/>
    </row>
    <row r="77" spans="1:14">
      <c r="A77" s="36" t="s">
        <v>122</v>
      </c>
      <c r="B77" s="36">
        <v>42</v>
      </c>
      <c r="C77" s="36"/>
      <c r="D77" s="36"/>
      <c r="E77" s="36"/>
      <c r="F77" s="37">
        <v>1282</v>
      </c>
      <c r="G77" s="37">
        <v>1026</v>
      </c>
      <c r="H77" s="37">
        <v>1538</v>
      </c>
      <c r="I77" s="40">
        <v>0.4</v>
      </c>
      <c r="J77" s="39" t="str">
        <f>IF(AND(C77&gt;0,F77&gt;0),ABS(F77-C77)/C77,"")</f>
        <v/>
      </c>
      <c r="K77" s="36" t="str">
        <f>IF(AND(C77&gt;0,G77&gt;0),IF(AND(C77&gt;=G77,C77&lt;=H77),"✓","✗"),"")</f>
        <v/>
      </c>
      <c r="L77" s="38" t="str">
        <f>IF(AND(C77&gt;0,C76&gt;0),(C77-C76)/C76,"")</f>
        <v/>
      </c>
      <c r="M77" s="36"/>
      <c r="N77" s="36"/>
    </row>
    <row r="78" spans="1:14">
      <c r="A78" s="36" t="s">
        <v>123</v>
      </c>
      <c r="B78" s="36">
        <v>43</v>
      </c>
      <c r="C78" s="36"/>
      <c r="D78" s="36"/>
      <c r="E78" s="36"/>
      <c r="F78" s="37">
        <v>1282</v>
      </c>
      <c r="G78" s="37">
        <v>1026</v>
      </c>
      <c r="H78" s="37">
        <v>1538</v>
      </c>
      <c r="I78" s="40">
        <v>0.4</v>
      </c>
      <c r="J78" s="39" t="str">
        <f>IF(AND(C78&gt;0,F78&gt;0),ABS(F78-C78)/C78,"")</f>
        <v/>
      </c>
      <c r="K78" s="36" t="str">
        <f>IF(AND(C78&gt;0,G78&gt;0),IF(AND(C78&gt;=G78,C78&lt;=H78),"✓","✗"),"")</f>
        <v/>
      </c>
      <c r="L78" s="38" t="str">
        <f>IF(AND(C78&gt;0,C77&gt;0),(C78-C77)/C77,"")</f>
        <v/>
      </c>
      <c r="M78" s="36"/>
      <c r="N78" s="36"/>
    </row>
    <row r="79" spans="1:14">
      <c r="A79" s="36" t="s">
        <v>124</v>
      </c>
      <c r="B79" s="36">
        <v>44</v>
      </c>
      <c r="C79" s="36"/>
      <c r="D79" s="36"/>
      <c r="E79" s="36"/>
      <c r="F79" s="37">
        <v>1282</v>
      </c>
      <c r="G79" s="37">
        <v>1026</v>
      </c>
      <c r="H79" s="37">
        <v>1538</v>
      </c>
      <c r="I79" s="40">
        <v>0.4</v>
      </c>
      <c r="J79" s="39" t="str">
        <f>IF(AND(C79&gt;0,F79&gt;0),ABS(F79-C79)/C79,"")</f>
        <v/>
      </c>
      <c r="K79" s="36" t="str">
        <f>IF(AND(C79&gt;0,G79&gt;0),IF(AND(C79&gt;=G79,C79&lt;=H79),"✓","✗"),"")</f>
        <v/>
      </c>
      <c r="L79" s="38" t="str">
        <f>IF(AND(C79&gt;0,C78&gt;0),(C79-C78)/C78,"")</f>
        <v/>
      </c>
      <c r="M79" s="36"/>
      <c r="N79" s="36"/>
    </row>
    <row r="80" spans="1:14">
      <c r="A80" s="36" t="s">
        <v>125</v>
      </c>
      <c r="B80" s="36">
        <v>45</v>
      </c>
      <c r="C80" s="36"/>
      <c r="D80" s="36"/>
      <c r="E80" s="36"/>
      <c r="F80" s="37">
        <v>1612</v>
      </c>
      <c r="G80" s="37">
        <v>1290</v>
      </c>
      <c r="H80" s="37">
        <v>1934</v>
      </c>
      <c r="I80" s="40">
        <v>0.4</v>
      </c>
      <c r="J80" s="39" t="str">
        <f>IF(AND(C80&gt;0,F80&gt;0),ABS(F80-C80)/C80,"")</f>
        <v/>
      </c>
      <c r="K80" s="36" t="str">
        <f>IF(AND(C80&gt;0,G80&gt;0),IF(AND(C80&gt;=G80,C80&lt;=H80),"✓","✗"),"")</f>
        <v/>
      </c>
      <c r="L80" s="38" t="str">
        <f>IF(AND(C80&gt;0,C79&gt;0),(C80-C79)/C79,"")</f>
        <v/>
      </c>
      <c r="M80" s="36"/>
      <c r="N80" s="36"/>
    </row>
    <row r="81" spans="1:14">
      <c r="A81" s="36" t="s">
        <v>126</v>
      </c>
      <c r="B81" s="36">
        <v>46</v>
      </c>
      <c r="C81" s="36"/>
      <c r="D81" s="36"/>
      <c r="E81" s="36"/>
      <c r="F81" s="37">
        <v>1612</v>
      </c>
      <c r="G81" s="37">
        <v>1290</v>
      </c>
      <c r="H81" s="37">
        <v>1934</v>
      </c>
      <c r="I81" s="40">
        <v>0.4</v>
      </c>
      <c r="J81" s="39" t="str">
        <f>IF(AND(C81&gt;0,F81&gt;0),ABS(F81-C81)/C81,"")</f>
        <v/>
      </c>
      <c r="K81" s="36" t="str">
        <f>IF(AND(C81&gt;0,G81&gt;0),IF(AND(C81&gt;=G81,C81&lt;=H81),"✓","✗"),"")</f>
        <v/>
      </c>
      <c r="L81" s="38" t="str">
        <f>IF(AND(C81&gt;0,C80&gt;0),(C81-C80)/C80,"")</f>
        <v/>
      </c>
      <c r="M81" s="36"/>
      <c r="N81" s="36"/>
    </row>
    <row r="82" spans="1:14">
      <c r="A82" s="36" t="s">
        <v>127</v>
      </c>
      <c r="B82" s="36">
        <v>47</v>
      </c>
      <c r="C82" s="36"/>
      <c r="D82" s="36"/>
      <c r="E82" s="36"/>
      <c r="F82" s="37">
        <v>1612</v>
      </c>
      <c r="G82" s="37">
        <v>1290</v>
      </c>
      <c r="H82" s="37">
        <v>1934</v>
      </c>
      <c r="I82" s="40">
        <v>0.4</v>
      </c>
      <c r="J82" s="39" t="str">
        <f>IF(AND(C82&gt;0,F82&gt;0),ABS(F82-C82)/C82,"")</f>
        <v/>
      </c>
      <c r="K82" s="36" t="str">
        <f>IF(AND(C82&gt;0,G82&gt;0),IF(AND(C82&gt;=G82,C82&lt;=H82),"✓","✗"),"")</f>
        <v/>
      </c>
      <c r="L82" s="38" t="str">
        <f>IF(AND(C82&gt;0,C81&gt;0),(C82-C81)/C81,"")</f>
        <v/>
      </c>
      <c r="M82" s="36"/>
      <c r="N82" s="36"/>
    </row>
    <row r="83" spans="1:14">
      <c r="A83" s="36" t="s">
        <v>128</v>
      </c>
      <c r="B83" s="36">
        <v>48</v>
      </c>
      <c r="C83" s="36"/>
      <c r="D83" s="36"/>
      <c r="E83" s="36"/>
      <c r="F83" s="37">
        <v>1612</v>
      </c>
      <c r="G83" s="37">
        <v>1290</v>
      </c>
      <c r="H83" s="37">
        <v>1934</v>
      </c>
      <c r="I83" s="40">
        <v>0.4</v>
      </c>
      <c r="J83" s="39" t="str">
        <f>IF(AND(C83&gt;0,F83&gt;0),ABS(F83-C83)/C83,"")</f>
        <v/>
      </c>
      <c r="K83" s="36" t="str">
        <f>IF(AND(C83&gt;0,G83&gt;0),IF(AND(C83&gt;=G83,C83&lt;=H83),"✓","✗"),"")</f>
        <v/>
      </c>
      <c r="L83" s="38" t="str">
        <f>IF(AND(C83&gt;0,C82&gt;0),(C83-C82)/C82,"")</f>
        <v/>
      </c>
      <c r="M83" s="36"/>
      <c r="N83" s="36"/>
    </row>
    <row r="84" spans="1:14">
      <c r="A84" s="36" t="s">
        <v>129</v>
      </c>
      <c r="B84" s="36">
        <v>49</v>
      </c>
      <c r="C84" s="36"/>
      <c r="D84" s="36"/>
      <c r="E84" s="36"/>
      <c r="F84" s="37">
        <v>1172</v>
      </c>
      <c r="G84" s="37">
        <v>938</v>
      </c>
      <c r="H84" s="37">
        <v>1406</v>
      </c>
      <c r="I84" s="40">
        <v>0.4</v>
      </c>
      <c r="J84" s="39" t="str">
        <f>IF(AND(C84&gt;0,F84&gt;0),ABS(F84-C84)/C84,"")</f>
        <v/>
      </c>
      <c r="K84" s="36" t="str">
        <f>IF(AND(C84&gt;0,G84&gt;0),IF(AND(C84&gt;=G84,C84&lt;=H84),"✓","✗"),"")</f>
        <v/>
      </c>
      <c r="L84" s="38" t="str">
        <f>IF(AND(C84&gt;0,C83&gt;0),(C84-C83)/C83,"")</f>
        <v/>
      </c>
      <c r="M84" s="36"/>
      <c r="N84" s="36"/>
    </row>
    <row r="85" spans="1:14">
      <c r="A85" s="36" t="s">
        <v>130</v>
      </c>
      <c r="B85" s="36">
        <v>50</v>
      </c>
      <c r="C85" s="36"/>
      <c r="D85" s="36"/>
      <c r="E85" s="36"/>
      <c r="F85" s="37">
        <v>1172</v>
      </c>
      <c r="G85" s="37">
        <v>938</v>
      </c>
      <c r="H85" s="37">
        <v>1406</v>
      </c>
      <c r="I85" s="40">
        <v>0.4</v>
      </c>
      <c r="J85" s="39" t="str">
        <f>IF(AND(C85&gt;0,F85&gt;0),ABS(F85-C85)/C85,"")</f>
        <v/>
      </c>
      <c r="K85" s="36" t="str">
        <f>IF(AND(C85&gt;0,G85&gt;0),IF(AND(C85&gt;=G85,C85&lt;=H85),"✓","✗"),"")</f>
        <v/>
      </c>
      <c r="L85" s="38" t="str">
        <f>IF(AND(C85&gt;0,C84&gt;0),(C85-C84)/C84,"")</f>
        <v/>
      </c>
      <c r="M85" s="36"/>
      <c r="N85" s="36"/>
    </row>
    <row r="86" spans="1:14">
      <c r="A86" s="36" t="s">
        <v>131</v>
      </c>
      <c r="B86" s="36">
        <v>51</v>
      </c>
      <c r="C86" s="36"/>
      <c r="D86" s="36"/>
      <c r="E86" s="36"/>
      <c r="F86" s="37">
        <v>1172</v>
      </c>
      <c r="G86" s="37">
        <v>938</v>
      </c>
      <c r="H86" s="37">
        <v>1406</v>
      </c>
      <c r="I86" s="40">
        <v>0.4</v>
      </c>
      <c r="J86" s="39" t="str">
        <f>IF(AND(C86&gt;0,F86&gt;0),ABS(F86-C86)/C86,"")</f>
        <v/>
      </c>
      <c r="K86" s="36" t="str">
        <f>IF(AND(C86&gt;0,G86&gt;0),IF(AND(C86&gt;=G86,C86&lt;=H86),"✓","✗"),"")</f>
        <v/>
      </c>
      <c r="L86" s="38" t="str">
        <f>IF(AND(C86&gt;0,C85&gt;0),(C86-C85)/C85,"")</f>
        <v/>
      </c>
      <c r="M86" s="36"/>
      <c r="N86" s="36"/>
    </row>
    <row r="87" spans="1:14">
      <c r="A87" s="36" t="s">
        <v>132</v>
      </c>
      <c r="B87" s="36">
        <v>52</v>
      </c>
      <c r="C87" s="36"/>
      <c r="D87" s="36"/>
      <c r="E87" s="36"/>
      <c r="F87" s="37">
        <v>1172</v>
      </c>
      <c r="G87" s="37">
        <v>938</v>
      </c>
      <c r="H87" s="37">
        <v>1406</v>
      </c>
      <c r="I87" s="40">
        <v>0.4</v>
      </c>
      <c r="J87" s="39" t="str">
        <f>IF(AND(C87&gt;0,F87&gt;0),ABS(F87-C87)/C87,"")</f>
        <v/>
      </c>
      <c r="K87" s="36" t="str">
        <f>IF(AND(C87&gt;0,G87&gt;0),IF(AND(C87&gt;=G87,C87&lt;=H87),"✓","✗"),"")</f>
        <v/>
      </c>
      <c r="L87" s="38" t="str">
        <f>IF(AND(C87&gt;0,C86&gt;0),(C87-C86)/C86,"")</f>
        <v/>
      </c>
      <c r="M87" s="36"/>
      <c r="N87" s="36"/>
    </row>
  </sheetData>
  <mergeCells count="15">
    <mergeCell ref="C3:D3"/>
    <mergeCell ref="A3:B3"/>
    <mergeCell ref="G3:H3"/>
    <mergeCell ref="E3:F3"/>
    <mergeCell ref="A1:N1"/>
    <mergeCell ref="A4:B4"/>
    <mergeCell ref="G4:H4"/>
    <mergeCell ref="E4:F4"/>
    <mergeCell ref="A12:K12"/>
    <mergeCell ref="A34:N34"/>
    <mergeCell ref="A5:B5"/>
    <mergeCell ref="C4:D4"/>
    <mergeCell ref="G5:H5"/>
    <mergeCell ref="A8:K8"/>
    <mergeCell ref="A19:K19"/>
  </mergeCells>
  <conditionalFormatting sqref="C36:C87">
    <cfRule type="dataBar" priority="1">
      <dataBar>
        <cfvo type="num" val="0"/>
        <cfvo type="max"/>
        <color rgb="FF1ABC9C"/>
      </dataBar>
    </cfRule>
  </conditionalFormatting>
  <conditionalFormatting sqref="J36:J87">
    <cfRule type="colorScale" priority="2">
      <colorScale>
        <cfvo type="num" val="0"/>
        <cfvo type="num" val="0.1"/>
        <cfvo type="num" val="0.3"/>
        <color rgb="FF27AE60"/>
        <color rgb="FFFFFFFF"/>
        <color rgb="FFE74C3C"/>
      </colorScale>
    </cfRule>
  </conditionalFormatting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392B"/>
  </sheetPr>
  <dimension ref="A1:N87"/>
  <sheetViews>
    <sheetView showGridLines="0" workbookViewId="0">
      <selection sqref="A1:XFD1048576"/>
    </sheetView>
  </sheetViews>
  <sheetFormatPr defaultColWidth="12.7109375" defaultRowHeight="15"/>
  <cols>
    <col min="1" max="1" width="11.85546875" style="30" bestFit="1" customWidth="1"/>
    <col min="2" max="3" width="10.140625" style="30" bestFit="1" customWidth="1"/>
    <col min="4" max="4" width="9.85546875" style="30" bestFit="1" customWidth="1"/>
    <col min="5" max="5" width="9.5703125" style="30" bestFit="1" customWidth="1"/>
    <col min="6" max="6" width="9.7109375" style="30" bestFit="1" customWidth="1"/>
    <col min="7" max="7" width="8.140625" style="30" bestFit="1" customWidth="1"/>
    <col min="8" max="8" width="6.85546875" style="30" bestFit="1" customWidth="1"/>
    <col min="9" max="9" width="9.85546875" style="30" bestFit="1" customWidth="1"/>
    <col min="10" max="10" width="6.85546875" style="30" bestFit="1" customWidth="1"/>
    <col min="11" max="11" width="10.85546875" style="30" bestFit="1" customWidth="1"/>
    <col min="12" max="12" width="8.28515625" style="30" bestFit="1" customWidth="1"/>
    <col min="13" max="13" width="9.7109375" style="30" bestFit="1" customWidth="1"/>
    <col min="14" max="14" width="7.42578125" style="30" bestFit="1" customWidth="1"/>
    <col min="15" max="16384" width="12.7109375" style="30"/>
  </cols>
  <sheetData>
    <row r="1" spans="1:14" ht="21">
      <c r="A1" s="61" t="s">
        <v>153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3" spans="1:14">
      <c r="A3" s="31" t="s">
        <v>34</v>
      </c>
      <c r="B3" s="32"/>
      <c r="C3" s="31" t="s">
        <v>35</v>
      </c>
      <c r="D3" s="32"/>
      <c r="E3" s="31" t="s">
        <v>36</v>
      </c>
      <c r="F3" s="32"/>
      <c r="G3" s="31" t="s">
        <v>37</v>
      </c>
      <c r="H3" s="32"/>
    </row>
    <row r="4" spans="1:14" ht="26.25">
      <c r="A4" s="33" t="s">
        <v>154</v>
      </c>
      <c r="B4" s="32"/>
      <c r="C4" s="33" t="s">
        <v>155</v>
      </c>
      <c r="D4" s="32"/>
      <c r="E4" s="33" t="s">
        <v>156</v>
      </c>
      <c r="F4" s="32"/>
      <c r="G4" s="33" t="s">
        <v>157</v>
      </c>
      <c r="H4" s="32"/>
    </row>
    <row r="5" spans="1:14">
      <c r="A5" s="31" t="s">
        <v>10</v>
      </c>
      <c r="B5" s="32"/>
      <c r="C5" s="34"/>
      <c r="D5" s="34"/>
      <c r="E5" s="34"/>
      <c r="F5" s="34"/>
      <c r="G5" s="31" t="s">
        <v>23</v>
      </c>
      <c r="H5" s="32"/>
    </row>
    <row r="8" spans="1:14" ht="15.75">
      <c r="A8" s="35" t="s">
        <v>42</v>
      </c>
      <c r="B8" s="29"/>
      <c r="C8" s="29"/>
      <c r="D8" s="29"/>
      <c r="E8" s="29"/>
      <c r="F8" s="29"/>
      <c r="G8" s="29"/>
      <c r="H8" s="29"/>
      <c r="I8" s="29"/>
      <c r="J8" s="29"/>
      <c r="K8" s="29"/>
    </row>
    <row r="9" spans="1:14">
      <c r="A9" s="60" t="s">
        <v>43</v>
      </c>
      <c r="B9" s="60" t="s">
        <v>44</v>
      </c>
      <c r="C9" s="60" t="s">
        <v>45</v>
      </c>
      <c r="D9" s="60" t="s">
        <v>46</v>
      </c>
      <c r="E9" s="60" t="s">
        <v>47</v>
      </c>
      <c r="F9" s="60" t="s">
        <v>48</v>
      </c>
      <c r="G9" s="60" t="s">
        <v>20</v>
      </c>
      <c r="H9" s="60" t="s">
        <v>49</v>
      </c>
      <c r="I9" s="60" t="s">
        <v>50</v>
      </c>
      <c r="J9" s="60" t="s">
        <v>51</v>
      </c>
      <c r="K9" s="60" t="s">
        <v>52</v>
      </c>
    </row>
    <row r="10" spans="1:14">
      <c r="A10" s="36" t="s">
        <v>53</v>
      </c>
      <c r="B10" s="37"/>
      <c r="C10" s="37"/>
      <c r="D10" s="37"/>
      <c r="E10" s="37"/>
      <c r="F10" s="37">
        <v>29954.959999999999</v>
      </c>
      <c r="G10" s="38" t="str">
        <f>IF(AND(B10&gt;0,F10&gt;0),(B10-F10)/F10,"")</f>
        <v/>
      </c>
      <c r="H10" s="39" t="str">
        <f>IF(AND(B10&gt;0,C10&gt;0),ABS(C10-B10)/B10,"")</f>
        <v/>
      </c>
      <c r="I10" s="40"/>
      <c r="J10" s="36"/>
      <c r="K10" s="36"/>
    </row>
    <row r="12" spans="1:14" ht="15.75">
      <c r="A12" s="35" t="s">
        <v>54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</row>
    <row r="13" spans="1:14">
      <c r="A13" s="60" t="s">
        <v>43</v>
      </c>
      <c r="B13" s="60" t="s">
        <v>44</v>
      </c>
      <c r="C13" s="60" t="s">
        <v>45</v>
      </c>
      <c r="D13" s="60" t="s">
        <v>46</v>
      </c>
      <c r="E13" s="60" t="s">
        <v>47</v>
      </c>
      <c r="F13" s="60" t="s">
        <v>48</v>
      </c>
      <c r="G13" s="60" t="s">
        <v>20</v>
      </c>
      <c r="H13" s="60" t="s">
        <v>49</v>
      </c>
      <c r="I13" s="60" t="s">
        <v>50</v>
      </c>
      <c r="J13" s="60" t="s">
        <v>51</v>
      </c>
      <c r="K13" s="60" t="s">
        <v>52</v>
      </c>
    </row>
    <row r="14" spans="1:14">
      <c r="A14" s="41" t="s">
        <v>55</v>
      </c>
      <c r="B14" s="42">
        <v>8075</v>
      </c>
      <c r="C14" s="42"/>
      <c r="D14" s="42"/>
      <c r="E14" s="42"/>
      <c r="F14" s="42">
        <v>7282.8600000000006</v>
      </c>
      <c r="G14" s="43">
        <f>IF(AND(B14&gt;0,F14&gt;0),(B14-F14)/F14,"")</f>
        <v>0.10876770938889384</v>
      </c>
      <c r="H14" s="44" t="str">
        <f>IF(AND(B14&gt;0,C14&gt;0),ABS(C14-B14)/B14,"")</f>
        <v/>
      </c>
      <c r="I14" s="45"/>
      <c r="J14" s="41"/>
      <c r="K14" s="41"/>
    </row>
    <row r="15" spans="1:14">
      <c r="A15" s="36" t="s">
        <v>56</v>
      </c>
      <c r="B15" s="36"/>
      <c r="C15" s="37"/>
      <c r="D15" s="37"/>
      <c r="E15" s="37"/>
      <c r="F15" s="37">
        <v>6770.3799999999992</v>
      </c>
      <c r="G15" s="38" t="str">
        <f>IF(AND(B15&gt;0,F15&gt;0),(B15-F15)/F15,"")</f>
        <v/>
      </c>
      <c r="H15" s="39" t="str">
        <f>IF(AND(B15&gt;0,C15&gt;0),ABS(C15-B15)/B15,"")</f>
        <v/>
      </c>
      <c r="I15" s="40"/>
      <c r="J15" s="36"/>
      <c r="K15" s="36"/>
    </row>
    <row r="16" spans="1:14">
      <c r="A16" s="36" t="s">
        <v>57</v>
      </c>
      <c r="B16" s="36"/>
      <c r="C16" s="37"/>
      <c r="D16" s="37"/>
      <c r="E16" s="37"/>
      <c r="F16" s="37">
        <v>7373.57</v>
      </c>
      <c r="G16" s="38" t="str">
        <f>IF(AND(B16&gt;0,F16&gt;0),(B16-F16)/F16,"")</f>
        <v/>
      </c>
      <c r="H16" s="39" t="str">
        <f>IF(AND(B16&gt;0,C16&gt;0),ABS(C16-B16)/B16,"")</f>
        <v/>
      </c>
      <c r="I16" s="40"/>
      <c r="J16" s="36"/>
      <c r="K16" s="36"/>
    </row>
    <row r="17" spans="1:11">
      <c r="A17" s="36" t="s">
        <v>58</v>
      </c>
      <c r="B17" s="36"/>
      <c r="C17" s="37"/>
      <c r="D17" s="37"/>
      <c r="E17" s="37"/>
      <c r="F17" s="37">
        <v>8528.15</v>
      </c>
      <c r="G17" s="38" t="str">
        <f>IF(AND(B17&gt;0,F17&gt;0),(B17-F17)/F17,"")</f>
        <v/>
      </c>
      <c r="H17" s="39" t="str">
        <f>IF(AND(B17&gt;0,C17&gt;0),ABS(C17-B17)/B17,"")</f>
        <v/>
      </c>
      <c r="I17" s="40"/>
      <c r="J17" s="36"/>
      <c r="K17" s="36"/>
    </row>
    <row r="19" spans="1:11" ht="15.75">
      <c r="A19" s="35" t="s">
        <v>59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</row>
    <row r="20" spans="1:11">
      <c r="A20" s="60" t="s">
        <v>43</v>
      </c>
      <c r="B20" s="60" t="s">
        <v>44</v>
      </c>
      <c r="C20" s="60" t="s">
        <v>45</v>
      </c>
      <c r="D20" s="60" t="s">
        <v>46</v>
      </c>
      <c r="E20" s="60" t="s">
        <v>47</v>
      </c>
      <c r="F20" s="60" t="s">
        <v>48</v>
      </c>
      <c r="G20" s="60" t="s">
        <v>20</v>
      </c>
      <c r="H20" s="60" t="s">
        <v>49</v>
      </c>
      <c r="I20" s="60" t="s">
        <v>50</v>
      </c>
      <c r="J20" s="60" t="s">
        <v>51</v>
      </c>
      <c r="K20" s="60" t="s">
        <v>52</v>
      </c>
    </row>
    <row r="21" spans="1:11">
      <c r="A21" s="41" t="s">
        <v>60</v>
      </c>
      <c r="B21" s="42">
        <v>2240</v>
      </c>
      <c r="C21" s="42"/>
      <c r="D21" s="42"/>
      <c r="E21" s="42"/>
      <c r="F21" s="42">
        <v>2540.0500000000002</v>
      </c>
      <c r="G21" s="43">
        <f>IF(AND(B21&gt;0,F21&gt;0),(B21-F21)/F21,"")</f>
        <v>-0.11812759591346633</v>
      </c>
      <c r="H21" s="44" t="str">
        <f>IF(AND(B21&gt;0,C21&gt;0),ABS(C21-B21)/B21,"")</f>
        <v/>
      </c>
      <c r="I21" s="45"/>
      <c r="J21" s="41"/>
      <c r="K21" s="41"/>
    </row>
    <row r="22" spans="1:11">
      <c r="A22" s="46" t="s">
        <v>61</v>
      </c>
      <c r="B22" s="47">
        <v>2579</v>
      </c>
      <c r="C22" s="47"/>
      <c r="D22" s="47"/>
      <c r="E22" s="47"/>
      <c r="F22" s="47">
        <v>2347.34</v>
      </c>
      <c r="G22" s="48">
        <f>IF(AND(B22&gt;0,F22&gt;0),(B22-F22)/F22,"")</f>
        <v>9.8690432574744108E-2</v>
      </c>
      <c r="H22" s="49" t="str">
        <f>IF(AND(B22&gt;0,C22&gt;0),ABS(C22-B22)/B22,"")</f>
        <v/>
      </c>
      <c r="I22" s="50"/>
      <c r="J22" s="46"/>
      <c r="K22" s="46"/>
    </row>
    <row r="23" spans="1:11">
      <c r="A23" s="41" t="s">
        <v>62</v>
      </c>
      <c r="B23" s="42">
        <v>3256</v>
      </c>
      <c r="C23" s="42"/>
      <c r="D23" s="42"/>
      <c r="E23" s="42"/>
      <c r="F23" s="42">
        <v>2395.4699999999998</v>
      </c>
      <c r="G23" s="43">
        <f>IF(AND(B23&gt;0,F23&gt;0),(B23-F23)/F23,"")</f>
        <v>0.35923221747715489</v>
      </c>
      <c r="H23" s="44" t="str">
        <f>IF(AND(B23&gt;0,C23&gt;0),ABS(C23-B23)/B23,"")</f>
        <v/>
      </c>
      <c r="I23" s="45"/>
      <c r="J23" s="41"/>
      <c r="K23" s="41"/>
    </row>
    <row r="24" spans="1:11">
      <c r="A24" s="36" t="s">
        <v>63</v>
      </c>
      <c r="B24" s="37"/>
      <c r="C24" s="37">
        <v>1964.3</v>
      </c>
      <c r="D24" s="37">
        <v>1670</v>
      </c>
      <c r="E24" s="37">
        <v>2259</v>
      </c>
      <c r="F24" s="37">
        <v>1964.3</v>
      </c>
      <c r="G24" s="38" t="str">
        <f>IF(AND(B24&gt;0,F24&gt;0),(B24-F24)/F24,"")</f>
        <v/>
      </c>
      <c r="H24" s="39" t="str">
        <f>IF(AND(B24&gt;0,C24&gt;0),ABS(C24-B24)/B24,"")</f>
        <v/>
      </c>
      <c r="I24" s="40">
        <v>0.5</v>
      </c>
      <c r="J24" s="36"/>
      <c r="K24" s="36" t="s">
        <v>64</v>
      </c>
    </row>
    <row r="25" spans="1:11">
      <c r="A25" s="36" t="s">
        <v>65</v>
      </c>
      <c r="B25" s="37"/>
      <c r="C25" s="37">
        <v>2344.89</v>
      </c>
      <c r="D25" s="37">
        <v>1993</v>
      </c>
      <c r="E25" s="37">
        <v>2697</v>
      </c>
      <c r="F25" s="37">
        <v>2344.89</v>
      </c>
      <c r="G25" s="38" t="str">
        <f>IF(AND(B25&gt;0,F25&gt;0),(B25-F25)/F25,"")</f>
        <v/>
      </c>
      <c r="H25" s="39" t="str">
        <f>IF(AND(B25&gt;0,C25&gt;0),ABS(C25-B25)/B25,"")</f>
        <v/>
      </c>
      <c r="I25" s="40">
        <v>0.5</v>
      </c>
      <c r="J25" s="36"/>
      <c r="K25" s="36" t="s">
        <v>64</v>
      </c>
    </row>
    <row r="26" spans="1:11">
      <c r="A26" s="36" t="s">
        <v>66</v>
      </c>
      <c r="B26" s="37"/>
      <c r="C26" s="37">
        <v>2461.19</v>
      </c>
      <c r="D26" s="37">
        <v>2092</v>
      </c>
      <c r="E26" s="37">
        <v>2830</v>
      </c>
      <c r="F26" s="37">
        <v>2461.19</v>
      </c>
      <c r="G26" s="38" t="str">
        <f>IF(AND(B26&gt;0,F26&gt;0),(B26-F26)/F26,"")</f>
        <v/>
      </c>
      <c r="H26" s="39" t="str">
        <f>IF(AND(B26&gt;0,C26&gt;0),ABS(C26-B26)/B26,"")</f>
        <v/>
      </c>
      <c r="I26" s="40">
        <v>0.5</v>
      </c>
      <c r="J26" s="36"/>
      <c r="K26" s="36" t="s">
        <v>64</v>
      </c>
    </row>
    <row r="27" spans="1:11">
      <c r="A27" s="36" t="s">
        <v>67</v>
      </c>
      <c r="B27" s="37"/>
      <c r="C27" s="37">
        <v>2617.9899999999998</v>
      </c>
      <c r="D27" s="37">
        <v>2225</v>
      </c>
      <c r="E27" s="37">
        <v>3011</v>
      </c>
      <c r="F27" s="37">
        <v>2617.9899999999998</v>
      </c>
      <c r="G27" s="38" t="str">
        <f>IF(AND(B27&gt;0,F27&gt;0),(B27-F27)/F27,"")</f>
        <v/>
      </c>
      <c r="H27" s="39" t="str">
        <f>IF(AND(B27&gt;0,C27&gt;0),ABS(C27-B27)/B27,"")</f>
        <v/>
      </c>
      <c r="I27" s="40">
        <v>0.5</v>
      </c>
      <c r="J27" s="36"/>
      <c r="K27" s="36" t="s">
        <v>64</v>
      </c>
    </row>
    <row r="28" spans="1:11">
      <c r="A28" s="36" t="s">
        <v>68</v>
      </c>
      <c r="B28" s="37"/>
      <c r="C28" s="37">
        <v>1895.55</v>
      </c>
      <c r="D28" s="37">
        <v>1611</v>
      </c>
      <c r="E28" s="37">
        <v>2180</v>
      </c>
      <c r="F28" s="37">
        <v>1895.55</v>
      </c>
      <c r="G28" s="38" t="str">
        <f>IF(AND(B28&gt;0,F28&gt;0),(B28-F28)/F28,"")</f>
        <v/>
      </c>
      <c r="H28" s="39" t="str">
        <f>IF(AND(B28&gt;0,C28&gt;0),ABS(C28-B28)/B28,"")</f>
        <v/>
      </c>
      <c r="I28" s="40">
        <v>0.5</v>
      </c>
      <c r="J28" s="36"/>
      <c r="K28" s="36" t="s">
        <v>64</v>
      </c>
    </row>
    <row r="29" spans="1:11">
      <c r="A29" s="36" t="s">
        <v>69</v>
      </c>
      <c r="B29" s="37"/>
      <c r="C29" s="37">
        <v>2860.03</v>
      </c>
      <c r="D29" s="37">
        <v>2431</v>
      </c>
      <c r="E29" s="37">
        <v>3289</v>
      </c>
      <c r="F29" s="37">
        <v>2860.03</v>
      </c>
      <c r="G29" s="38" t="str">
        <f>IF(AND(B29&gt;0,F29&gt;0),(B29-F29)/F29,"")</f>
        <v/>
      </c>
      <c r="H29" s="39" t="str">
        <f>IF(AND(B29&gt;0,C29&gt;0),ABS(C29-B29)/B29,"")</f>
        <v/>
      </c>
      <c r="I29" s="40">
        <v>0.5</v>
      </c>
      <c r="J29" s="36"/>
      <c r="K29" s="36" t="s">
        <v>64</v>
      </c>
    </row>
    <row r="30" spans="1:11">
      <c r="A30" s="36" t="s">
        <v>70</v>
      </c>
      <c r="B30" s="37"/>
      <c r="C30" s="37">
        <v>3249.69</v>
      </c>
      <c r="D30" s="37">
        <v>2762</v>
      </c>
      <c r="E30" s="37">
        <v>3737</v>
      </c>
      <c r="F30" s="37">
        <v>3249.69</v>
      </c>
      <c r="G30" s="38" t="str">
        <f>IF(AND(B30&gt;0,F30&gt;0),(B30-F30)/F30,"")</f>
        <v/>
      </c>
      <c r="H30" s="39" t="str">
        <f>IF(AND(B30&gt;0,C30&gt;0),ABS(C30-B30)/B30,"")</f>
        <v/>
      </c>
      <c r="I30" s="40">
        <v>0.5</v>
      </c>
      <c r="J30" s="36"/>
      <c r="K30" s="36" t="s">
        <v>64</v>
      </c>
    </row>
    <row r="31" spans="1:11">
      <c r="A31" s="36" t="s">
        <v>71</v>
      </c>
      <c r="B31" s="37"/>
      <c r="C31" s="37">
        <v>3386.22</v>
      </c>
      <c r="D31" s="37">
        <v>2878</v>
      </c>
      <c r="E31" s="37">
        <v>3894</v>
      </c>
      <c r="F31" s="37">
        <v>3386.22</v>
      </c>
      <c r="G31" s="38" t="str">
        <f>IF(AND(B31&gt;0,F31&gt;0),(B31-F31)/F31,"")</f>
        <v/>
      </c>
      <c r="H31" s="39" t="str">
        <f>IF(AND(B31&gt;0,C31&gt;0),ABS(C31-B31)/B31,"")</f>
        <v/>
      </c>
      <c r="I31" s="40">
        <v>0.5</v>
      </c>
      <c r="J31" s="36"/>
      <c r="K31" s="36" t="s">
        <v>64</v>
      </c>
    </row>
    <row r="32" spans="1:11">
      <c r="A32" s="36" t="s">
        <v>72</v>
      </c>
      <c r="B32" s="37"/>
      <c r="C32" s="37">
        <v>1892.24</v>
      </c>
      <c r="D32" s="37">
        <v>1608</v>
      </c>
      <c r="E32" s="37">
        <v>2176</v>
      </c>
      <c r="F32" s="37">
        <v>1892.24</v>
      </c>
      <c r="G32" s="38" t="str">
        <f>IF(AND(B32&gt;0,F32&gt;0),(B32-F32)/F32,"")</f>
        <v/>
      </c>
      <c r="H32" s="39" t="str">
        <f>IF(AND(B32&gt;0,C32&gt;0),ABS(C32-B32)/B32,"")</f>
        <v/>
      </c>
      <c r="I32" s="40">
        <v>0.5</v>
      </c>
      <c r="J32" s="36"/>
      <c r="K32" s="36" t="s">
        <v>64</v>
      </c>
    </row>
    <row r="34" spans="1:14" ht="15.75">
      <c r="A34" s="35" t="s">
        <v>73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</row>
    <row r="35" spans="1:14">
      <c r="A35" s="60" t="s">
        <v>74</v>
      </c>
      <c r="B35" s="60" t="s">
        <v>75</v>
      </c>
      <c r="C35" s="60" t="s">
        <v>44</v>
      </c>
      <c r="D35" s="60" t="s">
        <v>76</v>
      </c>
      <c r="E35" s="60" t="s">
        <v>77</v>
      </c>
      <c r="F35" s="60" t="s">
        <v>45</v>
      </c>
      <c r="G35" s="60" t="s">
        <v>46</v>
      </c>
      <c r="H35" s="60" t="s">
        <v>47</v>
      </c>
      <c r="I35" s="60" t="s">
        <v>50</v>
      </c>
      <c r="J35" s="60" t="s">
        <v>49</v>
      </c>
      <c r="K35" s="60" t="s">
        <v>78</v>
      </c>
      <c r="L35" s="60" t="s">
        <v>18</v>
      </c>
      <c r="M35" s="60" t="s">
        <v>79</v>
      </c>
      <c r="N35" s="60" t="s">
        <v>80</v>
      </c>
    </row>
    <row r="36" spans="1:14">
      <c r="A36" s="41" t="s">
        <v>81</v>
      </c>
      <c r="B36" s="41">
        <v>1</v>
      </c>
      <c r="C36" s="42">
        <v>390</v>
      </c>
      <c r="D36" s="51">
        <v>21415</v>
      </c>
      <c r="E36" s="52">
        <v>54.91</v>
      </c>
      <c r="F36" s="42"/>
      <c r="G36" s="42"/>
      <c r="H36" s="42"/>
      <c r="I36" s="45"/>
      <c r="J36" s="44" t="str">
        <f>IF(AND(C36&gt;0,F36&gt;0),ABS(F36-C36)/C36,"")</f>
        <v/>
      </c>
      <c r="K36" s="41" t="str">
        <f>IF(AND(C36&gt;0,G36&gt;0),IF(AND(C36&gt;=G36,C36&lt;=H36),"✓","✗"),"")</f>
        <v/>
      </c>
      <c r="L36" s="41"/>
      <c r="M36" s="42">
        <v>269</v>
      </c>
      <c r="N36" s="42">
        <v>121</v>
      </c>
    </row>
    <row r="37" spans="1:14">
      <c r="A37" s="46" t="s">
        <v>82</v>
      </c>
      <c r="B37" s="46">
        <v>2</v>
      </c>
      <c r="C37" s="47">
        <v>506</v>
      </c>
      <c r="D37" s="53">
        <v>38433</v>
      </c>
      <c r="E37" s="54">
        <v>75.95</v>
      </c>
      <c r="F37" s="47"/>
      <c r="G37" s="47"/>
      <c r="H37" s="47"/>
      <c r="I37" s="50"/>
      <c r="J37" s="49" t="str">
        <f>IF(AND(C37&gt;0,F37&gt;0),ABS(F37-C37)/C37,"")</f>
        <v/>
      </c>
      <c r="K37" s="46" t="str">
        <f>IF(AND(C37&gt;0,G37&gt;0),IF(AND(C37&gt;=G37,C37&lt;=H37),"✓","✗"),"")</f>
        <v/>
      </c>
      <c r="L37" s="48">
        <f>IF(AND(C37&gt;0,C36&gt;0),(C37-C36)/C36,"")</f>
        <v>0.29743589743589743</v>
      </c>
      <c r="M37" s="47">
        <v>322</v>
      </c>
      <c r="N37" s="47">
        <v>184</v>
      </c>
    </row>
    <row r="38" spans="1:14">
      <c r="A38" s="41" t="s">
        <v>83</v>
      </c>
      <c r="B38" s="41">
        <v>3</v>
      </c>
      <c r="C38" s="42">
        <v>679</v>
      </c>
      <c r="D38" s="51">
        <v>40819</v>
      </c>
      <c r="E38" s="52">
        <v>60.12</v>
      </c>
      <c r="F38" s="42"/>
      <c r="G38" s="42"/>
      <c r="H38" s="42"/>
      <c r="I38" s="45"/>
      <c r="J38" s="44" t="str">
        <f>IF(AND(C38&gt;0,F38&gt;0),ABS(F38-C38)/C38,"")</f>
        <v/>
      </c>
      <c r="K38" s="41" t="str">
        <f>IF(AND(C38&gt;0,G38&gt;0),IF(AND(C38&gt;=G38,C38&lt;=H38),"✓","✗"),"")</f>
        <v/>
      </c>
      <c r="L38" s="43">
        <f>IF(AND(C38&gt;0,C37&gt;0),(C38-C37)/C37,"")</f>
        <v>0.34189723320158105</v>
      </c>
      <c r="M38" s="42">
        <v>454</v>
      </c>
      <c r="N38" s="42">
        <v>225</v>
      </c>
    </row>
    <row r="39" spans="1:14">
      <c r="A39" s="46" t="s">
        <v>84</v>
      </c>
      <c r="B39" s="46">
        <v>4</v>
      </c>
      <c r="C39" s="47">
        <v>665</v>
      </c>
      <c r="D39" s="53">
        <v>32865</v>
      </c>
      <c r="E39" s="54">
        <v>49.42</v>
      </c>
      <c r="F39" s="47"/>
      <c r="G39" s="47"/>
      <c r="H39" s="47"/>
      <c r="I39" s="50"/>
      <c r="J39" s="49" t="str">
        <f>IF(AND(C39&gt;0,F39&gt;0),ABS(F39-C39)/C39,"")</f>
        <v/>
      </c>
      <c r="K39" s="46" t="str">
        <f>IF(AND(C39&gt;0,G39&gt;0),IF(AND(C39&gt;=G39,C39&lt;=H39),"✓","✗"),"")</f>
        <v/>
      </c>
      <c r="L39" s="48">
        <f>IF(AND(C39&gt;0,C38&gt;0),(C39-C38)/C38,"")</f>
        <v>-2.0618556701030927E-2</v>
      </c>
      <c r="M39" s="47">
        <v>439</v>
      </c>
      <c r="N39" s="47">
        <v>226</v>
      </c>
    </row>
    <row r="40" spans="1:14">
      <c r="A40" s="41" t="s">
        <v>85</v>
      </c>
      <c r="B40" s="41">
        <v>5</v>
      </c>
      <c r="C40" s="42">
        <v>676</v>
      </c>
      <c r="D40" s="51">
        <v>32961</v>
      </c>
      <c r="E40" s="52">
        <v>48.76</v>
      </c>
      <c r="F40" s="42"/>
      <c r="G40" s="42"/>
      <c r="H40" s="42"/>
      <c r="I40" s="45"/>
      <c r="J40" s="44" t="str">
        <f>IF(AND(C40&gt;0,F40&gt;0),ABS(F40-C40)/C40,"")</f>
        <v/>
      </c>
      <c r="K40" s="41" t="str">
        <f>IF(AND(C40&gt;0,G40&gt;0),IF(AND(C40&gt;=G40,C40&lt;=H40),"✓","✗"),"")</f>
        <v/>
      </c>
      <c r="L40" s="43">
        <f>IF(AND(C40&gt;0,C39&gt;0),(C40-C39)/C39,"")</f>
        <v>1.6541353383458645E-2</v>
      </c>
      <c r="M40" s="42">
        <v>471</v>
      </c>
      <c r="N40" s="42">
        <v>205</v>
      </c>
    </row>
    <row r="41" spans="1:14">
      <c r="A41" s="46" t="s">
        <v>86</v>
      </c>
      <c r="B41" s="46">
        <v>6</v>
      </c>
      <c r="C41" s="47">
        <v>635</v>
      </c>
      <c r="D41" s="53">
        <v>32606</v>
      </c>
      <c r="E41" s="54">
        <v>51.35</v>
      </c>
      <c r="F41" s="47"/>
      <c r="G41" s="47"/>
      <c r="H41" s="47"/>
      <c r="I41" s="50"/>
      <c r="J41" s="49" t="str">
        <f>IF(AND(C41&gt;0,F41&gt;0),ABS(F41-C41)/C41,"")</f>
        <v/>
      </c>
      <c r="K41" s="46" t="str">
        <f>IF(AND(C41&gt;0,G41&gt;0),IF(AND(C41&gt;=G41,C41&lt;=H41),"✓","✗"),"")</f>
        <v/>
      </c>
      <c r="L41" s="48">
        <f>IF(AND(C41&gt;0,C40&gt;0),(C41-C40)/C40,"")</f>
        <v>-6.0650887573964495E-2</v>
      </c>
      <c r="M41" s="47">
        <v>410</v>
      </c>
      <c r="N41" s="47">
        <v>225</v>
      </c>
    </row>
    <row r="42" spans="1:14">
      <c r="A42" s="41" t="s">
        <v>87</v>
      </c>
      <c r="B42" s="41">
        <v>7</v>
      </c>
      <c r="C42" s="42">
        <v>646</v>
      </c>
      <c r="D42" s="51">
        <v>35380</v>
      </c>
      <c r="E42" s="52">
        <v>54.77</v>
      </c>
      <c r="F42" s="42"/>
      <c r="G42" s="42"/>
      <c r="H42" s="42"/>
      <c r="I42" s="45"/>
      <c r="J42" s="44" t="str">
        <f>IF(AND(C42&gt;0,F42&gt;0),ABS(F42-C42)/C42,"")</f>
        <v/>
      </c>
      <c r="K42" s="41" t="str">
        <f>IF(AND(C42&gt;0,G42&gt;0),IF(AND(C42&gt;=G42,C42&lt;=H42),"✓","✗"),"")</f>
        <v/>
      </c>
      <c r="L42" s="43">
        <f>IF(AND(C42&gt;0,C41&gt;0),(C42-C41)/C41,"")</f>
        <v>1.7322834645669291E-2</v>
      </c>
      <c r="M42" s="42">
        <v>403</v>
      </c>
      <c r="N42" s="42">
        <v>243</v>
      </c>
    </row>
    <row r="43" spans="1:14">
      <c r="A43" s="46" t="s">
        <v>88</v>
      </c>
      <c r="B43" s="46">
        <v>8</v>
      </c>
      <c r="C43" s="47">
        <v>622</v>
      </c>
      <c r="D43" s="53">
        <v>37174</v>
      </c>
      <c r="E43" s="54">
        <v>59.77</v>
      </c>
      <c r="F43" s="47"/>
      <c r="G43" s="47"/>
      <c r="H43" s="47"/>
      <c r="I43" s="50"/>
      <c r="J43" s="49" t="str">
        <f>IF(AND(C43&gt;0,F43&gt;0),ABS(F43-C43)/C43,"")</f>
        <v/>
      </c>
      <c r="K43" s="46" t="str">
        <f>IF(AND(C43&gt;0,G43&gt;0),IF(AND(C43&gt;=G43,C43&lt;=H43),"✓","✗"),"")</f>
        <v/>
      </c>
      <c r="L43" s="48">
        <f>IF(AND(C43&gt;0,C42&gt;0),(C43-C42)/C42,"")</f>
        <v>-3.7151702786377708E-2</v>
      </c>
      <c r="M43" s="47">
        <v>409</v>
      </c>
      <c r="N43" s="47">
        <v>213</v>
      </c>
    </row>
    <row r="44" spans="1:14">
      <c r="A44" s="41" t="s">
        <v>89</v>
      </c>
      <c r="B44" s="41">
        <v>9</v>
      </c>
      <c r="C44" s="42">
        <v>639</v>
      </c>
      <c r="D44" s="51">
        <v>40504</v>
      </c>
      <c r="E44" s="52">
        <v>63.39</v>
      </c>
      <c r="F44" s="42"/>
      <c r="G44" s="42"/>
      <c r="H44" s="42"/>
      <c r="I44" s="45"/>
      <c r="J44" s="44" t="str">
        <f>IF(AND(C44&gt;0,F44&gt;0),ABS(F44-C44)/C44,"")</f>
        <v/>
      </c>
      <c r="K44" s="41" t="str">
        <f>IF(AND(C44&gt;0,G44&gt;0),IF(AND(C44&gt;=G44,C44&lt;=H44),"✓","✗"),"")</f>
        <v/>
      </c>
      <c r="L44" s="43">
        <f>IF(AND(C44&gt;0,C43&gt;0),(C44-C43)/C43,"")</f>
        <v>2.7331189710610933E-2</v>
      </c>
      <c r="M44" s="42">
        <v>394</v>
      </c>
      <c r="N44" s="42">
        <v>245</v>
      </c>
    </row>
    <row r="45" spans="1:14">
      <c r="A45" s="46" t="s">
        <v>90</v>
      </c>
      <c r="B45" s="46">
        <v>10</v>
      </c>
      <c r="C45" s="47">
        <v>634</v>
      </c>
      <c r="D45" s="53">
        <v>43563</v>
      </c>
      <c r="E45" s="54">
        <v>68.709999999999994</v>
      </c>
      <c r="F45" s="47"/>
      <c r="G45" s="47"/>
      <c r="H45" s="47"/>
      <c r="I45" s="50"/>
      <c r="J45" s="49" t="str">
        <f>IF(AND(C45&gt;0,F45&gt;0),ABS(F45-C45)/C45,"")</f>
        <v/>
      </c>
      <c r="K45" s="46" t="str">
        <f>IF(AND(C45&gt;0,G45&gt;0),IF(AND(C45&gt;=G45,C45&lt;=H45),"✓","✗"),"")</f>
        <v/>
      </c>
      <c r="L45" s="48">
        <f>IF(AND(C45&gt;0,C44&gt;0),(C45-C44)/C44,"")</f>
        <v>-7.8247261345852897E-3</v>
      </c>
      <c r="M45" s="47">
        <v>382</v>
      </c>
      <c r="N45" s="47">
        <v>252</v>
      </c>
    </row>
    <row r="46" spans="1:14">
      <c r="A46" s="41" t="s">
        <v>91</v>
      </c>
      <c r="B46" s="41">
        <v>11</v>
      </c>
      <c r="C46" s="42">
        <v>711</v>
      </c>
      <c r="D46" s="51">
        <v>40265</v>
      </c>
      <c r="E46" s="52">
        <v>56.63</v>
      </c>
      <c r="F46" s="42"/>
      <c r="G46" s="42"/>
      <c r="H46" s="42"/>
      <c r="I46" s="45"/>
      <c r="J46" s="44" t="str">
        <f>IF(AND(C46&gt;0,F46&gt;0),ABS(F46-C46)/C46,"")</f>
        <v/>
      </c>
      <c r="K46" s="41" t="str">
        <f>IF(AND(C46&gt;0,G46&gt;0),IF(AND(C46&gt;=G46,C46&lt;=H46),"✓","✗"),"")</f>
        <v/>
      </c>
      <c r="L46" s="43">
        <f>IF(AND(C46&gt;0,C45&gt;0),(C46-C45)/C45,"")</f>
        <v>0.12145110410094637</v>
      </c>
      <c r="M46" s="42">
        <v>436</v>
      </c>
      <c r="N46" s="42">
        <v>275</v>
      </c>
    </row>
    <row r="47" spans="1:14">
      <c r="A47" s="46" t="s">
        <v>92</v>
      </c>
      <c r="B47" s="46">
        <v>12</v>
      </c>
      <c r="C47" s="47">
        <v>641</v>
      </c>
      <c r="D47" s="53">
        <v>32664</v>
      </c>
      <c r="E47" s="54">
        <v>50.96</v>
      </c>
      <c r="F47" s="47"/>
      <c r="G47" s="47"/>
      <c r="H47" s="47"/>
      <c r="I47" s="50"/>
      <c r="J47" s="49" t="str">
        <f>IF(AND(C47&gt;0,F47&gt;0),ABS(F47-C47)/C47,"")</f>
        <v/>
      </c>
      <c r="K47" s="46" t="str">
        <f>IF(AND(C47&gt;0,G47&gt;0),IF(AND(C47&gt;=G47,C47&lt;=H47),"✓","✗"),"")</f>
        <v/>
      </c>
      <c r="L47" s="48">
        <f>IF(AND(C47&gt;0,C46&gt;0),(C47-C46)/C46,"")</f>
        <v>-9.8452883263009841E-2</v>
      </c>
      <c r="M47" s="47">
        <v>392</v>
      </c>
      <c r="N47" s="47">
        <v>249</v>
      </c>
    </row>
    <row r="48" spans="1:14">
      <c r="A48" s="41" t="s">
        <v>93</v>
      </c>
      <c r="B48" s="41">
        <v>13</v>
      </c>
      <c r="C48" s="42">
        <v>631</v>
      </c>
      <c r="D48" s="51">
        <v>38165</v>
      </c>
      <c r="E48" s="52">
        <v>60.48</v>
      </c>
      <c r="F48" s="42"/>
      <c r="G48" s="42"/>
      <c r="H48" s="42"/>
      <c r="I48" s="45"/>
      <c r="J48" s="44" t="str">
        <f>IF(AND(C48&gt;0,F48&gt;0),ABS(F48-C48)/C48,"")</f>
        <v/>
      </c>
      <c r="K48" s="41" t="str">
        <f>IF(AND(C48&gt;0,G48&gt;0),IF(AND(C48&gt;=G48,C48&lt;=H48),"✓","✗"),"")</f>
        <v/>
      </c>
      <c r="L48" s="43">
        <f>IF(AND(C48&gt;0,C47&gt;0),(C48-C47)/C47,"")</f>
        <v>-1.5600624024960999E-2</v>
      </c>
      <c r="M48" s="42">
        <v>354</v>
      </c>
      <c r="N48" s="42">
        <v>277</v>
      </c>
    </row>
    <row r="49" spans="1:14">
      <c r="A49" s="46" t="s">
        <v>94</v>
      </c>
      <c r="B49" s="46">
        <v>14</v>
      </c>
      <c r="C49" s="47">
        <v>474</v>
      </c>
      <c r="D49" s="53">
        <v>30251</v>
      </c>
      <c r="E49" s="54">
        <v>63.82</v>
      </c>
      <c r="F49" s="47"/>
      <c r="G49" s="47"/>
      <c r="H49" s="47"/>
      <c r="I49" s="50"/>
      <c r="J49" s="49" t="str">
        <f>IF(AND(C49&gt;0,F49&gt;0),ABS(F49-C49)/C49,"")</f>
        <v/>
      </c>
      <c r="K49" s="46" t="str">
        <f>IF(AND(C49&gt;0,G49&gt;0),IF(AND(C49&gt;=G49,C49&lt;=H49),"✓","✗"),"")</f>
        <v/>
      </c>
      <c r="L49" s="48">
        <f>IF(AND(C49&gt;0,C48&gt;0),(C49-C48)/C48,"")</f>
        <v>-0.24881141045958796</v>
      </c>
      <c r="M49" s="47">
        <v>285</v>
      </c>
      <c r="N49" s="47">
        <v>189</v>
      </c>
    </row>
    <row r="50" spans="1:14">
      <c r="A50" s="41" t="s">
        <v>95</v>
      </c>
      <c r="B50" s="41">
        <v>15</v>
      </c>
      <c r="C50" s="42">
        <v>599</v>
      </c>
      <c r="D50" s="51">
        <v>40315</v>
      </c>
      <c r="E50" s="52">
        <v>67.3</v>
      </c>
      <c r="F50" s="42"/>
      <c r="G50" s="42"/>
      <c r="H50" s="42"/>
      <c r="I50" s="45"/>
      <c r="J50" s="44" t="str">
        <f>IF(AND(C50&gt;0,F50&gt;0),ABS(F50-C50)/C50,"")</f>
        <v/>
      </c>
      <c r="K50" s="41" t="str">
        <f>IF(AND(C50&gt;0,G50&gt;0),IF(AND(C50&gt;=G50,C50&lt;=H50),"✓","✗"),"")</f>
        <v/>
      </c>
      <c r="L50" s="43">
        <f>IF(AND(C50&gt;0,C49&gt;0),(C50-C49)/C49,"")</f>
        <v>0.26371308016877637</v>
      </c>
      <c r="M50" s="42">
        <v>356</v>
      </c>
      <c r="N50" s="42">
        <v>243</v>
      </c>
    </row>
    <row r="51" spans="1:14">
      <c r="A51" s="36" t="s">
        <v>96</v>
      </c>
      <c r="B51" s="36">
        <v>16</v>
      </c>
      <c r="C51" s="36"/>
      <c r="D51" s="36"/>
      <c r="E51" s="36"/>
      <c r="F51" s="37">
        <v>491</v>
      </c>
      <c r="G51" s="37">
        <v>393</v>
      </c>
      <c r="H51" s="37">
        <v>589</v>
      </c>
      <c r="I51" s="40">
        <v>0.4</v>
      </c>
      <c r="J51" s="39" t="str">
        <f>IF(AND(C51&gt;0,F51&gt;0),ABS(F51-C51)/C51,"")</f>
        <v/>
      </c>
      <c r="K51" s="36" t="str">
        <f>IF(AND(C51&gt;0,G51&gt;0),IF(AND(C51&gt;=G51,C51&lt;=H51),"✓","✗"),"")</f>
        <v/>
      </c>
      <c r="L51" s="38" t="str">
        <f>IF(AND(C51&gt;0,C50&gt;0),(C51-C50)/C50,"")</f>
        <v/>
      </c>
      <c r="M51" s="36"/>
      <c r="N51" s="36"/>
    </row>
    <row r="52" spans="1:14">
      <c r="A52" s="36" t="s">
        <v>97</v>
      </c>
      <c r="B52" s="36">
        <v>17</v>
      </c>
      <c r="C52" s="36"/>
      <c r="D52" s="36"/>
      <c r="E52" s="36"/>
      <c r="F52" s="37">
        <v>491</v>
      </c>
      <c r="G52" s="37">
        <v>393</v>
      </c>
      <c r="H52" s="37">
        <v>589</v>
      </c>
      <c r="I52" s="40">
        <v>0.4</v>
      </c>
      <c r="J52" s="39" t="str">
        <f>IF(AND(C52&gt;0,F52&gt;0),ABS(F52-C52)/C52,"")</f>
        <v/>
      </c>
      <c r="K52" s="36" t="str">
        <f>IF(AND(C52&gt;0,G52&gt;0),IF(AND(C52&gt;=G52,C52&lt;=H52),"✓","✗"),"")</f>
        <v/>
      </c>
      <c r="L52" s="38" t="str">
        <f>IF(AND(C52&gt;0,C51&gt;0),(C52-C51)/C51,"")</f>
        <v/>
      </c>
      <c r="M52" s="36"/>
      <c r="N52" s="36"/>
    </row>
    <row r="53" spans="1:14">
      <c r="A53" s="36" t="s">
        <v>98</v>
      </c>
      <c r="B53" s="36">
        <v>18</v>
      </c>
      <c r="C53" s="36"/>
      <c r="D53" s="36"/>
      <c r="E53" s="36"/>
      <c r="F53" s="37">
        <v>469</v>
      </c>
      <c r="G53" s="37">
        <v>375</v>
      </c>
      <c r="H53" s="37">
        <v>563</v>
      </c>
      <c r="I53" s="40">
        <v>0.4</v>
      </c>
      <c r="J53" s="39" t="str">
        <f>IF(AND(C53&gt;0,F53&gt;0),ABS(F53-C53)/C53,"")</f>
        <v/>
      </c>
      <c r="K53" s="36" t="str">
        <f>IF(AND(C53&gt;0,G53&gt;0),IF(AND(C53&gt;=G53,C53&lt;=H53),"✓","✗"),"")</f>
        <v/>
      </c>
      <c r="L53" s="38" t="str">
        <f>IF(AND(C53&gt;0,C52&gt;0),(C53-C52)/C52,"")</f>
        <v/>
      </c>
      <c r="M53" s="36"/>
      <c r="N53" s="36"/>
    </row>
    <row r="54" spans="1:14">
      <c r="A54" s="36" t="s">
        <v>99</v>
      </c>
      <c r="B54" s="36">
        <v>19</v>
      </c>
      <c r="C54" s="36"/>
      <c r="D54" s="36"/>
      <c r="E54" s="36"/>
      <c r="F54" s="37">
        <v>469</v>
      </c>
      <c r="G54" s="37">
        <v>375</v>
      </c>
      <c r="H54" s="37">
        <v>563</v>
      </c>
      <c r="I54" s="40">
        <v>0.4</v>
      </c>
      <c r="J54" s="39" t="str">
        <f>IF(AND(C54&gt;0,F54&gt;0),ABS(F54-C54)/C54,"")</f>
        <v/>
      </c>
      <c r="K54" s="36" t="str">
        <f>IF(AND(C54&gt;0,G54&gt;0),IF(AND(C54&gt;=G54,C54&lt;=H54),"✓","✗"),"")</f>
        <v/>
      </c>
      <c r="L54" s="38" t="str">
        <f>IF(AND(C54&gt;0,C53&gt;0),(C54-C53)/C53,"")</f>
        <v/>
      </c>
      <c r="M54" s="36"/>
      <c r="N54" s="36"/>
    </row>
    <row r="55" spans="1:14">
      <c r="A55" s="36" t="s">
        <v>100</v>
      </c>
      <c r="B55" s="36">
        <v>20</v>
      </c>
      <c r="C55" s="36"/>
      <c r="D55" s="36"/>
      <c r="E55" s="36"/>
      <c r="F55" s="37">
        <v>469</v>
      </c>
      <c r="G55" s="37">
        <v>375</v>
      </c>
      <c r="H55" s="37">
        <v>563</v>
      </c>
      <c r="I55" s="40">
        <v>0.4</v>
      </c>
      <c r="J55" s="39" t="str">
        <f>IF(AND(C55&gt;0,F55&gt;0),ABS(F55-C55)/C55,"")</f>
        <v/>
      </c>
      <c r="K55" s="36" t="str">
        <f>IF(AND(C55&gt;0,G55&gt;0),IF(AND(C55&gt;=G55,C55&lt;=H55),"✓","✗"),"")</f>
        <v/>
      </c>
      <c r="L55" s="38" t="str">
        <f>IF(AND(C55&gt;0,C54&gt;0),(C55-C54)/C54,"")</f>
        <v/>
      </c>
      <c r="M55" s="36"/>
      <c r="N55" s="36"/>
    </row>
    <row r="56" spans="1:14">
      <c r="A56" s="36" t="s">
        <v>101</v>
      </c>
      <c r="B56" s="36">
        <v>21</v>
      </c>
      <c r="C56" s="36"/>
      <c r="D56" s="36"/>
      <c r="E56" s="36"/>
      <c r="F56" s="37">
        <v>469</v>
      </c>
      <c r="G56" s="37">
        <v>375</v>
      </c>
      <c r="H56" s="37">
        <v>563</v>
      </c>
      <c r="I56" s="40">
        <v>0.4</v>
      </c>
      <c r="J56" s="39" t="str">
        <f>IF(AND(C56&gt;0,F56&gt;0),ABS(F56-C56)/C56,"")</f>
        <v/>
      </c>
      <c r="K56" s="36" t="str">
        <f>IF(AND(C56&gt;0,G56&gt;0),IF(AND(C56&gt;=G56,C56&lt;=H56),"✓","✗"),"")</f>
        <v/>
      </c>
      <c r="L56" s="38" t="str">
        <f>IF(AND(C56&gt;0,C55&gt;0),(C56-C55)/C55,"")</f>
        <v/>
      </c>
      <c r="M56" s="36"/>
      <c r="N56" s="36"/>
    </row>
    <row r="57" spans="1:14">
      <c r="A57" s="36" t="s">
        <v>102</v>
      </c>
      <c r="B57" s="36">
        <v>22</v>
      </c>
      <c r="C57" s="36"/>
      <c r="D57" s="36"/>
      <c r="E57" s="36"/>
      <c r="F57" s="37">
        <v>469</v>
      </c>
      <c r="G57" s="37">
        <v>375</v>
      </c>
      <c r="H57" s="37">
        <v>563</v>
      </c>
      <c r="I57" s="40">
        <v>0.4</v>
      </c>
      <c r="J57" s="39" t="str">
        <f>IF(AND(C57&gt;0,F57&gt;0),ABS(F57-C57)/C57,"")</f>
        <v/>
      </c>
      <c r="K57" s="36" t="str">
        <f>IF(AND(C57&gt;0,G57&gt;0),IF(AND(C57&gt;=G57,C57&lt;=H57),"✓","✗"),"")</f>
        <v/>
      </c>
      <c r="L57" s="38" t="str">
        <f>IF(AND(C57&gt;0,C56&gt;0),(C57-C56)/C56,"")</f>
        <v/>
      </c>
      <c r="M57" s="36"/>
      <c r="N57" s="36"/>
    </row>
    <row r="58" spans="1:14">
      <c r="A58" s="36" t="s">
        <v>103</v>
      </c>
      <c r="B58" s="36">
        <v>23</v>
      </c>
      <c r="C58" s="36"/>
      <c r="D58" s="36"/>
      <c r="E58" s="36"/>
      <c r="F58" s="37">
        <v>615</v>
      </c>
      <c r="G58" s="37">
        <v>492</v>
      </c>
      <c r="H58" s="37">
        <v>738</v>
      </c>
      <c r="I58" s="40">
        <v>0.4</v>
      </c>
      <c r="J58" s="39" t="str">
        <f>IF(AND(C58&gt;0,F58&gt;0),ABS(F58-C58)/C58,"")</f>
        <v/>
      </c>
      <c r="K58" s="36" t="str">
        <f>IF(AND(C58&gt;0,G58&gt;0),IF(AND(C58&gt;=G58,C58&lt;=H58),"✓","✗"),"")</f>
        <v/>
      </c>
      <c r="L58" s="38" t="str">
        <f>IF(AND(C58&gt;0,C57&gt;0),(C58-C57)/C57,"")</f>
        <v/>
      </c>
      <c r="M58" s="36"/>
      <c r="N58" s="36"/>
    </row>
    <row r="59" spans="1:14">
      <c r="A59" s="36" t="s">
        <v>104</v>
      </c>
      <c r="B59" s="36">
        <v>24</v>
      </c>
      <c r="C59" s="36"/>
      <c r="D59" s="36"/>
      <c r="E59" s="36"/>
      <c r="F59" s="37">
        <v>615</v>
      </c>
      <c r="G59" s="37">
        <v>492</v>
      </c>
      <c r="H59" s="37">
        <v>738</v>
      </c>
      <c r="I59" s="40">
        <v>0.4</v>
      </c>
      <c r="J59" s="39" t="str">
        <f>IF(AND(C59&gt;0,F59&gt;0),ABS(F59-C59)/C59,"")</f>
        <v/>
      </c>
      <c r="K59" s="36" t="str">
        <f>IF(AND(C59&gt;0,G59&gt;0),IF(AND(C59&gt;=G59,C59&lt;=H59),"✓","✗"),"")</f>
        <v/>
      </c>
      <c r="L59" s="38" t="str">
        <f>IF(AND(C59&gt;0,C58&gt;0),(C59-C58)/C58,"")</f>
        <v/>
      </c>
      <c r="M59" s="36"/>
      <c r="N59" s="36"/>
    </row>
    <row r="60" spans="1:14">
      <c r="A60" s="36" t="s">
        <v>105</v>
      </c>
      <c r="B60" s="36">
        <v>25</v>
      </c>
      <c r="C60" s="36"/>
      <c r="D60" s="36"/>
      <c r="E60" s="36"/>
      <c r="F60" s="37">
        <v>615</v>
      </c>
      <c r="G60" s="37">
        <v>492</v>
      </c>
      <c r="H60" s="37">
        <v>738</v>
      </c>
      <c r="I60" s="40">
        <v>0.4</v>
      </c>
      <c r="J60" s="39" t="str">
        <f>IF(AND(C60&gt;0,F60&gt;0),ABS(F60-C60)/C60,"")</f>
        <v/>
      </c>
      <c r="K60" s="36" t="str">
        <f>IF(AND(C60&gt;0,G60&gt;0),IF(AND(C60&gt;=G60,C60&lt;=H60),"✓","✗"),"")</f>
        <v/>
      </c>
      <c r="L60" s="38" t="str">
        <f>IF(AND(C60&gt;0,C59&gt;0),(C60-C59)/C59,"")</f>
        <v/>
      </c>
      <c r="M60" s="36"/>
      <c r="N60" s="36"/>
    </row>
    <row r="61" spans="1:14">
      <c r="A61" s="36" t="s">
        <v>106</v>
      </c>
      <c r="B61" s="36">
        <v>26</v>
      </c>
      <c r="C61" s="36"/>
      <c r="D61" s="36"/>
      <c r="E61" s="36"/>
      <c r="F61" s="37">
        <v>615</v>
      </c>
      <c r="G61" s="37">
        <v>492</v>
      </c>
      <c r="H61" s="37">
        <v>738</v>
      </c>
      <c r="I61" s="40">
        <v>0.4</v>
      </c>
      <c r="J61" s="39" t="str">
        <f>IF(AND(C61&gt;0,F61&gt;0),ABS(F61-C61)/C61,"")</f>
        <v/>
      </c>
      <c r="K61" s="36" t="str">
        <f>IF(AND(C61&gt;0,G61&gt;0),IF(AND(C61&gt;=G61,C61&lt;=H61),"✓","✗"),"")</f>
        <v/>
      </c>
      <c r="L61" s="38" t="str">
        <f>IF(AND(C61&gt;0,C60&gt;0),(C61-C60)/C60,"")</f>
        <v/>
      </c>
      <c r="M61" s="36"/>
      <c r="N61" s="36"/>
    </row>
    <row r="62" spans="1:14">
      <c r="A62" s="36" t="s">
        <v>107</v>
      </c>
      <c r="B62" s="36">
        <v>27</v>
      </c>
      <c r="C62" s="36"/>
      <c r="D62" s="36"/>
      <c r="E62" s="36"/>
      <c r="F62" s="37">
        <v>524</v>
      </c>
      <c r="G62" s="37">
        <v>419</v>
      </c>
      <c r="H62" s="37">
        <v>629</v>
      </c>
      <c r="I62" s="40">
        <v>0.4</v>
      </c>
      <c r="J62" s="39" t="str">
        <f>IF(AND(C62&gt;0,F62&gt;0),ABS(F62-C62)/C62,"")</f>
        <v/>
      </c>
      <c r="K62" s="36" t="str">
        <f>IF(AND(C62&gt;0,G62&gt;0),IF(AND(C62&gt;=G62,C62&lt;=H62),"✓","✗"),"")</f>
        <v/>
      </c>
      <c r="L62" s="38" t="str">
        <f>IF(AND(C62&gt;0,C61&gt;0),(C62-C61)/C61,"")</f>
        <v/>
      </c>
      <c r="M62" s="36"/>
      <c r="N62" s="36"/>
    </row>
    <row r="63" spans="1:14">
      <c r="A63" s="36" t="s">
        <v>108</v>
      </c>
      <c r="B63" s="36">
        <v>28</v>
      </c>
      <c r="C63" s="36"/>
      <c r="D63" s="36"/>
      <c r="E63" s="36"/>
      <c r="F63" s="37">
        <v>524</v>
      </c>
      <c r="G63" s="37">
        <v>419</v>
      </c>
      <c r="H63" s="37">
        <v>629</v>
      </c>
      <c r="I63" s="40">
        <v>0.4</v>
      </c>
      <c r="J63" s="39" t="str">
        <f>IF(AND(C63&gt;0,F63&gt;0),ABS(F63-C63)/C63,"")</f>
        <v/>
      </c>
      <c r="K63" s="36" t="str">
        <f>IF(AND(C63&gt;0,G63&gt;0),IF(AND(C63&gt;=G63,C63&lt;=H63),"✓","✗"),"")</f>
        <v/>
      </c>
      <c r="L63" s="38" t="str">
        <f>IF(AND(C63&gt;0,C62&gt;0),(C63-C62)/C62,"")</f>
        <v/>
      </c>
      <c r="M63" s="36"/>
      <c r="N63" s="36"/>
    </row>
    <row r="64" spans="1:14">
      <c r="A64" s="36" t="s">
        <v>109</v>
      </c>
      <c r="B64" s="36">
        <v>29</v>
      </c>
      <c r="C64" s="36"/>
      <c r="D64" s="36"/>
      <c r="E64" s="36"/>
      <c r="F64" s="37">
        <v>524</v>
      </c>
      <c r="G64" s="37">
        <v>419</v>
      </c>
      <c r="H64" s="37">
        <v>629</v>
      </c>
      <c r="I64" s="40">
        <v>0.4</v>
      </c>
      <c r="J64" s="39" t="str">
        <f>IF(AND(C64&gt;0,F64&gt;0),ABS(F64-C64)/C64,"")</f>
        <v/>
      </c>
      <c r="K64" s="36" t="str">
        <f>IF(AND(C64&gt;0,G64&gt;0),IF(AND(C64&gt;=G64,C64&lt;=H64),"✓","✗"),"")</f>
        <v/>
      </c>
      <c r="L64" s="38" t="str">
        <f>IF(AND(C64&gt;0,C63&gt;0),(C64-C63)/C63,"")</f>
        <v/>
      </c>
      <c r="M64" s="36"/>
      <c r="N64" s="36"/>
    </row>
    <row r="65" spans="1:14">
      <c r="A65" s="36" t="s">
        <v>110</v>
      </c>
      <c r="B65" s="36">
        <v>30</v>
      </c>
      <c r="C65" s="36"/>
      <c r="D65" s="36"/>
      <c r="E65" s="36"/>
      <c r="F65" s="37">
        <v>524</v>
      </c>
      <c r="G65" s="37">
        <v>419</v>
      </c>
      <c r="H65" s="37">
        <v>629</v>
      </c>
      <c r="I65" s="40">
        <v>0.4</v>
      </c>
      <c r="J65" s="39" t="str">
        <f>IF(AND(C65&gt;0,F65&gt;0),ABS(F65-C65)/C65,"")</f>
        <v/>
      </c>
      <c r="K65" s="36" t="str">
        <f>IF(AND(C65&gt;0,G65&gt;0),IF(AND(C65&gt;=G65,C65&lt;=H65),"✓","✗"),"")</f>
        <v/>
      </c>
      <c r="L65" s="38" t="str">
        <f>IF(AND(C65&gt;0,C64&gt;0),(C65-C64)/C64,"")</f>
        <v/>
      </c>
      <c r="M65" s="36"/>
      <c r="N65" s="36"/>
    </row>
    <row r="66" spans="1:14">
      <c r="A66" s="36" t="s">
        <v>111</v>
      </c>
      <c r="B66" s="36">
        <v>31</v>
      </c>
      <c r="C66" s="36"/>
      <c r="D66" s="36"/>
      <c r="E66" s="36"/>
      <c r="F66" s="37">
        <v>524</v>
      </c>
      <c r="G66" s="37">
        <v>419</v>
      </c>
      <c r="H66" s="37">
        <v>629</v>
      </c>
      <c r="I66" s="40">
        <v>0.4</v>
      </c>
      <c r="J66" s="39" t="str">
        <f>IF(AND(C66&gt;0,F66&gt;0),ABS(F66-C66)/C66,"")</f>
        <v/>
      </c>
      <c r="K66" s="36" t="str">
        <f>IF(AND(C66&gt;0,G66&gt;0),IF(AND(C66&gt;=G66,C66&lt;=H66),"✓","✗"),"")</f>
        <v/>
      </c>
      <c r="L66" s="38" t="str">
        <f>IF(AND(C66&gt;0,C65&gt;0),(C66-C65)/C65,"")</f>
        <v/>
      </c>
      <c r="M66" s="36"/>
      <c r="N66" s="36"/>
    </row>
    <row r="67" spans="1:14">
      <c r="A67" s="36" t="s">
        <v>112</v>
      </c>
      <c r="B67" s="36">
        <v>32</v>
      </c>
      <c r="C67" s="36"/>
      <c r="D67" s="36"/>
      <c r="E67" s="36"/>
      <c r="F67" s="37">
        <v>474</v>
      </c>
      <c r="G67" s="37">
        <v>379</v>
      </c>
      <c r="H67" s="37">
        <v>569</v>
      </c>
      <c r="I67" s="40">
        <v>0.4</v>
      </c>
      <c r="J67" s="39" t="str">
        <f>IF(AND(C67&gt;0,F67&gt;0),ABS(F67-C67)/C67,"")</f>
        <v/>
      </c>
      <c r="K67" s="36" t="str">
        <f>IF(AND(C67&gt;0,G67&gt;0),IF(AND(C67&gt;=G67,C67&lt;=H67),"✓","✗"),"")</f>
        <v/>
      </c>
      <c r="L67" s="38" t="str">
        <f>IF(AND(C67&gt;0,C66&gt;0),(C67-C66)/C66,"")</f>
        <v/>
      </c>
      <c r="M67" s="36"/>
      <c r="N67" s="36"/>
    </row>
    <row r="68" spans="1:14">
      <c r="A68" s="36" t="s">
        <v>113</v>
      </c>
      <c r="B68" s="36">
        <v>33</v>
      </c>
      <c r="C68" s="36"/>
      <c r="D68" s="36"/>
      <c r="E68" s="36"/>
      <c r="F68" s="37">
        <v>474</v>
      </c>
      <c r="G68" s="37">
        <v>379</v>
      </c>
      <c r="H68" s="37">
        <v>569</v>
      </c>
      <c r="I68" s="40">
        <v>0.4</v>
      </c>
      <c r="J68" s="39" t="str">
        <f>IF(AND(C68&gt;0,F68&gt;0),ABS(F68-C68)/C68,"")</f>
        <v/>
      </c>
      <c r="K68" s="36" t="str">
        <f>IF(AND(C68&gt;0,G68&gt;0),IF(AND(C68&gt;=G68,C68&lt;=H68),"✓","✗"),"")</f>
        <v/>
      </c>
      <c r="L68" s="38" t="str">
        <f>IF(AND(C68&gt;0,C67&gt;0),(C68-C67)/C67,"")</f>
        <v/>
      </c>
      <c r="M68" s="36"/>
      <c r="N68" s="36"/>
    </row>
    <row r="69" spans="1:14">
      <c r="A69" s="36" t="s">
        <v>114</v>
      </c>
      <c r="B69" s="36">
        <v>34</v>
      </c>
      <c r="C69" s="36"/>
      <c r="D69" s="36"/>
      <c r="E69" s="36"/>
      <c r="F69" s="37">
        <v>474</v>
      </c>
      <c r="G69" s="37">
        <v>379</v>
      </c>
      <c r="H69" s="37">
        <v>569</v>
      </c>
      <c r="I69" s="40">
        <v>0.4</v>
      </c>
      <c r="J69" s="39" t="str">
        <f>IF(AND(C69&gt;0,F69&gt;0),ABS(F69-C69)/C69,"")</f>
        <v/>
      </c>
      <c r="K69" s="36" t="str">
        <f>IF(AND(C69&gt;0,G69&gt;0),IF(AND(C69&gt;=G69,C69&lt;=H69),"✓","✗"),"")</f>
        <v/>
      </c>
      <c r="L69" s="38" t="str">
        <f>IF(AND(C69&gt;0,C68&gt;0),(C69-C68)/C68,"")</f>
        <v/>
      </c>
      <c r="M69" s="36"/>
      <c r="N69" s="36"/>
    </row>
    <row r="70" spans="1:14">
      <c r="A70" s="36" t="s">
        <v>115</v>
      </c>
      <c r="B70" s="36">
        <v>35</v>
      </c>
      <c r="C70" s="36"/>
      <c r="D70" s="36"/>
      <c r="E70" s="36"/>
      <c r="F70" s="37">
        <v>474</v>
      </c>
      <c r="G70" s="37">
        <v>379</v>
      </c>
      <c r="H70" s="37">
        <v>569</v>
      </c>
      <c r="I70" s="40">
        <v>0.4</v>
      </c>
      <c r="J70" s="39" t="str">
        <f>IF(AND(C70&gt;0,F70&gt;0),ABS(F70-C70)/C70,"")</f>
        <v/>
      </c>
      <c r="K70" s="36" t="str">
        <f>IF(AND(C70&gt;0,G70&gt;0),IF(AND(C70&gt;=G70,C70&lt;=H70),"✓","✗"),"")</f>
        <v/>
      </c>
      <c r="L70" s="38" t="str">
        <f>IF(AND(C70&gt;0,C69&gt;0),(C70-C69)/C69,"")</f>
        <v/>
      </c>
      <c r="M70" s="36"/>
      <c r="N70" s="36"/>
    </row>
    <row r="71" spans="1:14">
      <c r="A71" s="36" t="s">
        <v>116</v>
      </c>
      <c r="B71" s="36">
        <v>36</v>
      </c>
      <c r="C71" s="36"/>
      <c r="D71" s="36"/>
      <c r="E71" s="36"/>
      <c r="F71" s="37">
        <v>715</v>
      </c>
      <c r="G71" s="37">
        <v>572</v>
      </c>
      <c r="H71" s="37">
        <v>858</v>
      </c>
      <c r="I71" s="40">
        <v>0.4</v>
      </c>
      <c r="J71" s="39" t="str">
        <f>IF(AND(C71&gt;0,F71&gt;0),ABS(F71-C71)/C71,"")</f>
        <v/>
      </c>
      <c r="K71" s="36" t="str">
        <f>IF(AND(C71&gt;0,G71&gt;0),IF(AND(C71&gt;=G71,C71&lt;=H71),"✓","✗"),"")</f>
        <v/>
      </c>
      <c r="L71" s="38" t="str">
        <f>IF(AND(C71&gt;0,C70&gt;0),(C71-C70)/C70,"")</f>
        <v/>
      </c>
      <c r="M71" s="36"/>
      <c r="N71" s="36"/>
    </row>
    <row r="72" spans="1:14">
      <c r="A72" s="36" t="s">
        <v>117</v>
      </c>
      <c r="B72" s="36">
        <v>37</v>
      </c>
      <c r="C72" s="36"/>
      <c r="D72" s="36"/>
      <c r="E72" s="36"/>
      <c r="F72" s="37">
        <v>715</v>
      </c>
      <c r="G72" s="37">
        <v>572</v>
      </c>
      <c r="H72" s="37">
        <v>858</v>
      </c>
      <c r="I72" s="40">
        <v>0.4</v>
      </c>
      <c r="J72" s="39" t="str">
        <f>IF(AND(C72&gt;0,F72&gt;0),ABS(F72-C72)/C72,"")</f>
        <v/>
      </c>
      <c r="K72" s="36" t="str">
        <f>IF(AND(C72&gt;0,G72&gt;0),IF(AND(C72&gt;=G72,C72&lt;=H72),"✓","✗"),"")</f>
        <v/>
      </c>
      <c r="L72" s="38" t="str">
        <f>IF(AND(C72&gt;0,C71&gt;0),(C72-C71)/C71,"")</f>
        <v/>
      </c>
      <c r="M72" s="36"/>
      <c r="N72" s="36"/>
    </row>
    <row r="73" spans="1:14">
      <c r="A73" s="36" t="s">
        <v>118</v>
      </c>
      <c r="B73" s="36">
        <v>38</v>
      </c>
      <c r="C73" s="36"/>
      <c r="D73" s="36"/>
      <c r="E73" s="36"/>
      <c r="F73" s="37">
        <v>715</v>
      </c>
      <c r="G73" s="37">
        <v>572</v>
      </c>
      <c r="H73" s="37">
        <v>858</v>
      </c>
      <c r="I73" s="40">
        <v>0.4</v>
      </c>
      <c r="J73" s="39" t="str">
        <f>IF(AND(C73&gt;0,F73&gt;0),ABS(F73-C73)/C73,"")</f>
        <v/>
      </c>
      <c r="K73" s="36" t="str">
        <f>IF(AND(C73&gt;0,G73&gt;0),IF(AND(C73&gt;=G73,C73&lt;=H73),"✓","✗"),"")</f>
        <v/>
      </c>
      <c r="L73" s="38" t="str">
        <f>IF(AND(C73&gt;0,C72&gt;0),(C73-C72)/C72,"")</f>
        <v/>
      </c>
      <c r="M73" s="36"/>
      <c r="N73" s="36"/>
    </row>
    <row r="74" spans="1:14">
      <c r="A74" s="36" t="s">
        <v>119</v>
      </c>
      <c r="B74" s="36">
        <v>39</v>
      </c>
      <c r="C74" s="36"/>
      <c r="D74" s="36"/>
      <c r="E74" s="36"/>
      <c r="F74" s="37">
        <v>715</v>
      </c>
      <c r="G74" s="37">
        <v>572</v>
      </c>
      <c r="H74" s="37">
        <v>858</v>
      </c>
      <c r="I74" s="40">
        <v>0.4</v>
      </c>
      <c r="J74" s="39" t="str">
        <f>IF(AND(C74&gt;0,F74&gt;0),ABS(F74-C74)/C74,"")</f>
        <v/>
      </c>
      <c r="K74" s="36" t="str">
        <f>IF(AND(C74&gt;0,G74&gt;0),IF(AND(C74&gt;=G74,C74&lt;=H74),"✓","✗"),"")</f>
        <v/>
      </c>
      <c r="L74" s="38" t="str">
        <f>IF(AND(C74&gt;0,C73&gt;0),(C74-C73)/C73,"")</f>
        <v/>
      </c>
      <c r="M74" s="36"/>
      <c r="N74" s="36"/>
    </row>
    <row r="75" spans="1:14">
      <c r="A75" s="36" t="s">
        <v>120</v>
      </c>
      <c r="B75" s="36">
        <v>40</v>
      </c>
      <c r="C75" s="36"/>
      <c r="D75" s="36"/>
      <c r="E75" s="36"/>
      <c r="F75" s="37">
        <v>650</v>
      </c>
      <c r="G75" s="37">
        <v>520</v>
      </c>
      <c r="H75" s="37">
        <v>780</v>
      </c>
      <c r="I75" s="40">
        <v>0.4</v>
      </c>
      <c r="J75" s="39" t="str">
        <f>IF(AND(C75&gt;0,F75&gt;0),ABS(F75-C75)/C75,"")</f>
        <v/>
      </c>
      <c r="K75" s="36" t="str">
        <f>IF(AND(C75&gt;0,G75&gt;0),IF(AND(C75&gt;=G75,C75&lt;=H75),"✓","✗"),"")</f>
        <v/>
      </c>
      <c r="L75" s="38" t="str">
        <f>IF(AND(C75&gt;0,C74&gt;0),(C75-C74)/C74,"")</f>
        <v/>
      </c>
      <c r="M75" s="36"/>
      <c r="N75" s="36"/>
    </row>
    <row r="76" spans="1:14">
      <c r="A76" s="36" t="s">
        <v>121</v>
      </c>
      <c r="B76" s="36">
        <v>41</v>
      </c>
      <c r="C76" s="36"/>
      <c r="D76" s="36"/>
      <c r="E76" s="36"/>
      <c r="F76" s="37">
        <v>650</v>
      </c>
      <c r="G76" s="37">
        <v>520</v>
      </c>
      <c r="H76" s="37">
        <v>780</v>
      </c>
      <c r="I76" s="40">
        <v>0.4</v>
      </c>
      <c r="J76" s="39" t="str">
        <f>IF(AND(C76&gt;0,F76&gt;0),ABS(F76-C76)/C76,"")</f>
        <v/>
      </c>
      <c r="K76" s="36" t="str">
        <f>IF(AND(C76&gt;0,G76&gt;0),IF(AND(C76&gt;=G76,C76&lt;=H76),"✓","✗"),"")</f>
        <v/>
      </c>
      <c r="L76" s="38" t="str">
        <f>IF(AND(C76&gt;0,C75&gt;0),(C76-C75)/C75,"")</f>
        <v/>
      </c>
      <c r="M76" s="36"/>
      <c r="N76" s="36"/>
    </row>
    <row r="77" spans="1:14">
      <c r="A77" s="36" t="s">
        <v>122</v>
      </c>
      <c r="B77" s="36">
        <v>42</v>
      </c>
      <c r="C77" s="36"/>
      <c r="D77" s="36"/>
      <c r="E77" s="36"/>
      <c r="F77" s="37">
        <v>650</v>
      </c>
      <c r="G77" s="37">
        <v>520</v>
      </c>
      <c r="H77" s="37">
        <v>780</v>
      </c>
      <c r="I77" s="40">
        <v>0.4</v>
      </c>
      <c r="J77" s="39" t="str">
        <f>IF(AND(C77&gt;0,F77&gt;0),ABS(F77-C77)/C77,"")</f>
        <v/>
      </c>
      <c r="K77" s="36" t="str">
        <f>IF(AND(C77&gt;0,G77&gt;0),IF(AND(C77&gt;=G77,C77&lt;=H77),"✓","✗"),"")</f>
        <v/>
      </c>
      <c r="L77" s="38" t="str">
        <f>IF(AND(C77&gt;0,C76&gt;0),(C77-C76)/C76,"")</f>
        <v/>
      </c>
      <c r="M77" s="36"/>
      <c r="N77" s="36"/>
    </row>
    <row r="78" spans="1:14">
      <c r="A78" s="36" t="s">
        <v>123</v>
      </c>
      <c r="B78" s="36">
        <v>43</v>
      </c>
      <c r="C78" s="36"/>
      <c r="D78" s="36"/>
      <c r="E78" s="36"/>
      <c r="F78" s="37">
        <v>650</v>
      </c>
      <c r="G78" s="37">
        <v>520</v>
      </c>
      <c r="H78" s="37">
        <v>780</v>
      </c>
      <c r="I78" s="40">
        <v>0.4</v>
      </c>
      <c r="J78" s="39" t="str">
        <f>IF(AND(C78&gt;0,F78&gt;0),ABS(F78-C78)/C78,"")</f>
        <v/>
      </c>
      <c r="K78" s="36" t="str">
        <f>IF(AND(C78&gt;0,G78&gt;0),IF(AND(C78&gt;=G78,C78&lt;=H78),"✓","✗"),"")</f>
        <v/>
      </c>
      <c r="L78" s="38" t="str">
        <f>IF(AND(C78&gt;0,C77&gt;0),(C78-C77)/C77,"")</f>
        <v/>
      </c>
      <c r="M78" s="36"/>
      <c r="N78" s="36"/>
    </row>
    <row r="79" spans="1:14">
      <c r="A79" s="36" t="s">
        <v>124</v>
      </c>
      <c r="B79" s="36">
        <v>44</v>
      </c>
      <c r="C79" s="36"/>
      <c r="D79" s="36"/>
      <c r="E79" s="36"/>
      <c r="F79" s="37">
        <v>650</v>
      </c>
      <c r="G79" s="37">
        <v>520</v>
      </c>
      <c r="H79" s="37">
        <v>780</v>
      </c>
      <c r="I79" s="40">
        <v>0.4</v>
      </c>
      <c r="J79" s="39" t="str">
        <f>IF(AND(C79&gt;0,F79&gt;0),ABS(F79-C79)/C79,"")</f>
        <v/>
      </c>
      <c r="K79" s="36" t="str">
        <f>IF(AND(C79&gt;0,G79&gt;0),IF(AND(C79&gt;=G79,C79&lt;=H79),"✓","✗"),"")</f>
        <v/>
      </c>
      <c r="L79" s="38" t="str">
        <f>IF(AND(C79&gt;0,C78&gt;0),(C79-C78)/C78,"")</f>
        <v/>
      </c>
      <c r="M79" s="36"/>
      <c r="N79" s="36"/>
    </row>
    <row r="80" spans="1:14">
      <c r="A80" s="36" t="s">
        <v>125</v>
      </c>
      <c r="B80" s="36">
        <v>45</v>
      </c>
      <c r="C80" s="36"/>
      <c r="D80" s="36"/>
      <c r="E80" s="36"/>
      <c r="F80" s="37">
        <v>847</v>
      </c>
      <c r="G80" s="37">
        <v>678</v>
      </c>
      <c r="H80" s="37">
        <v>1016</v>
      </c>
      <c r="I80" s="40">
        <v>0.4</v>
      </c>
      <c r="J80" s="39" t="str">
        <f>IF(AND(C80&gt;0,F80&gt;0),ABS(F80-C80)/C80,"")</f>
        <v/>
      </c>
      <c r="K80" s="36" t="str">
        <f>IF(AND(C80&gt;0,G80&gt;0),IF(AND(C80&gt;=G80,C80&lt;=H80),"✓","✗"),"")</f>
        <v/>
      </c>
      <c r="L80" s="38" t="str">
        <f>IF(AND(C80&gt;0,C79&gt;0),(C80-C79)/C79,"")</f>
        <v/>
      </c>
      <c r="M80" s="36"/>
      <c r="N80" s="36"/>
    </row>
    <row r="81" spans="1:14">
      <c r="A81" s="36" t="s">
        <v>126</v>
      </c>
      <c r="B81" s="36">
        <v>46</v>
      </c>
      <c r="C81" s="36"/>
      <c r="D81" s="36"/>
      <c r="E81" s="36"/>
      <c r="F81" s="37">
        <v>847</v>
      </c>
      <c r="G81" s="37">
        <v>678</v>
      </c>
      <c r="H81" s="37">
        <v>1016</v>
      </c>
      <c r="I81" s="40">
        <v>0.4</v>
      </c>
      <c r="J81" s="39" t="str">
        <f>IF(AND(C81&gt;0,F81&gt;0),ABS(F81-C81)/C81,"")</f>
        <v/>
      </c>
      <c r="K81" s="36" t="str">
        <f>IF(AND(C81&gt;0,G81&gt;0),IF(AND(C81&gt;=G81,C81&lt;=H81),"✓","✗"),"")</f>
        <v/>
      </c>
      <c r="L81" s="38" t="str">
        <f>IF(AND(C81&gt;0,C80&gt;0),(C81-C80)/C80,"")</f>
        <v/>
      </c>
      <c r="M81" s="36"/>
      <c r="N81" s="36"/>
    </row>
    <row r="82" spans="1:14">
      <c r="A82" s="36" t="s">
        <v>127</v>
      </c>
      <c r="B82" s="36">
        <v>47</v>
      </c>
      <c r="C82" s="36"/>
      <c r="D82" s="36"/>
      <c r="E82" s="36"/>
      <c r="F82" s="37">
        <v>847</v>
      </c>
      <c r="G82" s="37">
        <v>678</v>
      </c>
      <c r="H82" s="37">
        <v>1016</v>
      </c>
      <c r="I82" s="40">
        <v>0.4</v>
      </c>
      <c r="J82" s="39" t="str">
        <f>IF(AND(C82&gt;0,F82&gt;0),ABS(F82-C82)/C82,"")</f>
        <v/>
      </c>
      <c r="K82" s="36" t="str">
        <f>IF(AND(C82&gt;0,G82&gt;0),IF(AND(C82&gt;=G82,C82&lt;=H82),"✓","✗"),"")</f>
        <v/>
      </c>
      <c r="L82" s="38" t="str">
        <f>IF(AND(C82&gt;0,C81&gt;0),(C82-C81)/C81,"")</f>
        <v/>
      </c>
      <c r="M82" s="36"/>
      <c r="N82" s="36"/>
    </row>
    <row r="83" spans="1:14">
      <c r="A83" s="36" t="s">
        <v>128</v>
      </c>
      <c r="B83" s="36">
        <v>48</v>
      </c>
      <c r="C83" s="36"/>
      <c r="D83" s="36"/>
      <c r="E83" s="36"/>
      <c r="F83" s="37">
        <v>847</v>
      </c>
      <c r="G83" s="37">
        <v>678</v>
      </c>
      <c r="H83" s="37">
        <v>1016</v>
      </c>
      <c r="I83" s="40">
        <v>0.4</v>
      </c>
      <c r="J83" s="39" t="str">
        <f>IF(AND(C83&gt;0,F83&gt;0),ABS(F83-C83)/C83,"")</f>
        <v/>
      </c>
      <c r="K83" s="36" t="str">
        <f>IF(AND(C83&gt;0,G83&gt;0),IF(AND(C83&gt;=G83,C83&lt;=H83),"✓","✗"),"")</f>
        <v/>
      </c>
      <c r="L83" s="38" t="str">
        <f>IF(AND(C83&gt;0,C82&gt;0),(C83-C82)/C82,"")</f>
        <v/>
      </c>
      <c r="M83" s="36"/>
      <c r="N83" s="36"/>
    </row>
    <row r="84" spans="1:14">
      <c r="A84" s="36" t="s">
        <v>129</v>
      </c>
      <c r="B84" s="36">
        <v>49</v>
      </c>
      <c r="C84" s="36"/>
      <c r="D84" s="36"/>
      <c r="E84" s="36"/>
      <c r="F84" s="37">
        <v>473</v>
      </c>
      <c r="G84" s="37">
        <v>378</v>
      </c>
      <c r="H84" s="37">
        <v>568</v>
      </c>
      <c r="I84" s="40">
        <v>0.4</v>
      </c>
      <c r="J84" s="39" t="str">
        <f>IF(AND(C84&gt;0,F84&gt;0),ABS(F84-C84)/C84,"")</f>
        <v/>
      </c>
      <c r="K84" s="36" t="str">
        <f>IF(AND(C84&gt;0,G84&gt;0),IF(AND(C84&gt;=G84,C84&lt;=H84),"✓","✗"),"")</f>
        <v/>
      </c>
      <c r="L84" s="38" t="str">
        <f>IF(AND(C84&gt;0,C83&gt;0),(C84-C83)/C83,"")</f>
        <v/>
      </c>
      <c r="M84" s="36"/>
      <c r="N84" s="36"/>
    </row>
    <row r="85" spans="1:14">
      <c r="A85" s="36" t="s">
        <v>130</v>
      </c>
      <c r="B85" s="36">
        <v>50</v>
      </c>
      <c r="C85" s="36"/>
      <c r="D85" s="36"/>
      <c r="E85" s="36"/>
      <c r="F85" s="37">
        <v>473</v>
      </c>
      <c r="G85" s="37">
        <v>378</v>
      </c>
      <c r="H85" s="37">
        <v>568</v>
      </c>
      <c r="I85" s="40">
        <v>0.4</v>
      </c>
      <c r="J85" s="39" t="str">
        <f>IF(AND(C85&gt;0,F85&gt;0),ABS(F85-C85)/C85,"")</f>
        <v/>
      </c>
      <c r="K85" s="36" t="str">
        <f>IF(AND(C85&gt;0,G85&gt;0),IF(AND(C85&gt;=G85,C85&lt;=H85),"✓","✗"),"")</f>
        <v/>
      </c>
      <c r="L85" s="38" t="str">
        <f>IF(AND(C85&gt;0,C84&gt;0),(C85-C84)/C84,"")</f>
        <v/>
      </c>
      <c r="M85" s="36"/>
      <c r="N85" s="36"/>
    </row>
    <row r="86" spans="1:14">
      <c r="A86" s="36" t="s">
        <v>131</v>
      </c>
      <c r="B86" s="36">
        <v>51</v>
      </c>
      <c r="C86" s="36"/>
      <c r="D86" s="36"/>
      <c r="E86" s="36"/>
      <c r="F86" s="37">
        <v>473</v>
      </c>
      <c r="G86" s="37">
        <v>378</v>
      </c>
      <c r="H86" s="37">
        <v>568</v>
      </c>
      <c r="I86" s="40">
        <v>0.4</v>
      </c>
      <c r="J86" s="39" t="str">
        <f>IF(AND(C86&gt;0,F86&gt;0),ABS(F86-C86)/C86,"")</f>
        <v/>
      </c>
      <c r="K86" s="36" t="str">
        <f>IF(AND(C86&gt;0,G86&gt;0),IF(AND(C86&gt;=G86,C86&lt;=H86),"✓","✗"),"")</f>
        <v/>
      </c>
      <c r="L86" s="38" t="str">
        <f>IF(AND(C86&gt;0,C85&gt;0),(C86-C85)/C85,"")</f>
        <v/>
      </c>
      <c r="M86" s="36"/>
      <c r="N86" s="36"/>
    </row>
    <row r="87" spans="1:14">
      <c r="A87" s="36" t="s">
        <v>132</v>
      </c>
      <c r="B87" s="36">
        <v>52</v>
      </c>
      <c r="C87" s="36"/>
      <c r="D87" s="36"/>
      <c r="E87" s="36"/>
      <c r="F87" s="37">
        <v>473</v>
      </c>
      <c r="G87" s="37">
        <v>378</v>
      </c>
      <c r="H87" s="37">
        <v>568</v>
      </c>
      <c r="I87" s="40">
        <v>0.4</v>
      </c>
      <c r="J87" s="39" t="str">
        <f>IF(AND(C87&gt;0,F87&gt;0),ABS(F87-C87)/C87,"")</f>
        <v/>
      </c>
      <c r="K87" s="36" t="str">
        <f>IF(AND(C87&gt;0,G87&gt;0),IF(AND(C87&gt;=G87,C87&lt;=H87),"✓","✗"),"")</f>
        <v/>
      </c>
      <c r="L87" s="38" t="str">
        <f>IF(AND(C87&gt;0,C86&gt;0),(C87-C86)/C86,"")</f>
        <v/>
      </c>
      <c r="M87" s="36"/>
      <c r="N87" s="36"/>
    </row>
  </sheetData>
  <mergeCells count="15">
    <mergeCell ref="C3:D3"/>
    <mergeCell ref="A3:B3"/>
    <mergeCell ref="G3:H3"/>
    <mergeCell ref="E3:F3"/>
    <mergeCell ref="A1:N1"/>
    <mergeCell ref="A4:B4"/>
    <mergeCell ref="G4:H4"/>
    <mergeCell ref="E4:F4"/>
    <mergeCell ref="A12:K12"/>
    <mergeCell ref="A34:N34"/>
    <mergeCell ref="A5:B5"/>
    <mergeCell ref="C4:D4"/>
    <mergeCell ref="G5:H5"/>
    <mergeCell ref="A8:K8"/>
    <mergeCell ref="A19:K19"/>
  </mergeCells>
  <conditionalFormatting sqref="C36:C87">
    <cfRule type="dataBar" priority="1">
      <dataBar>
        <cfvo type="num" val="0"/>
        <cfvo type="max"/>
        <color rgb="FFC0392B"/>
      </dataBar>
    </cfRule>
  </conditionalFormatting>
  <conditionalFormatting sqref="J36:J87">
    <cfRule type="colorScale" priority="2">
      <colorScale>
        <cfvo type="num" val="0"/>
        <cfvo type="num" val="0.1"/>
        <cfvo type="num" val="0.3"/>
        <color rgb="FF27AE60"/>
        <color rgb="FFFFFFFF"/>
        <color rgb="FFE74C3C"/>
      </colorScale>
    </cfRule>
  </conditionalFormatting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1C40F"/>
  </sheetPr>
  <dimension ref="A1:N87"/>
  <sheetViews>
    <sheetView showGridLines="0" workbookViewId="0">
      <selection sqref="A1:XFD1048576"/>
    </sheetView>
  </sheetViews>
  <sheetFormatPr defaultColWidth="12.85546875" defaultRowHeight="15"/>
  <cols>
    <col min="1" max="1" width="11.85546875" style="30" bestFit="1" customWidth="1"/>
    <col min="2" max="3" width="10.140625" style="30" bestFit="1" customWidth="1"/>
    <col min="4" max="4" width="9.85546875" style="30" bestFit="1" customWidth="1"/>
    <col min="5" max="5" width="9.5703125" style="30" bestFit="1" customWidth="1"/>
    <col min="6" max="6" width="9.7109375" style="30" bestFit="1" customWidth="1"/>
    <col min="7" max="7" width="8.140625" style="30" bestFit="1" customWidth="1"/>
    <col min="8" max="8" width="6.85546875" style="30" bestFit="1" customWidth="1"/>
    <col min="9" max="9" width="9.85546875" style="30" bestFit="1" customWidth="1"/>
    <col min="10" max="10" width="6.85546875" style="30" bestFit="1" customWidth="1"/>
    <col min="11" max="11" width="10.85546875" style="30" bestFit="1" customWidth="1"/>
    <col min="12" max="12" width="8.28515625" style="30" bestFit="1" customWidth="1"/>
    <col min="13" max="13" width="9.7109375" style="30" bestFit="1" customWidth="1"/>
    <col min="14" max="14" width="7.42578125" style="30" bestFit="1" customWidth="1"/>
    <col min="15" max="16384" width="12.85546875" style="30"/>
  </cols>
  <sheetData>
    <row r="1" spans="1:14" ht="21">
      <c r="A1" s="56" t="s">
        <v>158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3" spans="1:14">
      <c r="A3" s="31" t="s">
        <v>34</v>
      </c>
      <c r="B3" s="32"/>
      <c r="C3" s="31" t="s">
        <v>35</v>
      </c>
      <c r="D3" s="32"/>
      <c r="E3" s="31" t="s">
        <v>36</v>
      </c>
      <c r="F3" s="32"/>
      <c r="G3" s="31" t="s">
        <v>37</v>
      </c>
      <c r="H3" s="32"/>
    </row>
    <row r="4" spans="1:14" ht="26.25">
      <c r="A4" s="33" t="s">
        <v>159</v>
      </c>
      <c r="B4" s="32"/>
      <c r="C4" s="33" t="s">
        <v>160</v>
      </c>
      <c r="D4" s="32"/>
      <c r="E4" s="33" t="s">
        <v>161</v>
      </c>
      <c r="F4" s="32"/>
      <c r="G4" s="33" t="s">
        <v>152</v>
      </c>
      <c r="H4" s="32"/>
    </row>
    <row r="5" spans="1:14">
      <c r="A5" s="31" t="s">
        <v>10</v>
      </c>
      <c r="B5" s="32"/>
      <c r="C5" s="34"/>
      <c r="D5" s="34"/>
      <c r="E5" s="34"/>
      <c r="F5" s="34"/>
      <c r="G5" s="31" t="s">
        <v>23</v>
      </c>
      <c r="H5" s="32"/>
    </row>
    <row r="8" spans="1:14" ht="15.75">
      <c r="A8" s="35" t="s">
        <v>42</v>
      </c>
      <c r="B8" s="29"/>
      <c r="C8" s="29"/>
      <c r="D8" s="29"/>
      <c r="E8" s="29"/>
      <c r="F8" s="29"/>
      <c r="G8" s="29"/>
      <c r="H8" s="29"/>
      <c r="I8" s="29"/>
      <c r="J8" s="29"/>
      <c r="K8" s="29"/>
    </row>
    <row r="9" spans="1:14">
      <c r="A9" s="57" t="s">
        <v>43</v>
      </c>
      <c r="B9" s="57" t="s">
        <v>44</v>
      </c>
      <c r="C9" s="57" t="s">
        <v>45</v>
      </c>
      <c r="D9" s="57" t="s">
        <v>46</v>
      </c>
      <c r="E9" s="57" t="s">
        <v>47</v>
      </c>
      <c r="F9" s="57" t="s">
        <v>48</v>
      </c>
      <c r="G9" s="57" t="s">
        <v>20</v>
      </c>
      <c r="H9" s="57" t="s">
        <v>49</v>
      </c>
      <c r="I9" s="57" t="s">
        <v>50</v>
      </c>
      <c r="J9" s="57" t="s">
        <v>51</v>
      </c>
      <c r="K9" s="57" t="s">
        <v>52</v>
      </c>
    </row>
    <row r="10" spans="1:14">
      <c r="A10" s="36" t="s">
        <v>53</v>
      </c>
      <c r="B10" s="37"/>
      <c r="C10" s="37"/>
      <c r="D10" s="37"/>
      <c r="E10" s="37"/>
      <c r="F10" s="37">
        <v>33885.949999999997</v>
      </c>
      <c r="G10" s="38" t="str">
        <f>IF(AND(B10&gt;0,F10&gt;0),(B10-F10)/F10,"")</f>
        <v/>
      </c>
      <c r="H10" s="39" t="str">
        <f>IF(AND(B10&gt;0,C10&gt;0),ABS(C10-B10)/B10,"")</f>
        <v/>
      </c>
      <c r="I10" s="40"/>
      <c r="J10" s="36"/>
      <c r="K10" s="36"/>
    </row>
    <row r="12" spans="1:14" ht="15.75">
      <c r="A12" s="35" t="s">
        <v>54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</row>
    <row r="13" spans="1:14">
      <c r="A13" s="57" t="s">
        <v>43</v>
      </c>
      <c r="B13" s="57" t="s">
        <v>44</v>
      </c>
      <c r="C13" s="57" t="s">
        <v>45</v>
      </c>
      <c r="D13" s="57" t="s">
        <v>46</v>
      </c>
      <c r="E13" s="57" t="s">
        <v>47</v>
      </c>
      <c r="F13" s="57" t="s">
        <v>48</v>
      </c>
      <c r="G13" s="57" t="s">
        <v>20</v>
      </c>
      <c r="H13" s="57" t="s">
        <v>49</v>
      </c>
      <c r="I13" s="57" t="s">
        <v>50</v>
      </c>
      <c r="J13" s="57" t="s">
        <v>51</v>
      </c>
      <c r="K13" s="57" t="s">
        <v>52</v>
      </c>
    </row>
    <row r="14" spans="1:14">
      <c r="A14" s="41" t="s">
        <v>55</v>
      </c>
      <c r="B14" s="42">
        <v>9102</v>
      </c>
      <c r="C14" s="42"/>
      <c r="D14" s="42"/>
      <c r="E14" s="42"/>
      <c r="F14" s="42">
        <v>7708.5399999999991</v>
      </c>
      <c r="G14" s="43">
        <f>IF(AND(B14&gt;0,F14&gt;0),(B14-F14)/F14,"")</f>
        <v>0.18076834264335415</v>
      </c>
      <c r="H14" s="44" t="str">
        <f>IF(AND(B14&gt;0,C14&gt;0),ABS(C14-B14)/B14,"")</f>
        <v/>
      </c>
      <c r="I14" s="45"/>
      <c r="J14" s="41"/>
      <c r="K14" s="41"/>
    </row>
    <row r="15" spans="1:14">
      <c r="A15" s="36" t="s">
        <v>56</v>
      </c>
      <c r="B15" s="36"/>
      <c r="C15" s="37"/>
      <c r="D15" s="37"/>
      <c r="E15" s="37"/>
      <c r="F15" s="37">
        <v>7862.29</v>
      </c>
      <c r="G15" s="38" t="str">
        <f>IF(AND(B15&gt;0,F15&gt;0),(B15-F15)/F15,"")</f>
        <v/>
      </c>
      <c r="H15" s="39" t="str">
        <f>IF(AND(B15&gt;0,C15&gt;0),ABS(C15-B15)/B15,"")</f>
        <v/>
      </c>
      <c r="I15" s="40"/>
      <c r="J15" s="36"/>
      <c r="K15" s="36"/>
    </row>
    <row r="16" spans="1:14">
      <c r="A16" s="36" t="s">
        <v>57</v>
      </c>
      <c r="B16" s="36"/>
      <c r="C16" s="37"/>
      <c r="D16" s="37"/>
      <c r="E16" s="37"/>
      <c r="F16" s="37">
        <v>9309.369999999999</v>
      </c>
      <c r="G16" s="38" t="str">
        <f>IF(AND(B16&gt;0,F16&gt;0),(B16-F16)/F16,"")</f>
        <v/>
      </c>
      <c r="H16" s="39" t="str">
        <f>IF(AND(B16&gt;0,C16&gt;0),ABS(C16-B16)/B16,"")</f>
        <v/>
      </c>
      <c r="I16" s="40"/>
      <c r="J16" s="36"/>
      <c r="K16" s="36"/>
    </row>
    <row r="17" spans="1:11">
      <c r="A17" s="36" t="s">
        <v>58</v>
      </c>
      <c r="B17" s="36"/>
      <c r="C17" s="37"/>
      <c r="D17" s="37"/>
      <c r="E17" s="37"/>
      <c r="F17" s="37">
        <v>9005.75</v>
      </c>
      <c r="G17" s="38" t="str">
        <f>IF(AND(B17&gt;0,F17&gt;0),(B17-F17)/F17,"")</f>
        <v/>
      </c>
      <c r="H17" s="39" t="str">
        <f>IF(AND(B17&gt;0,C17&gt;0),ABS(C17-B17)/B17,"")</f>
        <v/>
      </c>
      <c r="I17" s="40"/>
      <c r="J17" s="36"/>
      <c r="K17" s="36"/>
    </row>
    <row r="19" spans="1:11" ht="15.75">
      <c r="A19" s="35" t="s">
        <v>59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</row>
    <row r="20" spans="1:11">
      <c r="A20" s="57" t="s">
        <v>43</v>
      </c>
      <c r="B20" s="57" t="s">
        <v>44</v>
      </c>
      <c r="C20" s="57" t="s">
        <v>45</v>
      </c>
      <c r="D20" s="57" t="s">
        <v>46</v>
      </c>
      <c r="E20" s="57" t="s">
        <v>47</v>
      </c>
      <c r="F20" s="57" t="s">
        <v>48</v>
      </c>
      <c r="G20" s="57" t="s">
        <v>20</v>
      </c>
      <c r="H20" s="57" t="s">
        <v>49</v>
      </c>
      <c r="I20" s="57" t="s">
        <v>50</v>
      </c>
      <c r="J20" s="57" t="s">
        <v>51</v>
      </c>
      <c r="K20" s="57" t="s">
        <v>52</v>
      </c>
    </row>
    <row r="21" spans="1:11">
      <c r="A21" s="41" t="s">
        <v>60</v>
      </c>
      <c r="B21" s="42">
        <v>2712</v>
      </c>
      <c r="C21" s="42"/>
      <c r="D21" s="42"/>
      <c r="E21" s="42"/>
      <c r="F21" s="42">
        <v>2718.85</v>
      </c>
      <c r="G21" s="43">
        <f>IF(AND(B21&gt;0,F21&gt;0),(B21-F21)/F21,"")</f>
        <v>-2.5194475605494638E-3</v>
      </c>
      <c r="H21" s="44" t="str">
        <f>IF(AND(B21&gt;0,C21&gt;0),ABS(C21-B21)/B21,"")</f>
        <v/>
      </c>
      <c r="I21" s="45"/>
      <c r="J21" s="41"/>
      <c r="K21" s="41"/>
    </row>
    <row r="22" spans="1:11">
      <c r="A22" s="46" t="s">
        <v>61</v>
      </c>
      <c r="B22" s="47">
        <v>2866</v>
      </c>
      <c r="C22" s="47"/>
      <c r="D22" s="47"/>
      <c r="E22" s="47"/>
      <c r="F22" s="47">
        <v>2398.0500000000002</v>
      </c>
      <c r="G22" s="48">
        <f>IF(AND(B22&gt;0,F22&gt;0),(B22-F22)/F22,"")</f>
        <v>0.19513771606096611</v>
      </c>
      <c r="H22" s="49" t="str">
        <f>IF(AND(B22&gt;0,C22&gt;0),ABS(C22-B22)/B22,"")</f>
        <v/>
      </c>
      <c r="I22" s="50"/>
      <c r="J22" s="46"/>
      <c r="K22" s="46"/>
    </row>
    <row r="23" spans="1:11">
      <c r="A23" s="41" t="s">
        <v>62</v>
      </c>
      <c r="B23" s="42">
        <v>3524</v>
      </c>
      <c r="C23" s="42"/>
      <c r="D23" s="42"/>
      <c r="E23" s="42"/>
      <c r="F23" s="42">
        <v>2591.64</v>
      </c>
      <c r="G23" s="43">
        <f>IF(AND(B23&gt;0,F23&gt;0),(B23-F23)/F23,"")</f>
        <v>0.35975675633961512</v>
      </c>
      <c r="H23" s="44" t="str">
        <f>IF(AND(B23&gt;0,C23&gt;0),ABS(C23-B23)/B23,"")</f>
        <v/>
      </c>
      <c r="I23" s="45"/>
      <c r="J23" s="41"/>
      <c r="K23" s="41"/>
    </row>
    <row r="24" spans="1:11">
      <c r="A24" s="36" t="s">
        <v>63</v>
      </c>
      <c r="B24" s="37"/>
      <c r="C24" s="37">
        <v>2446.9</v>
      </c>
      <c r="D24" s="37">
        <v>2080</v>
      </c>
      <c r="E24" s="37">
        <v>2814</v>
      </c>
      <c r="F24" s="37">
        <v>2446.9</v>
      </c>
      <c r="G24" s="38" t="str">
        <f>IF(AND(B24&gt;0,F24&gt;0),(B24-F24)/F24,"")</f>
        <v/>
      </c>
      <c r="H24" s="39" t="str">
        <f>IF(AND(B24&gt;0,C24&gt;0),ABS(C24-B24)/B24,"")</f>
        <v/>
      </c>
      <c r="I24" s="40">
        <v>0.5</v>
      </c>
      <c r="J24" s="36"/>
      <c r="K24" s="36" t="s">
        <v>64</v>
      </c>
    </row>
    <row r="25" spans="1:11">
      <c r="A25" s="36" t="s">
        <v>65</v>
      </c>
      <c r="B25" s="37"/>
      <c r="C25" s="37">
        <v>2720.35</v>
      </c>
      <c r="D25" s="37">
        <v>2312</v>
      </c>
      <c r="E25" s="37">
        <v>3128</v>
      </c>
      <c r="F25" s="37">
        <v>2720.35</v>
      </c>
      <c r="G25" s="38" t="str">
        <f>IF(AND(B25&gt;0,F25&gt;0),(B25-F25)/F25,"")</f>
        <v/>
      </c>
      <c r="H25" s="39" t="str">
        <f>IF(AND(B25&gt;0,C25&gt;0),ABS(C25-B25)/B25,"")</f>
        <v/>
      </c>
      <c r="I25" s="40">
        <v>0.5</v>
      </c>
      <c r="J25" s="36"/>
      <c r="K25" s="36" t="s">
        <v>64</v>
      </c>
    </row>
    <row r="26" spans="1:11">
      <c r="A26" s="36" t="s">
        <v>66</v>
      </c>
      <c r="B26" s="37"/>
      <c r="C26" s="37">
        <v>2695.04</v>
      </c>
      <c r="D26" s="37">
        <v>2291</v>
      </c>
      <c r="E26" s="37">
        <v>3099</v>
      </c>
      <c r="F26" s="37">
        <v>2695.04</v>
      </c>
      <c r="G26" s="38" t="str">
        <f>IF(AND(B26&gt;0,F26&gt;0),(B26-F26)/F26,"")</f>
        <v/>
      </c>
      <c r="H26" s="39" t="str">
        <f>IF(AND(B26&gt;0,C26&gt;0),ABS(C26-B26)/B26,"")</f>
        <v/>
      </c>
      <c r="I26" s="40">
        <v>0.5</v>
      </c>
      <c r="J26" s="36"/>
      <c r="K26" s="36" t="s">
        <v>64</v>
      </c>
    </row>
    <row r="27" spans="1:11">
      <c r="A27" s="36" t="s">
        <v>67</v>
      </c>
      <c r="B27" s="37"/>
      <c r="C27" s="37">
        <v>3066.06</v>
      </c>
      <c r="D27" s="37">
        <v>2606</v>
      </c>
      <c r="E27" s="37">
        <v>3526</v>
      </c>
      <c r="F27" s="37">
        <v>3066.06</v>
      </c>
      <c r="G27" s="38" t="str">
        <f>IF(AND(B27&gt;0,F27&gt;0),(B27-F27)/F27,"")</f>
        <v/>
      </c>
      <c r="H27" s="39" t="str">
        <f>IF(AND(B27&gt;0,C27&gt;0),ABS(C27-B27)/B27,"")</f>
        <v/>
      </c>
      <c r="I27" s="40">
        <v>0.5</v>
      </c>
      <c r="J27" s="36"/>
      <c r="K27" s="36" t="s">
        <v>64</v>
      </c>
    </row>
    <row r="28" spans="1:11">
      <c r="A28" s="36" t="s">
        <v>68</v>
      </c>
      <c r="B28" s="37"/>
      <c r="C28" s="37">
        <v>2946.86</v>
      </c>
      <c r="D28" s="37">
        <v>2505</v>
      </c>
      <c r="E28" s="37">
        <v>3389</v>
      </c>
      <c r="F28" s="37">
        <v>2946.86</v>
      </c>
      <c r="G28" s="38" t="str">
        <f>IF(AND(B28&gt;0,F28&gt;0),(B28-F28)/F28,"")</f>
        <v/>
      </c>
      <c r="H28" s="39" t="str">
        <f>IF(AND(B28&gt;0,C28&gt;0),ABS(C28-B28)/B28,"")</f>
        <v/>
      </c>
      <c r="I28" s="40">
        <v>0.5</v>
      </c>
      <c r="J28" s="36"/>
      <c r="K28" s="36" t="s">
        <v>64</v>
      </c>
    </row>
    <row r="29" spans="1:11">
      <c r="A29" s="36" t="s">
        <v>69</v>
      </c>
      <c r="B29" s="37"/>
      <c r="C29" s="37">
        <v>3296.45</v>
      </c>
      <c r="D29" s="37">
        <v>2802</v>
      </c>
      <c r="E29" s="37">
        <v>3791</v>
      </c>
      <c r="F29" s="37">
        <v>3296.45</v>
      </c>
      <c r="G29" s="38" t="str">
        <f>IF(AND(B29&gt;0,F29&gt;0),(B29-F29)/F29,"")</f>
        <v/>
      </c>
      <c r="H29" s="39" t="str">
        <f>IF(AND(B29&gt;0,C29&gt;0),ABS(C29-B29)/B29,"")</f>
        <v/>
      </c>
      <c r="I29" s="40">
        <v>0.5</v>
      </c>
      <c r="J29" s="36"/>
      <c r="K29" s="36" t="s">
        <v>64</v>
      </c>
    </row>
    <row r="30" spans="1:11">
      <c r="A30" s="36" t="s">
        <v>70</v>
      </c>
      <c r="B30" s="37"/>
      <c r="C30" s="37">
        <v>3551.03</v>
      </c>
      <c r="D30" s="37">
        <v>3018</v>
      </c>
      <c r="E30" s="37">
        <v>4084</v>
      </c>
      <c r="F30" s="37">
        <v>3551.03</v>
      </c>
      <c r="G30" s="38" t="str">
        <f>IF(AND(B30&gt;0,F30&gt;0),(B30-F30)/F30,"")</f>
        <v/>
      </c>
      <c r="H30" s="39" t="str">
        <f>IF(AND(B30&gt;0,C30&gt;0),ABS(C30-B30)/B30,"")</f>
        <v/>
      </c>
      <c r="I30" s="40">
        <v>0.5</v>
      </c>
      <c r="J30" s="36"/>
      <c r="K30" s="36" t="s">
        <v>64</v>
      </c>
    </row>
    <row r="31" spans="1:11">
      <c r="A31" s="36" t="s">
        <v>71</v>
      </c>
      <c r="B31" s="37"/>
      <c r="C31" s="37">
        <v>2880.3</v>
      </c>
      <c r="D31" s="37">
        <v>2448</v>
      </c>
      <c r="E31" s="37">
        <v>3312</v>
      </c>
      <c r="F31" s="37">
        <v>2880.3</v>
      </c>
      <c r="G31" s="38" t="str">
        <f>IF(AND(B31&gt;0,F31&gt;0),(B31-F31)/F31,"")</f>
        <v/>
      </c>
      <c r="H31" s="39" t="str">
        <f>IF(AND(B31&gt;0,C31&gt;0),ABS(C31-B31)/B31,"")</f>
        <v/>
      </c>
      <c r="I31" s="40">
        <v>0.5</v>
      </c>
      <c r="J31" s="36"/>
      <c r="K31" s="36" t="s">
        <v>64</v>
      </c>
    </row>
    <row r="32" spans="1:11">
      <c r="A32" s="36" t="s">
        <v>72</v>
      </c>
      <c r="B32" s="37"/>
      <c r="C32" s="37">
        <v>2574.42</v>
      </c>
      <c r="D32" s="37">
        <v>2188</v>
      </c>
      <c r="E32" s="37">
        <v>2961</v>
      </c>
      <c r="F32" s="37">
        <v>2574.42</v>
      </c>
      <c r="G32" s="38" t="str">
        <f>IF(AND(B32&gt;0,F32&gt;0),(B32-F32)/F32,"")</f>
        <v/>
      </c>
      <c r="H32" s="39" t="str">
        <f>IF(AND(B32&gt;0,C32&gt;0),ABS(C32-B32)/B32,"")</f>
        <v/>
      </c>
      <c r="I32" s="40">
        <v>0.5</v>
      </c>
      <c r="J32" s="36"/>
      <c r="K32" s="36" t="s">
        <v>64</v>
      </c>
    </row>
    <row r="34" spans="1:14" ht="15.75">
      <c r="A34" s="35" t="s">
        <v>73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</row>
    <row r="35" spans="1:14">
      <c r="A35" s="57" t="s">
        <v>74</v>
      </c>
      <c r="B35" s="57" t="s">
        <v>75</v>
      </c>
      <c r="C35" s="57" t="s">
        <v>44</v>
      </c>
      <c r="D35" s="57" t="s">
        <v>76</v>
      </c>
      <c r="E35" s="57" t="s">
        <v>77</v>
      </c>
      <c r="F35" s="57" t="s">
        <v>45</v>
      </c>
      <c r="G35" s="57" t="s">
        <v>46</v>
      </c>
      <c r="H35" s="57" t="s">
        <v>47</v>
      </c>
      <c r="I35" s="57" t="s">
        <v>50</v>
      </c>
      <c r="J35" s="57" t="s">
        <v>49</v>
      </c>
      <c r="K35" s="57" t="s">
        <v>78</v>
      </c>
      <c r="L35" s="57" t="s">
        <v>18</v>
      </c>
      <c r="M35" s="57" t="s">
        <v>79</v>
      </c>
      <c r="N35" s="57" t="s">
        <v>80</v>
      </c>
    </row>
    <row r="36" spans="1:14">
      <c r="A36" s="41" t="s">
        <v>81</v>
      </c>
      <c r="B36" s="41">
        <v>1</v>
      </c>
      <c r="C36" s="42">
        <v>612</v>
      </c>
      <c r="D36" s="51">
        <v>52536</v>
      </c>
      <c r="E36" s="52">
        <v>85.84</v>
      </c>
      <c r="F36" s="42"/>
      <c r="G36" s="42"/>
      <c r="H36" s="42"/>
      <c r="I36" s="45"/>
      <c r="J36" s="44" t="str">
        <f>IF(AND(C36&gt;0,F36&gt;0),ABS(F36-C36)/C36,"")</f>
        <v/>
      </c>
      <c r="K36" s="41" t="str">
        <f>IF(AND(C36&gt;0,G36&gt;0),IF(AND(C36&gt;=G36,C36&lt;=H36),"✓","✗"),"")</f>
        <v/>
      </c>
      <c r="L36" s="41"/>
      <c r="M36" s="42">
        <v>387</v>
      </c>
      <c r="N36" s="42">
        <v>225</v>
      </c>
    </row>
    <row r="37" spans="1:14">
      <c r="A37" s="46" t="s">
        <v>82</v>
      </c>
      <c r="B37" s="46">
        <v>2</v>
      </c>
      <c r="C37" s="47">
        <v>641</v>
      </c>
      <c r="D37" s="53">
        <v>55082</v>
      </c>
      <c r="E37" s="54">
        <v>85.93</v>
      </c>
      <c r="F37" s="47"/>
      <c r="G37" s="47"/>
      <c r="H37" s="47"/>
      <c r="I37" s="50"/>
      <c r="J37" s="49" t="str">
        <f>IF(AND(C37&gt;0,F37&gt;0),ABS(F37-C37)/C37,"")</f>
        <v/>
      </c>
      <c r="K37" s="46" t="str">
        <f>IF(AND(C37&gt;0,G37&gt;0),IF(AND(C37&gt;=G37,C37&lt;=H37),"✓","✗"),"")</f>
        <v/>
      </c>
      <c r="L37" s="48">
        <f>IF(AND(C37&gt;0,C36&gt;0),(C37-C36)/C36,"")</f>
        <v>4.7385620915032678E-2</v>
      </c>
      <c r="M37" s="47">
        <v>444</v>
      </c>
      <c r="N37" s="47">
        <v>197</v>
      </c>
    </row>
    <row r="38" spans="1:14">
      <c r="A38" s="41" t="s">
        <v>83</v>
      </c>
      <c r="B38" s="41">
        <v>3</v>
      </c>
      <c r="C38" s="42">
        <v>716</v>
      </c>
      <c r="D38" s="51">
        <v>54929</v>
      </c>
      <c r="E38" s="52">
        <v>76.72</v>
      </c>
      <c r="F38" s="42"/>
      <c r="G38" s="42"/>
      <c r="H38" s="42"/>
      <c r="I38" s="45"/>
      <c r="J38" s="44" t="str">
        <f>IF(AND(C38&gt;0,F38&gt;0),ABS(F38-C38)/C38,"")</f>
        <v/>
      </c>
      <c r="K38" s="41" t="str">
        <f>IF(AND(C38&gt;0,G38&gt;0),IF(AND(C38&gt;=G38,C38&lt;=H38),"✓","✗"),"")</f>
        <v/>
      </c>
      <c r="L38" s="43">
        <f>IF(AND(C38&gt;0,C37&gt;0),(C38-C37)/C37,"")</f>
        <v>0.11700468018720749</v>
      </c>
      <c r="M38" s="42">
        <v>442</v>
      </c>
      <c r="N38" s="42">
        <v>274</v>
      </c>
    </row>
    <row r="39" spans="1:14">
      <c r="A39" s="46" t="s">
        <v>84</v>
      </c>
      <c r="B39" s="46">
        <v>4</v>
      </c>
      <c r="C39" s="47">
        <v>743</v>
      </c>
      <c r="D39" s="53">
        <v>52505</v>
      </c>
      <c r="E39" s="54">
        <v>70.67</v>
      </c>
      <c r="F39" s="47"/>
      <c r="G39" s="47"/>
      <c r="H39" s="47"/>
      <c r="I39" s="50"/>
      <c r="J39" s="49" t="str">
        <f>IF(AND(C39&gt;0,F39&gt;0),ABS(F39-C39)/C39,"")</f>
        <v/>
      </c>
      <c r="K39" s="46" t="str">
        <f>IF(AND(C39&gt;0,G39&gt;0),IF(AND(C39&gt;=G39,C39&lt;=H39),"✓","✗"),"")</f>
        <v/>
      </c>
      <c r="L39" s="48">
        <f>IF(AND(C39&gt;0,C38&gt;0),(C39-C38)/C38,"")</f>
        <v>3.7709497206703912E-2</v>
      </c>
      <c r="M39" s="47">
        <v>463</v>
      </c>
      <c r="N39" s="47">
        <v>280</v>
      </c>
    </row>
    <row r="40" spans="1:14">
      <c r="A40" s="41" t="s">
        <v>85</v>
      </c>
      <c r="B40" s="41">
        <v>5</v>
      </c>
      <c r="C40" s="42">
        <v>750</v>
      </c>
      <c r="D40" s="51">
        <v>50865</v>
      </c>
      <c r="E40" s="52">
        <v>67.819999999999993</v>
      </c>
      <c r="F40" s="42"/>
      <c r="G40" s="42"/>
      <c r="H40" s="42"/>
      <c r="I40" s="45"/>
      <c r="J40" s="44" t="str">
        <f>IF(AND(C40&gt;0,F40&gt;0),ABS(F40-C40)/C40,"")</f>
        <v/>
      </c>
      <c r="K40" s="41" t="str">
        <f>IF(AND(C40&gt;0,G40&gt;0),IF(AND(C40&gt;=G40,C40&lt;=H40),"✓","✗"),"")</f>
        <v/>
      </c>
      <c r="L40" s="43">
        <f>IF(AND(C40&gt;0,C39&gt;0),(C40-C39)/C39,"")</f>
        <v>9.4212651413189772E-3</v>
      </c>
      <c r="M40" s="42">
        <v>450</v>
      </c>
      <c r="N40" s="42">
        <v>300</v>
      </c>
    </row>
    <row r="41" spans="1:14">
      <c r="A41" s="46" t="s">
        <v>86</v>
      </c>
      <c r="B41" s="46">
        <v>6</v>
      </c>
      <c r="C41" s="47">
        <v>729</v>
      </c>
      <c r="D41" s="53">
        <v>51663</v>
      </c>
      <c r="E41" s="54">
        <v>70.87</v>
      </c>
      <c r="F41" s="47"/>
      <c r="G41" s="47"/>
      <c r="H41" s="47"/>
      <c r="I41" s="50"/>
      <c r="J41" s="49" t="str">
        <f>IF(AND(C41&gt;0,F41&gt;0),ABS(F41-C41)/C41,"")</f>
        <v/>
      </c>
      <c r="K41" s="46" t="str">
        <f>IF(AND(C41&gt;0,G41&gt;0),IF(AND(C41&gt;=G41,C41&lt;=H41),"✓","✗"),"")</f>
        <v/>
      </c>
      <c r="L41" s="48">
        <f>IF(AND(C41&gt;0,C40&gt;0),(C41-C40)/C40,"")</f>
        <v>-2.8000000000000001E-2</v>
      </c>
      <c r="M41" s="47">
        <v>467</v>
      </c>
      <c r="N41" s="47">
        <v>262</v>
      </c>
    </row>
    <row r="42" spans="1:14">
      <c r="A42" s="41" t="s">
        <v>87</v>
      </c>
      <c r="B42" s="41">
        <v>7</v>
      </c>
      <c r="C42" s="42">
        <v>699</v>
      </c>
      <c r="D42" s="51">
        <v>50197</v>
      </c>
      <c r="E42" s="52">
        <v>71.81</v>
      </c>
      <c r="F42" s="42"/>
      <c r="G42" s="42"/>
      <c r="H42" s="42"/>
      <c r="I42" s="45"/>
      <c r="J42" s="44" t="str">
        <f>IF(AND(C42&gt;0,F42&gt;0),ABS(F42-C42)/C42,"")</f>
        <v/>
      </c>
      <c r="K42" s="41" t="str">
        <f>IF(AND(C42&gt;0,G42&gt;0),IF(AND(C42&gt;=G42,C42&lt;=H42),"✓","✗"),"")</f>
        <v/>
      </c>
      <c r="L42" s="43">
        <f>IF(AND(C42&gt;0,C41&gt;0),(C42-C41)/C41,"")</f>
        <v>-4.1152263374485597E-2</v>
      </c>
      <c r="M42" s="42">
        <v>472</v>
      </c>
      <c r="N42" s="42">
        <v>227</v>
      </c>
    </row>
    <row r="43" spans="1:14">
      <c r="A43" s="46" t="s">
        <v>88</v>
      </c>
      <c r="B43" s="46">
        <v>8</v>
      </c>
      <c r="C43" s="47">
        <v>688</v>
      </c>
      <c r="D43" s="53">
        <v>53490</v>
      </c>
      <c r="E43" s="54">
        <v>77.75</v>
      </c>
      <c r="F43" s="47"/>
      <c r="G43" s="47"/>
      <c r="H43" s="47"/>
      <c r="I43" s="50"/>
      <c r="J43" s="49" t="str">
        <f>IF(AND(C43&gt;0,F43&gt;0),ABS(F43-C43)/C43,"")</f>
        <v/>
      </c>
      <c r="K43" s="46" t="str">
        <f>IF(AND(C43&gt;0,G43&gt;0),IF(AND(C43&gt;=G43,C43&lt;=H43),"✓","✗"),"")</f>
        <v/>
      </c>
      <c r="L43" s="48">
        <f>IF(AND(C43&gt;0,C42&gt;0),(C43-C42)/C42,"")</f>
        <v>-1.5736766809728183E-2</v>
      </c>
      <c r="M43" s="47">
        <v>440</v>
      </c>
      <c r="N43" s="47">
        <v>248</v>
      </c>
    </row>
    <row r="44" spans="1:14">
      <c r="A44" s="41" t="s">
        <v>89</v>
      </c>
      <c r="B44" s="41">
        <v>9</v>
      </c>
      <c r="C44" s="42">
        <v>689</v>
      </c>
      <c r="D44" s="51">
        <v>52280</v>
      </c>
      <c r="E44" s="52">
        <v>75.88</v>
      </c>
      <c r="F44" s="42"/>
      <c r="G44" s="42"/>
      <c r="H44" s="42"/>
      <c r="I44" s="45"/>
      <c r="J44" s="44" t="str">
        <f>IF(AND(C44&gt;0,F44&gt;0),ABS(F44-C44)/C44,"")</f>
        <v/>
      </c>
      <c r="K44" s="41" t="str">
        <f>IF(AND(C44&gt;0,G44&gt;0),IF(AND(C44&gt;=G44,C44&lt;=H44),"✓","✗"),"")</f>
        <v/>
      </c>
      <c r="L44" s="43">
        <f>IF(AND(C44&gt;0,C43&gt;0),(C44-C43)/C43,"")</f>
        <v>1.4534883720930232E-3</v>
      </c>
      <c r="M44" s="42">
        <v>451</v>
      </c>
      <c r="N44" s="42">
        <v>238</v>
      </c>
    </row>
    <row r="45" spans="1:14">
      <c r="A45" s="46" t="s">
        <v>90</v>
      </c>
      <c r="B45" s="46">
        <v>10</v>
      </c>
      <c r="C45" s="47">
        <v>642</v>
      </c>
      <c r="D45" s="53">
        <v>50478</v>
      </c>
      <c r="E45" s="54">
        <v>78.63</v>
      </c>
      <c r="F45" s="47"/>
      <c r="G45" s="47"/>
      <c r="H45" s="47"/>
      <c r="I45" s="50"/>
      <c r="J45" s="49" t="str">
        <f>IF(AND(C45&gt;0,F45&gt;0),ABS(F45-C45)/C45,"")</f>
        <v/>
      </c>
      <c r="K45" s="46" t="str">
        <f>IF(AND(C45&gt;0,G45&gt;0),IF(AND(C45&gt;=G45,C45&lt;=H45),"✓","✗"),"")</f>
        <v/>
      </c>
      <c r="L45" s="48">
        <f>IF(AND(C45&gt;0,C44&gt;0),(C45-C44)/C44,"")</f>
        <v>-6.8214804063860671E-2</v>
      </c>
      <c r="M45" s="47">
        <v>410</v>
      </c>
      <c r="N45" s="47">
        <v>232</v>
      </c>
    </row>
    <row r="46" spans="1:14">
      <c r="A46" s="41" t="s">
        <v>91</v>
      </c>
      <c r="B46" s="41">
        <v>11</v>
      </c>
      <c r="C46" s="42">
        <v>744</v>
      </c>
      <c r="D46" s="51">
        <v>52053</v>
      </c>
      <c r="E46" s="52">
        <v>69.959999999999994</v>
      </c>
      <c r="F46" s="42"/>
      <c r="G46" s="42"/>
      <c r="H46" s="42"/>
      <c r="I46" s="45"/>
      <c r="J46" s="44" t="str">
        <f>IF(AND(C46&gt;0,F46&gt;0),ABS(F46-C46)/C46,"")</f>
        <v/>
      </c>
      <c r="K46" s="41" t="str">
        <f>IF(AND(C46&gt;0,G46&gt;0),IF(AND(C46&gt;=G46,C46&lt;=H46),"✓","✗"),"")</f>
        <v/>
      </c>
      <c r="L46" s="43">
        <f>IF(AND(C46&gt;0,C45&gt;0),(C46-C45)/C45,"")</f>
        <v>0.15887850467289719</v>
      </c>
      <c r="M46" s="42">
        <v>518</v>
      </c>
      <c r="N46" s="42">
        <v>226</v>
      </c>
    </row>
    <row r="47" spans="1:14">
      <c r="A47" s="46" t="s">
        <v>92</v>
      </c>
      <c r="B47" s="46">
        <v>12</v>
      </c>
      <c r="C47" s="47">
        <v>676</v>
      </c>
      <c r="D47" s="53">
        <v>52806</v>
      </c>
      <c r="E47" s="54">
        <v>78.12</v>
      </c>
      <c r="F47" s="47"/>
      <c r="G47" s="47"/>
      <c r="H47" s="47"/>
      <c r="I47" s="50"/>
      <c r="J47" s="49" t="str">
        <f>IF(AND(C47&gt;0,F47&gt;0),ABS(F47-C47)/C47,"")</f>
        <v/>
      </c>
      <c r="K47" s="46" t="str">
        <f>IF(AND(C47&gt;0,G47&gt;0),IF(AND(C47&gt;=G47,C47&lt;=H47),"✓","✗"),"")</f>
        <v/>
      </c>
      <c r="L47" s="48">
        <f>IF(AND(C47&gt;0,C46&gt;0),(C47-C46)/C46,"")</f>
        <v>-9.1397849462365593E-2</v>
      </c>
      <c r="M47" s="47">
        <v>447</v>
      </c>
      <c r="N47" s="47">
        <v>229</v>
      </c>
    </row>
    <row r="48" spans="1:14">
      <c r="A48" s="41" t="s">
        <v>93</v>
      </c>
      <c r="B48" s="41">
        <v>13</v>
      </c>
      <c r="C48" s="42">
        <v>773</v>
      </c>
      <c r="D48" s="51">
        <v>51998</v>
      </c>
      <c r="E48" s="52">
        <v>67.27</v>
      </c>
      <c r="F48" s="42"/>
      <c r="G48" s="42"/>
      <c r="H48" s="42"/>
      <c r="I48" s="45"/>
      <c r="J48" s="44" t="str">
        <f>IF(AND(C48&gt;0,F48&gt;0),ABS(F48-C48)/C48,"")</f>
        <v/>
      </c>
      <c r="K48" s="41" t="str">
        <f>IF(AND(C48&gt;0,G48&gt;0),IF(AND(C48&gt;=G48,C48&lt;=H48),"✓","✗"),"")</f>
        <v/>
      </c>
      <c r="L48" s="43">
        <f>IF(AND(C48&gt;0,C47&gt;0),(C48-C47)/C47,"")</f>
        <v>0.14349112426035504</v>
      </c>
      <c r="M48" s="42">
        <v>529</v>
      </c>
      <c r="N48" s="42">
        <v>244</v>
      </c>
    </row>
    <row r="49" spans="1:14">
      <c r="A49" s="46" t="s">
        <v>94</v>
      </c>
      <c r="B49" s="46">
        <v>14</v>
      </c>
      <c r="C49" s="47">
        <v>634</v>
      </c>
      <c r="D49" s="53">
        <v>50755</v>
      </c>
      <c r="E49" s="54">
        <v>80.06</v>
      </c>
      <c r="F49" s="47"/>
      <c r="G49" s="47"/>
      <c r="H49" s="47"/>
      <c r="I49" s="50"/>
      <c r="J49" s="49" t="str">
        <f>IF(AND(C49&gt;0,F49&gt;0),ABS(F49-C49)/C49,"")</f>
        <v/>
      </c>
      <c r="K49" s="46" t="str">
        <f>IF(AND(C49&gt;0,G49&gt;0),IF(AND(C49&gt;=G49,C49&lt;=H49),"✓","✗"),"")</f>
        <v/>
      </c>
      <c r="L49" s="48">
        <f>IF(AND(C49&gt;0,C48&gt;0),(C49-C48)/C48,"")</f>
        <v>-0.17981888745148772</v>
      </c>
      <c r="M49" s="47">
        <v>401</v>
      </c>
      <c r="N49" s="47">
        <v>233</v>
      </c>
    </row>
    <row r="50" spans="1:14">
      <c r="A50" s="41" t="s">
        <v>95</v>
      </c>
      <c r="B50" s="41">
        <v>15</v>
      </c>
      <c r="C50" s="42">
        <v>680</v>
      </c>
      <c r="D50" s="51">
        <v>56443</v>
      </c>
      <c r="E50" s="52">
        <v>83</v>
      </c>
      <c r="F50" s="42"/>
      <c r="G50" s="42"/>
      <c r="H50" s="42"/>
      <c r="I50" s="45"/>
      <c r="J50" s="44" t="str">
        <f>IF(AND(C50&gt;0,F50&gt;0),ABS(F50-C50)/C50,"")</f>
        <v/>
      </c>
      <c r="K50" s="41" t="str">
        <f>IF(AND(C50&gt;0,G50&gt;0),IF(AND(C50&gt;=G50,C50&lt;=H50),"✓","✗"),"")</f>
        <v/>
      </c>
      <c r="L50" s="43">
        <f>IF(AND(C50&gt;0,C49&gt;0),(C50-C49)/C49,"")</f>
        <v>7.2555205047318619E-2</v>
      </c>
      <c r="M50" s="42">
        <v>422</v>
      </c>
      <c r="N50" s="42">
        <v>258</v>
      </c>
    </row>
    <row r="51" spans="1:14">
      <c r="A51" s="36" t="s">
        <v>96</v>
      </c>
      <c r="B51" s="36">
        <v>16</v>
      </c>
      <c r="C51" s="36"/>
      <c r="D51" s="36"/>
      <c r="E51" s="36"/>
      <c r="F51" s="37">
        <v>612</v>
      </c>
      <c r="G51" s="37">
        <v>490</v>
      </c>
      <c r="H51" s="37">
        <v>734</v>
      </c>
      <c r="I51" s="40">
        <v>0.4</v>
      </c>
      <c r="J51" s="39" t="str">
        <f>IF(AND(C51&gt;0,F51&gt;0),ABS(F51-C51)/C51,"")</f>
        <v/>
      </c>
      <c r="K51" s="36" t="str">
        <f>IF(AND(C51&gt;0,G51&gt;0),IF(AND(C51&gt;=G51,C51&lt;=H51),"✓","✗"),"")</f>
        <v/>
      </c>
      <c r="L51" s="38" t="str">
        <f>IF(AND(C51&gt;0,C50&gt;0),(C51-C50)/C50,"")</f>
        <v/>
      </c>
      <c r="M51" s="36"/>
      <c r="N51" s="36"/>
    </row>
    <row r="52" spans="1:14">
      <c r="A52" s="36" t="s">
        <v>97</v>
      </c>
      <c r="B52" s="36">
        <v>17</v>
      </c>
      <c r="C52" s="36"/>
      <c r="D52" s="36"/>
      <c r="E52" s="36"/>
      <c r="F52" s="37">
        <v>612</v>
      </c>
      <c r="G52" s="37">
        <v>490</v>
      </c>
      <c r="H52" s="37">
        <v>734</v>
      </c>
      <c r="I52" s="40">
        <v>0.4</v>
      </c>
      <c r="J52" s="39" t="str">
        <f>IF(AND(C52&gt;0,F52&gt;0),ABS(F52-C52)/C52,"")</f>
        <v/>
      </c>
      <c r="K52" s="36" t="str">
        <f>IF(AND(C52&gt;0,G52&gt;0),IF(AND(C52&gt;=G52,C52&lt;=H52),"✓","✗"),"")</f>
        <v/>
      </c>
      <c r="L52" s="38" t="str">
        <f>IF(AND(C52&gt;0,C51&gt;0),(C52-C51)/C51,"")</f>
        <v/>
      </c>
      <c r="M52" s="36"/>
      <c r="N52" s="36"/>
    </row>
    <row r="53" spans="1:14">
      <c r="A53" s="36" t="s">
        <v>98</v>
      </c>
      <c r="B53" s="36">
        <v>18</v>
      </c>
      <c r="C53" s="36"/>
      <c r="D53" s="36"/>
      <c r="E53" s="36"/>
      <c r="F53" s="37">
        <v>544</v>
      </c>
      <c r="G53" s="37">
        <v>435</v>
      </c>
      <c r="H53" s="37">
        <v>653</v>
      </c>
      <c r="I53" s="40">
        <v>0.4</v>
      </c>
      <c r="J53" s="39" t="str">
        <f>IF(AND(C53&gt;0,F53&gt;0),ABS(F53-C53)/C53,"")</f>
        <v/>
      </c>
      <c r="K53" s="36" t="str">
        <f>IF(AND(C53&gt;0,G53&gt;0),IF(AND(C53&gt;=G53,C53&lt;=H53),"✓","✗"),"")</f>
        <v/>
      </c>
      <c r="L53" s="38" t="str">
        <f>IF(AND(C53&gt;0,C52&gt;0),(C53-C52)/C52,"")</f>
        <v/>
      </c>
      <c r="M53" s="36"/>
      <c r="N53" s="36"/>
    </row>
    <row r="54" spans="1:14">
      <c r="A54" s="36" t="s">
        <v>99</v>
      </c>
      <c r="B54" s="36">
        <v>19</v>
      </c>
      <c r="C54" s="36"/>
      <c r="D54" s="36"/>
      <c r="E54" s="36"/>
      <c r="F54" s="37">
        <v>544</v>
      </c>
      <c r="G54" s="37">
        <v>435</v>
      </c>
      <c r="H54" s="37">
        <v>653</v>
      </c>
      <c r="I54" s="40">
        <v>0.4</v>
      </c>
      <c r="J54" s="39" t="str">
        <f>IF(AND(C54&gt;0,F54&gt;0),ABS(F54-C54)/C54,"")</f>
        <v/>
      </c>
      <c r="K54" s="36" t="str">
        <f>IF(AND(C54&gt;0,G54&gt;0),IF(AND(C54&gt;=G54,C54&lt;=H54),"✓","✗"),"")</f>
        <v/>
      </c>
      <c r="L54" s="38" t="str">
        <f>IF(AND(C54&gt;0,C53&gt;0),(C54-C53)/C53,"")</f>
        <v/>
      </c>
      <c r="M54" s="36"/>
      <c r="N54" s="36"/>
    </row>
    <row r="55" spans="1:14">
      <c r="A55" s="36" t="s">
        <v>100</v>
      </c>
      <c r="B55" s="36">
        <v>20</v>
      </c>
      <c r="C55" s="36"/>
      <c r="D55" s="36"/>
      <c r="E55" s="36"/>
      <c r="F55" s="37">
        <v>544</v>
      </c>
      <c r="G55" s="37">
        <v>435</v>
      </c>
      <c r="H55" s="37">
        <v>653</v>
      </c>
      <c r="I55" s="40">
        <v>0.4</v>
      </c>
      <c r="J55" s="39" t="str">
        <f>IF(AND(C55&gt;0,F55&gt;0),ABS(F55-C55)/C55,"")</f>
        <v/>
      </c>
      <c r="K55" s="36" t="str">
        <f>IF(AND(C55&gt;0,G55&gt;0),IF(AND(C55&gt;=G55,C55&lt;=H55),"✓","✗"),"")</f>
        <v/>
      </c>
      <c r="L55" s="38" t="str">
        <f>IF(AND(C55&gt;0,C54&gt;0),(C55-C54)/C54,"")</f>
        <v/>
      </c>
      <c r="M55" s="36"/>
      <c r="N55" s="36"/>
    </row>
    <row r="56" spans="1:14">
      <c r="A56" s="36" t="s">
        <v>101</v>
      </c>
      <c r="B56" s="36">
        <v>21</v>
      </c>
      <c r="C56" s="36"/>
      <c r="D56" s="36"/>
      <c r="E56" s="36"/>
      <c r="F56" s="37">
        <v>544</v>
      </c>
      <c r="G56" s="37">
        <v>435</v>
      </c>
      <c r="H56" s="37">
        <v>653</v>
      </c>
      <c r="I56" s="40">
        <v>0.4</v>
      </c>
      <c r="J56" s="39" t="str">
        <f>IF(AND(C56&gt;0,F56&gt;0),ABS(F56-C56)/C56,"")</f>
        <v/>
      </c>
      <c r="K56" s="36" t="str">
        <f>IF(AND(C56&gt;0,G56&gt;0),IF(AND(C56&gt;=G56,C56&lt;=H56),"✓","✗"),"")</f>
        <v/>
      </c>
      <c r="L56" s="38" t="str">
        <f>IF(AND(C56&gt;0,C55&gt;0),(C56-C55)/C55,"")</f>
        <v/>
      </c>
      <c r="M56" s="36"/>
      <c r="N56" s="36"/>
    </row>
    <row r="57" spans="1:14">
      <c r="A57" s="36" t="s">
        <v>102</v>
      </c>
      <c r="B57" s="36">
        <v>22</v>
      </c>
      <c r="C57" s="36"/>
      <c r="D57" s="36"/>
      <c r="E57" s="36"/>
      <c r="F57" s="37">
        <v>544</v>
      </c>
      <c r="G57" s="37">
        <v>435</v>
      </c>
      <c r="H57" s="37">
        <v>653</v>
      </c>
      <c r="I57" s="40">
        <v>0.4</v>
      </c>
      <c r="J57" s="39" t="str">
        <f>IF(AND(C57&gt;0,F57&gt;0),ABS(F57-C57)/C57,"")</f>
        <v/>
      </c>
      <c r="K57" s="36" t="str">
        <f>IF(AND(C57&gt;0,G57&gt;0),IF(AND(C57&gt;=G57,C57&lt;=H57),"✓","✗"),"")</f>
        <v/>
      </c>
      <c r="L57" s="38" t="str">
        <f>IF(AND(C57&gt;0,C56&gt;0),(C57-C56)/C56,"")</f>
        <v/>
      </c>
      <c r="M57" s="36"/>
      <c r="N57" s="36"/>
    </row>
    <row r="58" spans="1:14">
      <c r="A58" s="36" t="s">
        <v>103</v>
      </c>
      <c r="B58" s="36">
        <v>23</v>
      </c>
      <c r="C58" s="36"/>
      <c r="D58" s="36"/>
      <c r="E58" s="36"/>
      <c r="F58" s="37">
        <v>674</v>
      </c>
      <c r="G58" s="37">
        <v>539</v>
      </c>
      <c r="H58" s="37">
        <v>809</v>
      </c>
      <c r="I58" s="40">
        <v>0.4</v>
      </c>
      <c r="J58" s="39" t="str">
        <f>IF(AND(C58&gt;0,F58&gt;0),ABS(F58-C58)/C58,"")</f>
        <v/>
      </c>
      <c r="K58" s="36" t="str">
        <f>IF(AND(C58&gt;0,G58&gt;0),IF(AND(C58&gt;=G58,C58&lt;=H58),"✓","✗"),"")</f>
        <v/>
      </c>
      <c r="L58" s="38" t="str">
        <f>IF(AND(C58&gt;0,C57&gt;0),(C58-C57)/C57,"")</f>
        <v/>
      </c>
      <c r="M58" s="36"/>
      <c r="N58" s="36"/>
    </row>
    <row r="59" spans="1:14">
      <c r="A59" s="36" t="s">
        <v>104</v>
      </c>
      <c r="B59" s="36">
        <v>24</v>
      </c>
      <c r="C59" s="36"/>
      <c r="D59" s="36"/>
      <c r="E59" s="36"/>
      <c r="F59" s="37">
        <v>674</v>
      </c>
      <c r="G59" s="37">
        <v>539</v>
      </c>
      <c r="H59" s="37">
        <v>809</v>
      </c>
      <c r="I59" s="40">
        <v>0.4</v>
      </c>
      <c r="J59" s="39" t="str">
        <f>IF(AND(C59&gt;0,F59&gt;0),ABS(F59-C59)/C59,"")</f>
        <v/>
      </c>
      <c r="K59" s="36" t="str">
        <f>IF(AND(C59&gt;0,G59&gt;0),IF(AND(C59&gt;=G59,C59&lt;=H59),"✓","✗"),"")</f>
        <v/>
      </c>
      <c r="L59" s="38" t="str">
        <f>IF(AND(C59&gt;0,C58&gt;0),(C59-C58)/C58,"")</f>
        <v/>
      </c>
      <c r="M59" s="36"/>
      <c r="N59" s="36"/>
    </row>
    <row r="60" spans="1:14">
      <c r="A60" s="36" t="s">
        <v>105</v>
      </c>
      <c r="B60" s="36">
        <v>25</v>
      </c>
      <c r="C60" s="36"/>
      <c r="D60" s="36"/>
      <c r="E60" s="36"/>
      <c r="F60" s="37">
        <v>674</v>
      </c>
      <c r="G60" s="37">
        <v>539</v>
      </c>
      <c r="H60" s="37">
        <v>809</v>
      </c>
      <c r="I60" s="40">
        <v>0.4</v>
      </c>
      <c r="J60" s="39" t="str">
        <f>IF(AND(C60&gt;0,F60&gt;0),ABS(F60-C60)/C60,"")</f>
        <v/>
      </c>
      <c r="K60" s="36" t="str">
        <f>IF(AND(C60&gt;0,G60&gt;0),IF(AND(C60&gt;=G60,C60&lt;=H60),"✓","✗"),"")</f>
        <v/>
      </c>
      <c r="L60" s="38" t="str">
        <f>IF(AND(C60&gt;0,C59&gt;0),(C60-C59)/C59,"")</f>
        <v/>
      </c>
      <c r="M60" s="36"/>
      <c r="N60" s="36"/>
    </row>
    <row r="61" spans="1:14">
      <c r="A61" s="36" t="s">
        <v>106</v>
      </c>
      <c r="B61" s="36">
        <v>26</v>
      </c>
      <c r="C61" s="36"/>
      <c r="D61" s="36"/>
      <c r="E61" s="36"/>
      <c r="F61" s="37">
        <v>674</v>
      </c>
      <c r="G61" s="37">
        <v>539</v>
      </c>
      <c r="H61" s="37">
        <v>809</v>
      </c>
      <c r="I61" s="40">
        <v>0.4</v>
      </c>
      <c r="J61" s="39" t="str">
        <f>IF(AND(C61&gt;0,F61&gt;0),ABS(F61-C61)/C61,"")</f>
        <v/>
      </c>
      <c r="K61" s="36" t="str">
        <f>IF(AND(C61&gt;0,G61&gt;0),IF(AND(C61&gt;=G61,C61&lt;=H61),"✓","✗"),"")</f>
        <v/>
      </c>
      <c r="L61" s="38" t="str">
        <f>IF(AND(C61&gt;0,C60&gt;0),(C61-C60)/C60,"")</f>
        <v/>
      </c>
      <c r="M61" s="36"/>
      <c r="N61" s="36"/>
    </row>
    <row r="62" spans="1:14">
      <c r="A62" s="36" t="s">
        <v>107</v>
      </c>
      <c r="B62" s="36">
        <v>27</v>
      </c>
      <c r="C62" s="36"/>
      <c r="D62" s="36"/>
      <c r="E62" s="36"/>
      <c r="F62" s="37">
        <v>613</v>
      </c>
      <c r="G62" s="37">
        <v>490</v>
      </c>
      <c r="H62" s="37">
        <v>736</v>
      </c>
      <c r="I62" s="40">
        <v>0.4</v>
      </c>
      <c r="J62" s="39" t="str">
        <f>IF(AND(C62&gt;0,F62&gt;0),ABS(F62-C62)/C62,"")</f>
        <v/>
      </c>
      <c r="K62" s="36" t="str">
        <f>IF(AND(C62&gt;0,G62&gt;0),IF(AND(C62&gt;=G62,C62&lt;=H62),"✓","✗"),"")</f>
        <v/>
      </c>
      <c r="L62" s="38" t="str">
        <f>IF(AND(C62&gt;0,C61&gt;0),(C62-C61)/C61,"")</f>
        <v/>
      </c>
      <c r="M62" s="36"/>
      <c r="N62" s="36"/>
    </row>
    <row r="63" spans="1:14">
      <c r="A63" s="36" t="s">
        <v>108</v>
      </c>
      <c r="B63" s="36">
        <v>28</v>
      </c>
      <c r="C63" s="36"/>
      <c r="D63" s="36"/>
      <c r="E63" s="36"/>
      <c r="F63" s="37">
        <v>613</v>
      </c>
      <c r="G63" s="37">
        <v>490</v>
      </c>
      <c r="H63" s="37">
        <v>736</v>
      </c>
      <c r="I63" s="40">
        <v>0.4</v>
      </c>
      <c r="J63" s="39" t="str">
        <f>IF(AND(C63&gt;0,F63&gt;0),ABS(F63-C63)/C63,"")</f>
        <v/>
      </c>
      <c r="K63" s="36" t="str">
        <f>IF(AND(C63&gt;0,G63&gt;0),IF(AND(C63&gt;=G63,C63&lt;=H63),"✓","✗"),"")</f>
        <v/>
      </c>
      <c r="L63" s="38" t="str">
        <f>IF(AND(C63&gt;0,C62&gt;0),(C63-C62)/C62,"")</f>
        <v/>
      </c>
      <c r="M63" s="36"/>
      <c r="N63" s="36"/>
    </row>
    <row r="64" spans="1:14">
      <c r="A64" s="36" t="s">
        <v>109</v>
      </c>
      <c r="B64" s="36">
        <v>29</v>
      </c>
      <c r="C64" s="36"/>
      <c r="D64" s="36"/>
      <c r="E64" s="36"/>
      <c r="F64" s="37">
        <v>613</v>
      </c>
      <c r="G64" s="37">
        <v>490</v>
      </c>
      <c r="H64" s="37">
        <v>736</v>
      </c>
      <c r="I64" s="40">
        <v>0.4</v>
      </c>
      <c r="J64" s="39" t="str">
        <f>IF(AND(C64&gt;0,F64&gt;0),ABS(F64-C64)/C64,"")</f>
        <v/>
      </c>
      <c r="K64" s="36" t="str">
        <f>IF(AND(C64&gt;0,G64&gt;0),IF(AND(C64&gt;=G64,C64&lt;=H64),"✓","✗"),"")</f>
        <v/>
      </c>
      <c r="L64" s="38" t="str">
        <f>IF(AND(C64&gt;0,C63&gt;0),(C64-C63)/C63,"")</f>
        <v/>
      </c>
      <c r="M64" s="36"/>
      <c r="N64" s="36"/>
    </row>
    <row r="65" spans="1:14">
      <c r="A65" s="36" t="s">
        <v>110</v>
      </c>
      <c r="B65" s="36">
        <v>30</v>
      </c>
      <c r="C65" s="36"/>
      <c r="D65" s="36"/>
      <c r="E65" s="36"/>
      <c r="F65" s="37">
        <v>613</v>
      </c>
      <c r="G65" s="37">
        <v>490</v>
      </c>
      <c r="H65" s="37">
        <v>736</v>
      </c>
      <c r="I65" s="40">
        <v>0.4</v>
      </c>
      <c r="J65" s="39" t="str">
        <f>IF(AND(C65&gt;0,F65&gt;0),ABS(F65-C65)/C65,"")</f>
        <v/>
      </c>
      <c r="K65" s="36" t="str">
        <f>IF(AND(C65&gt;0,G65&gt;0),IF(AND(C65&gt;=G65,C65&lt;=H65),"✓","✗"),"")</f>
        <v/>
      </c>
      <c r="L65" s="38" t="str">
        <f>IF(AND(C65&gt;0,C64&gt;0),(C65-C64)/C64,"")</f>
        <v/>
      </c>
      <c r="M65" s="36"/>
      <c r="N65" s="36"/>
    </row>
    <row r="66" spans="1:14">
      <c r="A66" s="36" t="s">
        <v>111</v>
      </c>
      <c r="B66" s="36">
        <v>31</v>
      </c>
      <c r="C66" s="36"/>
      <c r="D66" s="36"/>
      <c r="E66" s="36"/>
      <c r="F66" s="37">
        <v>613</v>
      </c>
      <c r="G66" s="37">
        <v>490</v>
      </c>
      <c r="H66" s="37">
        <v>736</v>
      </c>
      <c r="I66" s="40">
        <v>0.4</v>
      </c>
      <c r="J66" s="39" t="str">
        <f>IF(AND(C66&gt;0,F66&gt;0),ABS(F66-C66)/C66,"")</f>
        <v/>
      </c>
      <c r="K66" s="36" t="str">
        <f>IF(AND(C66&gt;0,G66&gt;0),IF(AND(C66&gt;=G66,C66&lt;=H66),"✓","✗"),"")</f>
        <v/>
      </c>
      <c r="L66" s="38" t="str">
        <f>IF(AND(C66&gt;0,C65&gt;0),(C66-C65)/C65,"")</f>
        <v/>
      </c>
      <c r="M66" s="36"/>
      <c r="N66" s="36"/>
    </row>
    <row r="67" spans="1:14">
      <c r="A67" s="36" t="s">
        <v>112</v>
      </c>
      <c r="B67" s="36">
        <v>32</v>
      </c>
      <c r="C67" s="36"/>
      <c r="D67" s="36"/>
      <c r="E67" s="36"/>
      <c r="F67" s="37">
        <v>737</v>
      </c>
      <c r="G67" s="37">
        <v>590</v>
      </c>
      <c r="H67" s="37">
        <v>884</v>
      </c>
      <c r="I67" s="40">
        <v>0.4</v>
      </c>
      <c r="J67" s="39" t="str">
        <f>IF(AND(C67&gt;0,F67&gt;0),ABS(F67-C67)/C67,"")</f>
        <v/>
      </c>
      <c r="K67" s="36" t="str">
        <f>IF(AND(C67&gt;0,G67&gt;0),IF(AND(C67&gt;=G67,C67&lt;=H67),"✓","✗"),"")</f>
        <v/>
      </c>
      <c r="L67" s="38" t="str">
        <f>IF(AND(C67&gt;0,C66&gt;0),(C67-C66)/C66,"")</f>
        <v/>
      </c>
      <c r="M67" s="36"/>
      <c r="N67" s="36"/>
    </row>
    <row r="68" spans="1:14">
      <c r="A68" s="36" t="s">
        <v>113</v>
      </c>
      <c r="B68" s="36">
        <v>33</v>
      </c>
      <c r="C68" s="36"/>
      <c r="D68" s="36"/>
      <c r="E68" s="36"/>
      <c r="F68" s="37">
        <v>737</v>
      </c>
      <c r="G68" s="37">
        <v>590</v>
      </c>
      <c r="H68" s="37">
        <v>884</v>
      </c>
      <c r="I68" s="40">
        <v>0.4</v>
      </c>
      <c r="J68" s="39" t="str">
        <f>IF(AND(C68&gt;0,F68&gt;0),ABS(F68-C68)/C68,"")</f>
        <v/>
      </c>
      <c r="K68" s="36" t="str">
        <f>IF(AND(C68&gt;0,G68&gt;0),IF(AND(C68&gt;=G68,C68&lt;=H68),"✓","✗"),"")</f>
        <v/>
      </c>
      <c r="L68" s="38" t="str">
        <f>IF(AND(C68&gt;0,C67&gt;0),(C68-C67)/C67,"")</f>
        <v/>
      </c>
      <c r="M68" s="36"/>
      <c r="N68" s="36"/>
    </row>
    <row r="69" spans="1:14">
      <c r="A69" s="36" t="s">
        <v>114</v>
      </c>
      <c r="B69" s="36">
        <v>34</v>
      </c>
      <c r="C69" s="36"/>
      <c r="D69" s="36"/>
      <c r="E69" s="36"/>
      <c r="F69" s="37">
        <v>737</v>
      </c>
      <c r="G69" s="37">
        <v>590</v>
      </c>
      <c r="H69" s="37">
        <v>884</v>
      </c>
      <c r="I69" s="40">
        <v>0.4</v>
      </c>
      <c r="J69" s="39" t="str">
        <f>IF(AND(C69&gt;0,F69&gt;0),ABS(F69-C69)/C69,"")</f>
        <v/>
      </c>
      <c r="K69" s="36" t="str">
        <f>IF(AND(C69&gt;0,G69&gt;0),IF(AND(C69&gt;=G69,C69&lt;=H69),"✓","✗"),"")</f>
        <v/>
      </c>
      <c r="L69" s="38" t="str">
        <f>IF(AND(C69&gt;0,C68&gt;0),(C69-C68)/C68,"")</f>
        <v/>
      </c>
      <c r="M69" s="36"/>
      <c r="N69" s="36"/>
    </row>
    <row r="70" spans="1:14">
      <c r="A70" s="36" t="s">
        <v>115</v>
      </c>
      <c r="B70" s="36">
        <v>35</v>
      </c>
      <c r="C70" s="36"/>
      <c r="D70" s="36"/>
      <c r="E70" s="36"/>
      <c r="F70" s="37">
        <v>737</v>
      </c>
      <c r="G70" s="37">
        <v>590</v>
      </c>
      <c r="H70" s="37">
        <v>884</v>
      </c>
      <c r="I70" s="40">
        <v>0.4</v>
      </c>
      <c r="J70" s="39" t="str">
        <f>IF(AND(C70&gt;0,F70&gt;0),ABS(F70-C70)/C70,"")</f>
        <v/>
      </c>
      <c r="K70" s="36" t="str">
        <f>IF(AND(C70&gt;0,G70&gt;0),IF(AND(C70&gt;=G70,C70&lt;=H70),"✓","✗"),"")</f>
        <v/>
      </c>
      <c r="L70" s="38" t="str">
        <f>IF(AND(C70&gt;0,C69&gt;0),(C70-C69)/C69,"")</f>
        <v/>
      </c>
      <c r="M70" s="36"/>
      <c r="N70" s="36"/>
    </row>
    <row r="71" spans="1:14">
      <c r="A71" s="36" t="s">
        <v>116</v>
      </c>
      <c r="B71" s="36">
        <v>36</v>
      </c>
      <c r="C71" s="36"/>
      <c r="D71" s="36"/>
      <c r="E71" s="36"/>
      <c r="F71" s="37">
        <v>824</v>
      </c>
      <c r="G71" s="37">
        <v>659</v>
      </c>
      <c r="H71" s="37">
        <v>989</v>
      </c>
      <c r="I71" s="40">
        <v>0.4</v>
      </c>
      <c r="J71" s="39" t="str">
        <f>IF(AND(C71&gt;0,F71&gt;0),ABS(F71-C71)/C71,"")</f>
        <v/>
      </c>
      <c r="K71" s="36" t="str">
        <f>IF(AND(C71&gt;0,G71&gt;0),IF(AND(C71&gt;=G71,C71&lt;=H71),"✓","✗"),"")</f>
        <v/>
      </c>
      <c r="L71" s="38" t="str">
        <f>IF(AND(C71&gt;0,C70&gt;0),(C71-C70)/C70,"")</f>
        <v/>
      </c>
      <c r="M71" s="36"/>
      <c r="N71" s="36"/>
    </row>
    <row r="72" spans="1:14">
      <c r="A72" s="36" t="s">
        <v>117</v>
      </c>
      <c r="B72" s="36">
        <v>37</v>
      </c>
      <c r="C72" s="36"/>
      <c r="D72" s="36"/>
      <c r="E72" s="36"/>
      <c r="F72" s="37">
        <v>824</v>
      </c>
      <c r="G72" s="37">
        <v>659</v>
      </c>
      <c r="H72" s="37">
        <v>989</v>
      </c>
      <c r="I72" s="40">
        <v>0.4</v>
      </c>
      <c r="J72" s="39" t="str">
        <f>IF(AND(C72&gt;0,F72&gt;0),ABS(F72-C72)/C72,"")</f>
        <v/>
      </c>
      <c r="K72" s="36" t="str">
        <f>IF(AND(C72&gt;0,G72&gt;0),IF(AND(C72&gt;=G72,C72&lt;=H72),"✓","✗"),"")</f>
        <v/>
      </c>
      <c r="L72" s="38" t="str">
        <f>IF(AND(C72&gt;0,C71&gt;0),(C72-C71)/C71,"")</f>
        <v/>
      </c>
      <c r="M72" s="36"/>
      <c r="N72" s="36"/>
    </row>
    <row r="73" spans="1:14">
      <c r="A73" s="36" t="s">
        <v>118</v>
      </c>
      <c r="B73" s="36">
        <v>38</v>
      </c>
      <c r="C73" s="36"/>
      <c r="D73" s="36"/>
      <c r="E73" s="36"/>
      <c r="F73" s="37">
        <v>824</v>
      </c>
      <c r="G73" s="37">
        <v>659</v>
      </c>
      <c r="H73" s="37">
        <v>989</v>
      </c>
      <c r="I73" s="40">
        <v>0.4</v>
      </c>
      <c r="J73" s="39" t="str">
        <f>IF(AND(C73&gt;0,F73&gt;0),ABS(F73-C73)/C73,"")</f>
        <v/>
      </c>
      <c r="K73" s="36" t="str">
        <f>IF(AND(C73&gt;0,G73&gt;0),IF(AND(C73&gt;=G73,C73&lt;=H73),"✓","✗"),"")</f>
        <v/>
      </c>
      <c r="L73" s="38" t="str">
        <f>IF(AND(C73&gt;0,C72&gt;0),(C73-C72)/C72,"")</f>
        <v/>
      </c>
      <c r="M73" s="36"/>
      <c r="N73" s="36"/>
    </row>
    <row r="74" spans="1:14">
      <c r="A74" s="36" t="s">
        <v>119</v>
      </c>
      <c r="B74" s="36">
        <v>39</v>
      </c>
      <c r="C74" s="36"/>
      <c r="D74" s="36"/>
      <c r="E74" s="36"/>
      <c r="F74" s="37">
        <v>824</v>
      </c>
      <c r="G74" s="37">
        <v>659</v>
      </c>
      <c r="H74" s="37">
        <v>989</v>
      </c>
      <c r="I74" s="40">
        <v>0.4</v>
      </c>
      <c r="J74" s="39" t="str">
        <f>IF(AND(C74&gt;0,F74&gt;0),ABS(F74-C74)/C74,"")</f>
        <v/>
      </c>
      <c r="K74" s="36" t="str">
        <f>IF(AND(C74&gt;0,G74&gt;0),IF(AND(C74&gt;=G74,C74&lt;=H74),"✓","✗"),"")</f>
        <v/>
      </c>
      <c r="L74" s="38" t="str">
        <f>IF(AND(C74&gt;0,C73&gt;0),(C74-C73)/C73,"")</f>
        <v/>
      </c>
      <c r="M74" s="36"/>
      <c r="N74" s="36"/>
    </row>
    <row r="75" spans="1:14">
      <c r="A75" s="36" t="s">
        <v>120</v>
      </c>
      <c r="B75" s="36">
        <v>40</v>
      </c>
      <c r="C75" s="36"/>
      <c r="D75" s="36"/>
      <c r="E75" s="36"/>
      <c r="F75" s="37">
        <v>710</v>
      </c>
      <c r="G75" s="37">
        <v>568</v>
      </c>
      <c r="H75" s="37">
        <v>852</v>
      </c>
      <c r="I75" s="40">
        <v>0.4</v>
      </c>
      <c r="J75" s="39" t="str">
        <f>IF(AND(C75&gt;0,F75&gt;0),ABS(F75-C75)/C75,"")</f>
        <v/>
      </c>
      <c r="K75" s="36" t="str">
        <f>IF(AND(C75&gt;0,G75&gt;0),IF(AND(C75&gt;=G75,C75&lt;=H75),"✓","✗"),"")</f>
        <v/>
      </c>
      <c r="L75" s="38" t="str">
        <f>IF(AND(C75&gt;0,C74&gt;0),(C75-C74)/C74,"")</f>
        <v/>
      </c>
      <c r="M75" s="36"/>
      <c r="N75" s="36"/>
    </row>
    <row r="76" spans="1:14">
      <c r="A76" s="36" t="s">
        <v>121</v>
      </c>
      <c r="B76" s="36">
        <v>41</v>
      </c>
      <c r="C76" s="36"/>
      <c r="D76" s="36"/>
      <c r="E76" s="36"/>
      <c r="F76" s="37">
        <v>710</v>
      </c>
      <c r="G76" s="37">
        <v>568</v>
      </c>
      <c r="H76" s="37">
        <v>852</v>
      </c>
      <c r="I76" s="40">
        <v>0.4</v>
      </c>
      <c r="J76" s="39" t="str">
        <f>IF(AND(C76&gt;0,F76&gt;0),ABS(F76-C76)/C76,"")</f>
        <v/>
      </c>
      <c r="K76" s="36" t="str">
        <f>IF(AND(C76&gt;0,G76&gt;0),IF(AND(C76&gt;=G76,C76&lt;=H76),"✓","✗"),"")</f>
        <v/>
      </c>
      <c r="L76" s="38" t="str">
        <f>IF(AND(C76&gt;0,C75&gt;0),(C76-C75)/C75,"")</f>
        <v/>
      </c>
      <c r="M76" s="36"/>
      <c r="N76" s="36"/>
    </row>
    <row r="77" spans="1:14">
      <c r="A77" s="36" t="s">
        <v>122</v>
      </c>
      <c r="B77" s="36">
        <v>42</v>
      </c>
      <c r="C77" s="36"/>
      <c r="D77" s="36"/>
      <c r="E77" s="36"/>
      <c r="F77" s="37">
        <v>710</v>
      </c>
      <c r="G77" s="37">
        <v>568</v>
      </c>
      <c r="H77" s="37">
        <v>852</v>
      </c>
      <c r="I77" s="40">
        <v>0.4</v>
      </c>
      <c r="J77" s="39" t="str">
        <f>IF(AND(C77&gt;0,F77&gt;0),ABS(F77-C77)/C77,"")</f>
        <v/>
      </c>
      <c r="K77" s="36" t="str">
        <f>IF(AND(C77&gt;0,G77&gt;0),IF(AND(C77&gt;=G77,C77&lt;=H77),"✓","✗"),"")</f>
        <v/>
      </c>
      <c r="L77" s="38" t="str">
        <f>IF(AND(C77&gt;0,C76&gt;0),(C77-C76)/C76,"")</f>
        <v/>
      </c>
      <c r="M77" s="36"/>
      <c r="N77" s="36"/>
    </row>
    <row r="78" spans="1:14">
      <c r="A78" s="36" t="s">
        <v>123</v>
      </c>
      <c r="B78" s="36">
        <v>43</v>
      </c>
      <c r="C78" s="36"/>
      <c r="D78" s="36"/>
      <c r="E78" s="36"/>
      <c r="F78" s="37">
        <v>710</v>
      </c>
      <c r="G78" s="37">
        <v>568</v>
      </c>
      <c r="H78" s="37">
        <v>852</v>
      </c>
      <c r="I78" s="40">
        <v>0.4</v>
      </c>
      <c r="J78" s="39" t="str">
        <f>IF(AND(C78&gt;0,F78&gt;0),ABS(F78-C78)/C78,"")</f>
        <v/>
      </c>
      <c r="K78" s="36" t="str">
        <f>IF(AND(C78&gt;0,G78&gt;0),IF(AND(C78&gt;=G78,C78&lt;=H78),"✓","✗"),"")</f>
        <v/>
      </c>
      <c r="L78" s="38" t="str">
        <f>IF(AND(C78&gt;0,C77&gt;0),(C78-C77)/C77,"")</f>
        <v/>
      </c>
      <c r="M78" s="36"/>
      <c r="N78" s="36"/>
    </row>
    <row r="79" spans="1:14">
      <c r="A79" s="36" t="s">
        <v>124</v>
      </c>
      <c r="B79" s="36">
        <v>44</v>
      </c>
      <c r="C79" s="36"/>
      <c r="D79" s="36"/>
      <c r="E79" s="36"/>
      <c r="F79" s="37">
        <v>710</v>
      </c>
      <c r="G79" s="37">
        <v>568</v>
      </c>
      <c r="H79" s="37">
        <v>852</v>
      </c>
      <c r="I79" s="40">
        <v>0.4</v>
      </c>
      <c r="J79" s="39" t="str">
        <f>IF(AND(C79&gt;0,F79&gt;0),ABS(F79-C79)/C79,"")</f>
        <v/>
      </c>
      <c r="K79" s="36" t="str">
        <f>IF(AND(C79&gt;0,G79&gt;0),IF(AND(C79&gt;=G79,C79&lt;=H79),"✓","✗"),"")</f>
        <v/>
      </c>
      <c r="L79" s="38" t="str">
        <f>IF(AND(C79&gt;0,C78&gt;0),(C79-C78)/C78,"")</f>
        <v/>
      </c>
      <c r="M79" s="36"/>
      <c r="N79" s="36"/>
    </row>
    <row r="80" spans="1:14">
      <c r="A80" s="36" t="s">
        <v>125</v>
      </c>
      <c r="B80" s="36">
        <v>45</v>
      </c>
      <c r="C80" s="36"/>
      <c r="D80" s="36"/>
      <c r="E80" s="36"/>
      <c r="F80" s="37">
        <v>720</v>
      </c>
      <c r="G80" s="37">
        <v>576</v>
      </c>
      <c r="H80" s="37">
        <v>864</v>
      </c>
      <c r="I80" s="40">
        <v>0.4</v>
      </c>
      <c r="J80" s="39" t="str">
        <f>IF(AND(C80&gt;0,F80&gt;0),ABS(F80-C80)/C80,"")</f>
        <v/>
      </c>
      <c r="K80" s="36" t="str">
        <f>IF(AND(C80&gt;0,G80&gt;0),IF(AND(C80&gt;=G80,C80&lt;=H80),"✓","✗"),"")</f>
        <v/>
      </c>
      <c r="L80" s="38" t="str">
        <f>IF(AND(C80&gt;0,C79&gt;0),(C80-C79)/C79,"")</f>
        <v/>
      </c>
      <c r="M80" s="36"/>
      <c r="N80" s="36"/>
    </row>
    <row r="81" spans="1:14">
      <c r="A81" s="36" t="s">
        <v>126</v>
      </c>
      <c r="B81" s="36">
        <v>46</v>
      </c>
      <c r="C81" s="36"/>
      <c r="D81" s="36"/>
      <c r="E81" s="36"/>
      <c r="F81" s="37">
        <v>720</v>
      </c>
      <c r="G81" s="37">
        <v>576</v>
      </c>
      <c r="H81" s="37">
        <v>864</v>
      </c>
      <c r="I81" s="40">
        <v>0.4</v>
      </c>
      <c r="J81" s="39" t="str">
        <f>IF(AND(C81&gt;0,F81&gt;0),ABS(F81-C81)/C81,"")</f>
        <v/>
      </c>
      <c r="K81" s="36" t="str">
        <f>IF(AND(C81&gt;0,G81&gt;0),IF(AND(C81&gt;=G81,C81&lt;=H81),"✓","✗"),"")</f>
        <v/>
      </c>
      <c r="L81" s="38" t="str">
        <f>IF(AND(C81&gt;0,C80&gt;0),(C81-C80)/C80,"")</f>
        <v/>
      </c>
      <c r="M81" s="36"/>
      <c r="N81" s="36"/>
    </row>
    <row r="82" spans="1:14">
      <c r="A82" s="36" t="s">
        <v>127</v>
      </c>
      <c r="B82" s="36">
        <v>47</v>
      </c>
      <c r="C82" s="36"/>
      <c r="D82" s="36"/>
      <c r="E82" s="36"/>
      <c r="F82" s="37">
        <v>720</v>
      </c>
      <c r="G82" s="37">
        <v>576</v>
      </c>
      <c r="H82" s="37">
        <v>864</v>
      </c>
      <c r="I82" s="40">
        <v>0.4</v>
      </c>
      <c r="J82" s="39" t="str">
        <f>IF(AND(C82&gt;0,F82&gt;0),ABS(F82-C82)/C82,"")</f>
        <v/>
      </c>
      <c r="K82" s="36" t="str">
        <f>IF(AND(C82&gt;0,G82&gt;0),IF(AND(C82&gt;=G82,C82&lt;=H82),"✓","✗"),"")</f>
        <v/>
      </c>
      <c r="L82" s="38" t="str">
        <f>IF(AND(C82&gt;0,C81&gt;0),(C82-C81)/C81,"")</f>
        <v/>
      </c>
      <c r="M82" s="36"/>
      <c r="N82" s="36"/>
    </row>
    <row r="83" spans="1:14">
      <c r="A83" s="36" t="s">
        <v>128</v>
      </c>
      <c r="B83" s="36">
        <v>48</v>
      </c>
      <c r="C83" s="36"/>
      <c r="D83" s="36"/>
      <c r="E83" s="36"/>
      <c r="F83" s="37">
        <v>720</v>
      </c>
      <c r="G83" s="37">
        <v>576</v>
      </c>
      <c r="H83" s="37">
        <v>864</v>
      </c>
      <c r="I83" s="40">
        <v>0.4</v>
      </c>
      <c r="J83" s="39" t="str">
        <f>IF(AND(C83&gt;0,F83&gt;0),ABS(F83-C83)/C83,"")</f>
        <v/>
      </c>
      <c r="K83" s="36" t="str">
        <f>IF(AND(C83&gt;0,G83&gt;0),IF(AND(C83&gt;=G83,C83&lt;=H83),"✓","✗"),"")</f>
        <v/>
      </c>
      <c r="L83" s="38" t="str">
        <f>IF(AND(C83&gt;0,C82&gt;0),(C83-C82)/C82,"")</f>
        <v/>
      </c>
      <c r="M83" s="36"/>
      <c r="N83" s="36"/>
    </row>
    <row r="84" spans="1:14">
      <c r="A84" s="36" t="s">
        <v>129</v>
      </c>
      <c r="B84" s="36">
        <v>49</v>
      </c>
      <c r="C84" s="36"/>
      <c r="D84" s="36"/>
      <c r="E84" s="36"/>
      <c r="F84" s="37">
        <v>644</v>
      </c>
      <c r="G84" s="37">
        <v>515</v>
      </c>
      <c r="H84" s="37">
        <v>773</v>
      </c>
      <c r="I84" s="40">
        <v>0.4</v>
      </c>
      <c r="J84" s="39" t="str">
        <f>IF(AND(C84&gt;0,F84&gt;0),ABS(F84-C84)/C84,"")</f>
        <v/>
      </c>
      <c r="K84" s="36" t="str">
        <f>IF(AND(C84&gt;0,G84&gt;0),IF(AND(C84&gt;=G84,C84&lt;=H84),"✓","✗"),"")</f>
        <v/>
      </c>
      <c r="L84" s="38" t="str">
        <f>IF(AND(C84&gt;0,C83&gt;0),(C84-C83)/C83,"")</f>
        <v/>
      </c>
      <c r="M84" s="36"/>
      <c r="N84" s="36"/>
    </row>
    <row r="85" spans="1:14">
      <c r="A85" s="36" t="s">
        <v>130</v>
      </c>
      <c r="B85" s="36">
        <v>50</v>
      </c>
      <c r="C85" s="36"/>
      <c r="D85" s="36"/>
      <c r="E85" s="36"/>
      <c r="F85" s="37">
        <v>644</v>
      </c>
      <c r="G85" s="37">
        <v>515</v>
      </c>
      <c r="H85" s="37">
        <v>773</v>
      </c>
      <c r="I85" s="40">
        <v>0.4</v>
      </c>
      <c r="J85" s="39" t="str">
        <f>IF(AND(C85&gt;0,F85&gt;0),ABS(F85-C85)/C85,"")</f>
        <v/>
      </c>
      <c r="K85" s="36" t="str">
        <f>IF(AND(C85&gt;0,G85&gt;0),IF(AND(C85&gt;=G85,C85&lt;=H85),"✓","✗"),"")</f>
        <v/>
      </c>
      <c r="L85" s="38" t="str">
        <f>IF(AND(C85&gt;0,C84&gt;0),(C85-C84)/C84,"")</f>
        <v/>
      </c>
      <c r="M85" s="36"/>
      <c r="N85" s="36"/>
    </row>
    <row r="86" spans="1:14">
      <c r="A86" s="36" t="s">
        <v>131</v>
      </c>
      <c r="B86" s="36">
        <v>51</v>
      </c>
      <c r="C86" s="36"/>
      <c r="D86" s="36"/>
      <c r="E86" s="36"/>
      <c r="F86" s="37">
        <v>644</v>
      </c>
      <c r="G86" s="37">
        <v>515</v>
      </c>
      <c r="H86" s="37">
        <v>773</v>
      </c>
      <c r="I86" s="40">
        <v>0.4</v>
      </c>
      <c r="J86" s="39" t="str">
        <f>IF(AND(C86&gt;0,F86&gt;0),ABS(F86-C86)/C86,"")</f>
        <v/>
      </c>
      <c r="K86" s="36" t="str">
        <f>IF(AND(C86&gt;0,G86&gt;0),IF(AND(C86&gt;=G86,C86&lt;=H86),"✓","✗"),"")</f>
        <v/>
      </c>
      <c r="L86" s="38" t="str">
        <f>IF(AND(C86&gt;0,C85&gt;0),(C86-C85)/C85,"")</f>
        <v/>
      </c>
      <c r="M86" s="36"/>
      <c r="N86" s="36"/>
    </row>
    <row r="87" spans="1:14">
      <c r="A87" s="36" t="s">
        <v>132</v>
      </c>
      <c r="B87" s="36">
        <v>52</v>
      </c>
      <c r="C87" s="36"/>
      <c r="D87" s="36"/>
      <c r="E87" s="36"/>
      <c r="F87" s="37">
        <v>644</v>
      </c>
      <c r="G87" s="37">
        <v>515</v>
      </c>
      <c r="H87" s="37">
        <v>773</v>
      </c>
      <c r="I87" s="40">
        <v>0.4</v>
      </c>
      <c r="J87" s="39" t="str">
        <f>IF(AND(C87&gt;0,F87&gt;0),ABS(F87-C87)/C87,"")</f>
        <v/>
      </c>
      <c r="K87" s="36" t="str">
        <f>IF(AND(C87&gt;0,G87&gt;0),IF(AND(C87&gt;=G87,C87&lt;=H87),"✓","✗"),"")</f>
        <v/>
      </c>
      <c r="L87" s="38" t="str">
        <f>IF(AND(C87&gt;0,C86&gt;0),(C87-C86)/C86,"")</f>
        <v/>
      </c>
      <c r="M87" s="36"/>
      <c r="N87" s="36"/>
    </row>
  </sheetData>
  <mergeCells count="15">
    <mergeCell ref="C3:D3"/>
    <mergeCell ref="A3:B3"/>
    <mergeCell ref="G3:H3"/>
    <mergeCell ref="E3:F3"/>
    <mergeCell ref="A1:N1"/>
    <mergeCell ref="A4:B4"/>
    <mergeCell ref="G4:H4"/>
    <mergeCell ref="E4:F4"/>
    <mergeCell ref="A12:K12"/>
    <mergeCell ref="A34:N34"/>
    <mergeCell ref="A5:B5"/>
    <mergeCell ref="C4:D4"/>
    <mergeCell ref="G5:H5"/>
    <mergeCell ref="A8:K8"/>
    <mergeCell ref="A19:K19"/>
  </mergeCells>
  <conditionalFormatting sqref="C36:C87">
    <cfRule type="dataBar" priority="1">
      <dataBar>
        <cfvo type="num" val="0"/>
        <cfvo type="max"/>
        <color rgb="FFF1C40F"/>
      </dataBar>
    </cfRule>
  </conditionalFormatting>
  <conditionalFormatting sqref="J36:J87">
    <cfRule type="colorScale" priority="2">
      <colorScale>
        <cfvo type="num" val="0"/>
        <cfvo type="num" val="0.1"/>
        <cfvo type="num" val="0.3"/>
        <color rgb="FF27AE60"/>
        <color rgb="FFFFFFFF"/>
        <color rgb="FFE74C3C"/>
      </colorScale>
    </cfRule>
  </conditionalFormatting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B59B6"/>
  </sheetPr>
  <dimension ref="A1:N87"/>
  <sheetViews>
    <sheetView showGridLines="0" topLeftCell="A24" workbookViewId="0">
      <selection activeCell="A29" sqref="A1:XFD1048576"/>
    </sheetView>
  </sheetViews>
  <sheetFormatPr defaultColWidth="12.85546875" defaultRowHeight="15"/>
  <cols>
    <col min="1" max="1" width="11.85546875" style="30" bestFit="1" customWidth="1"/>
    <col min="2" max="3" width="10.140625" style="30" bestFit="1" customWidth="1"/>
    <col min="4" max="4" width="9.85546875" style="30" bestFit="1" customWidth="1"/>
    <col min="5" max="5" width="9.5703125" style="30" bestFit="1" customWidth="1"/>
    <col min="6" max="6" width="9.7109375" style="30" bestFit="1" customWidth="1"/>
    <col min="7" max="7" width="8.140625" style="30" bestFit="1" customWidth="1"/>
    <col min="8" max="8" width="6.85546875" style="30" bestFit="1" customWidth="1"/>
    <col min="9" max="9" width="9.85546875" style="30" bestFit="1" customWidth="1"/>
    <col min="10" max="10" width="6.85546875" style="30" bestFit="1" customWidth="1"/>
    <col min="11" max="11" width="10.85546875" style="30" bestFit="1" customWidth="1"/>
    <col min="12" max="12" width="8.28515625" style="30" bestFit="1" customWidth="1"/>
    <col min="13" max="13" width="9.7109375" style="30" bestFit="1" customWidth="1"/>
    <col min="14" max="14" width="7.42578125" style="30" bestFit="1" customWidth="1"/>
    <col min="15" max="16384" width="12.85546875" style="30"/>
  </cols>
  <sheetData>
    <row r="1" spans="1:14" ht="21">
      <c r="A1" s="58" t="s">
        <v>162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3" spans="1:14">
      <c r="A3" s="31" t="s">
        <v>34</v>
      </c>
      <c r="B3" s="32"/>
      <c r="C3" s="31" t="s">
        <v>35</v>
      </c>
      <c r="D3" s="32"/>
      <c r="E3" s="31" t="s">
        <v>36</v>
      </c>
      <c r="F3" s="32"/>
      <c r="G3" s="31" t="s">
        <v>37</v>
      </c>
      <c r="H3" s="32"/>
    </row>
    <row r="4" spans="1:14" ht="26.25">
      <c r="A4" s="33" t="s">
        <v>163</v>
      </c>
      <c r="B4" s="32"/>
      <c r="C4" s="33" t="s">
        <v>164</v>
      </c>
      <c r="D4" s="32"/>
      <c r="E4" s="33" t="s">
        <v>165</v>
      </c>
      <c r="F4" s="32"/>
      <c r="G4" s="33" t="s">
        <v>166</v>
      </c>
      <c r="H4" s="32"/>
    </row>
    <row r="5" spans="1:14">
      <c r="A5" s="31" t="s">
        <v>10</v>
      </c>
      <c r="B5" s="32"/>
      <c r="C5" s="34"/>
      <c r="D5" s="34"/>
      <c r="E5" s="34"/>
      <c r="F5" s="34"/>
      <c r="G5" s="31" t="s">
        <v>23</v>
      </c>
      <c r="H5" s="32"/>
    </row>
    <row r="8" spans="1:14" ht="15.75">
      <c r="A8" s="35" t="s">
        <v>42</v>
      </c>
      <c r="B8" s="29"/>
      <c r="C8" s="29"/>
      <c r="D8" s="29"/>
      <c r="E8" s="29"/>
      <c r="F8" s="29"/>
      <c r="G8" s="29"/>
      <c r="H8" s="29"/>
      <c r="I8" s="29"/>
      <c r="J8" s="29"/>
      <c r="K8" s="29"/>
    </row>
    <row r="9" spans="1:14">
      <c r="A9" s="59" t="s">
        <v>43</v>
      </c>
      <c r="B9" s="59" t="s">
        <v>44</v>
      </c>
      <c r="C9" s="59" t="s">
        <v>45</v>
      </c>
      <c r="D9" s="59" t="s">
        <v>46</v>
      </c>
      <c r="E9" s="59" t="s">
        <v>47</v>
      </c>
      <c r="F9" s="59" t="s">
        <v>48</v>
      </c>
      <c r="G9" s="59" t="s">
        <v>20</v>
      </c>
      <c r="H9" s="59" t="s">
        <v>49</v>
      </c>
      <c r="I9" s="59" t="s">
        <v>50</v>
      </c>
      <c r="J9" s="59" t="s">
        <v>51</v>
      </c>
      <c r="K9" s="59" t="s">
        <v>52</v>
      </c>
    </row>
    <row r="10" spans="1:14">
      <c r="A10" s="36" t="s">
        <v>53</v>
      </c>
      <c r="B10" s="37"/>
      <c r="C10" s="37"/>
      <c r="D10" s="37"/>
      <c r="E10" s="37"/>
      <c r="F10" s="37">
        <v>26727.520774048171</v>
      </c>
      <c r="G10" s="38" t="str">
        <f>IF(AND(B10&gt;0,F10&gt;0),(B10-F10)/F10,"")</f>
        <v/>
      </c>
      <c r="H10" s="39" t="str">
        <f>IF(AND(B10&gt;0,C10&gt;0),ABS(C10-B10)/B10,"")</f>
        <v/>
      </c>
      <c r="I10" s="40"/>
      <c r="J10" s="36"/>
      <c r="K10" s="36"/>
    </row>
    <row r="12" spans="1:14" ht="15.75">
      <c r="A12" s="35" t="s">
        <v>54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</row>
    <row r="13" spans="1:14">
      <c r="A13" s="59" t="s">
        <v>43</v>
      </c>
      <c r="B13" s="59" t="s">
        <v>44</v>
      </c>
      <c r="C13" s="59" t="s">
        <v>45</v>
      </c>
      <c r="D13" s="59" t="s">
        <v>46</v>
      </c>
      <c r="E13" s="59" t="s">
        <v>47</v>
      </c>
      <c r="F13" s="59" t="s">
        <v>48</v>
      </c>
      <c r="G13" s="59" t="s">
        <v>20</v>
      </c>
      <c r="H13" s="59" t="s">
        <v>49</v>
      </c>
      <c r="I13" s="59" t="s">
        <v>50</v>
      </c>
      <c r="J13" s="59" t="s">
        <v>51</v>
      </c>
      <c r="K13" s="59" t="s">
        <v>52</v>
      </c>
    </row>
    <row r="14" spans="1:14">
      <c r="A14" s="41" t="s">
        <v>55</v>
      </c>
      <c r="B14" s="42">
        <v>8092</v>
      </c>
      <c r="C14" s="42"/>
      <c r="D14" s="42"/>
      <c r="E14" s="42"/>
      <c r="F14" s="42">
        <v>8328.3382786345319</v>
      </c>
      <c r="G14" s="43">
        <f>IF(AND(B14&gt;0,F14&gt;0),(B14-F14)/F14,"")</f>
        <v>-2.8377603157743084E-2</v>
      </c>
      <c r="H14" s="44" t="str">
        <f>IF(AND(B14&gt;0,C14&gt;0),ABS(C14-B14)/B14,"")</f>
        <v/>
      </c>
      <c r="I14" s="45"/>
      <c r="J14" s="41"/>
      <c r="K14" s="41"/>
    </row>
    <row r="15" spans="1:14">
      <c r="A15" s="36" t="s">
        <v>56</v>
      </c>
      <c r="B15" s="36"/>
      <c r="C15" s="37"/>
      <c r="D15" s="37"/>
      <c r="E15" s="37"/>
      <c r="F15" s="37">
        <v>5288.9902398534086</v>
      </c>
      <c r="G15" s="38" t="str">
        <f>IF(AND(B15&gt;0,F15&gt;0),(B15-F15)/F15,"")</f>
        <v/>
      </c>
      <c r="H15" s="39" t="str">
        <f>IF(AND(B15&gt;0,C15&gt;0),ABS(C15-B15)/B15,"")</f>
        <v/>
      </c>
      <c r="I15" s="40"/>
      <c r="J15" s="36"/>
      <c r="K15" s="36"/>
    </row>
    <row r="16" spans="1:14">
      <c r="A16" s="36" t="s">
        <v>57</v>
      </c>
      <c r="B16" s="36"/>
      <c r="C16" s="37"/>
      <c r="D16" s="37"/>
      <c r="E16" s="37"/>
      <c r="F16" s="37">
        <v>5985.5563195602263</v>
      </c>
      <c r="G16" s="38" t="str">
        <f>IF(AND(B16&gt;0,F16&gt;0),(B16-F16)/F16,"")</f>
        <v/>
      </c>
      <c r="H16" s="39" t="str">
        <f>IF(AND(B16&gt;0,C16&gt;0),ABS(C16-B16)/B16,"")</f>
        <v/>
      </c>
      <c r="I16" s="40"/>
      <c r="J16" s="36"/>
      <c r="K16" s="36"/>
    </row>
    <row r="17" spans="1:11">
      <c r="A17" s="36" t="s">
        <v>58</v>
      </c>
      <c r="B17" s="36"/>
      <c r="C17" s="37"/>
      <c r="D17" s="37"/>
      <c r="E17" s="37"/>
      <c r="F17" s="37">
        <v>7124.6359360000006</v>
      </c>
      <c r="G17" s="38" t="str">
        <f>IF(AND(B17&gt;0,F17&gt;0),(B17-F17)/F17,"")</f>
        <v/>
      </c>
      <c r="H17" s="39" t="str">
        <f>IF(AND(B17&gt;0,C17&gt;0),ABS(C17-B17)/B17,"")</f>
        <v/>
      </c>
      <c r="I17" s="40"/>
      <c r="J17" s="36"/>
      <c r="K17" s="36"/>
    </row>
    <row r="19" spans="1:11" ht="15.75">
      <c r="A19" s="35" t="s">
        <v>59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</row>
    <row r="20" spans="1:11">
      <c r="A20" s="59" t="s">
        <v>43</v>
      </c>
      <c r="B20" s="59" t="s">
        <v>44</v>
      </c>
      <c r="C20" s="59" t="s">
        <v>45</v>
      </c>
      <c r="D20" s="59" t="s">
        <v>46</v>
      </c>
      <c r="E20" s="59" t="s">
        <v>47</v>
      </c>
      <c r="F20" s="59" t="s">
        <v>48</v>
      </c>
      <c r="G20" s="59" t="s">
        <v>20</v>
      </c>
      <c r="H20" s="59" t="s">
        <v>49</v>
      </c>
      <c r="I20" s="59" t="s">
        <v>50</v>
      </c>
      <c r="J20" s="59" t="s">
        <v>51</v>
      </c>
      <c r="K20" s="59" t="s">
        <v>52</v>
      </c>
    </row>
    <row r="21" spans="1:11">
      <c r="A21" s="41" t="s">
        <v>60</v>
      </c>
      <c r="B21" s="42">
        <v>3308</v>
      </c>
      <c r="C21" s="42"/>
      <c r="D21" s="42"/>
      <c r="E21" s="42"/>
      <c r="F21" s="42">
        <v>3004.526164023358</v>
      </c>
      <c r="G21" s="43">
        <f>IF(AND(B21&gt;0,F21&gt;0),(B21-F21)/F21,"")</f>
        <v>0.1010055560875065</v>
      </c>
      <c r="H21" s="44" t="str">
        <f>IF(AND(B21&gt;0,C21&gt;0),ABS(C21-B21)/B21,"")</f>
        <v/>
      </c>
      <c r="I21" s="45"/>
      <c r="J21" s="41"/>
      <c r="K21" s="41"/>
    </row>
    <row r="22" spans="1:11">
      <c r="A22" s="46" t="s">
        <v>61</v>
      </c>
      <c r="B22" s="47">
        <v>2373</v>
      </c>
      <c r="C22" s="47"/>
      <c r="D22" s="47"/>
      <c r="E22" s="47"/>
      <c r="F22" s="47">
        <v>2964.0110281111738</v>
      </c>
      <c r="G22" s="48">
        <f>IF(AND(B22&gt;0,F22&gt;0),(B22-F22)/F22,"")</f>
        <v>-0.19939569134727464</v>
      </c>
      <c r="H22" s="49" t="str">
        <f>IF(AND(B22&gt;0,C22&gt;0),ABS(C22-B22)/B22,"")</f>
        <v/>
      </c>
      <c r="I22" s="50"/>
      <c r="J22" s="46"/>
      <c r="K22" s="46"/>
    </row>
    <row r="23" spans="1:11">
      <c r="A23" s="41" t="s">
        <v>62</v>
      </c>
      <c r="B23" s="42">
        <v>2411</v>
      </c>
      <c r="C23" s="42"/>
      <c r="D23" s="42"/>
      <c r="E23" s="42"/>
      <c r="F23" s="42">
        <v>2359.8010865000001</v>
      </c>
      <c r="G23" s="43">
        <f>IF(AND(B23&gt;0,F23&gt;0),(B23-F23)/F23,"")</f>
        <v>2.1696283552414531E-2</v>
      </c>
      <c r="H23" s="44" t="str">
        <f>IF(AND(B23&gt;0,C23&gt;0),ABS(C23-B23)/B23,"")</f>
        <v/>
      </c>
      <c r="I23" s="45"/>
      <c r="J23" s="41"/>
      <c r="K23" s="41"/>
    </row>
    <row r="24" spans="1:11">
      <c r="A24" s="36" t="s">
        <v>63</v>
      </c>
      <c r="B24" s="37"/>
      <c r="C24" s="37">
        <v>1919.7991999999999</v>
      </c>
      <c r="D24" s="37">
        <v>1632</v>
      </c>
      <c r="E24" s="37">
        <v>2208</v>
      </c>
      <c r="F24" s="37">
        <v>1919.7991999999999</v>
      </c>
      <c r="G24" s="38" t="str">
        <f>IF(AND(B24&gt;0,F24&gt;0),(B24-F24)/F24,"")</f>
        <v/>
      </c>
      <c r="H24" s="39" t="str">
        <f>IF(AND(B24&gt;0,C24&gt;0),ABS(C24-B24)/B24,"")</f>
        <v/>
      </c>
      <c r="I24" s="40">
        <v>0.5</v>
      </c>
      <c r="J24" s="36"/>
      <c r="K24" s="36" t="s">
        <v>64</v>
      </c>
    </row>
    <row r="25" spans="1:11">
      <c r="A25" s="36" t="s">
        <v>65</v>
      </c>
      <c r="B25" s="37"/>
      <c r="C25" s="37">
        <v>1630.3110398534091</v>
      </c>
      <c r="D25" s="37">
        <v>1386</v>
      </c>
      <c r="E25" s="37">
        <v>1875</v>
      </c>
      <c r="F25" s="37">
        <v>1630.3110398534091</v>
      </c>
      <c r="G25" s="38" t="str">
        <f>IF(AND(B25&gt;0,F25&gt;0),(B25-F25)/F25,"")</f>
        <v/>
      </c>
      <c r="H25" s="39" t="str">
        <f>IF(AND(B25&gt;0,C25&gt;0),ABS(C25-B25)/B25,"")</f>
        <v/>
      </c>
      <c r="I25" s="40">
        <v>0.5</v>
      </c>
      <c r="J25" s="36"/>
      <c r="K25" s="36" t="s">
        <v>64</v>
      </c>
    </row>
    <row r="26" spans="1:11">
      <c r="A26" s="36" t="s">
        <v>66</v>
      </c>
      <c r="B26" s="37"/>
      <c r="C26" s="37">
        <v>1738.88</v>
      </c>
      <c r="D26" s="37">
        <v>1478</v>
      </c>
      <c r="E26" s="37">
        <v>2000</v>
      </c>
      <c r="F26" s="37">
        <v>1738.88</v>
      </c>
      <c r="G26" s="38" t="str">
        <f>IF(AND(B26&gt;0,F26&gt;0),(B26-F26)/F26,"")</f>
        <v/>
      </c>
      <c r="H26" s="39" t="str">
        <f>IF(AND(B26&gt;0,C26&gt;0),ABS(C26-B26)/B26,"")</f>
        <v/>
      </c>
      <c r="I26" s="40">
        <v>0.5</v>
      </c>
      <c r="J26" s="36"/>
      <c r="K26" s="36" t="s">
        <v>64</v>
      </c>
    </row>
    <row r="27" spans="1:11">
      <c r="A27" s="36" t="s">
        <v>67</v>
      </c>
      <c r="B27" s="37"/>
      <c r="C27" s="37">
        <v>2083.3401255153408</v>
      </c>
      <c r="D27" s="37">
        <v>1771</v>
      </c>
      <c r="E27" s="37">
        <v>2396</v>
      </c>
      <c r="F27" s="37">
        <v>2083.3401255153408</v>
      </c>
      <c r="G27" s="38" t="str">
        <f>IF(AND(B27&gt;0,F27&gt;0),(B27-F27)/F27,"")</f>
        <v/>
      </c>
      <c r="H27" s="39" t="str">
        <f>IF(AND(B27&gt;0,C27&gt;0),ABS(C27-B27)/B27,"")</f>
        <v/>
      </c>
      <c r="I27" s="40">
        <v>0.5</v>
      </c>
      <c r="J27" s="36"/>
      <c r="K27" s="36" t="s">
        <v>64</v>
      </c>
    </row>
    <row r="28" spans="1:11">
      <c r="A28" s="36" t="s">
        <v>68</v>
      </c>
      <c r="B28" s="37"/>
      <c r="C28" s="37">
        <v>1844.7237141548289</v>
      </c>
      <c r="D28" s="37">
        <v>1568</v>
      </c>
      <c r="E28" s="37">
        <v>2121</v>
      </c>
      <c r="F28" s="37">
        <v>1844.7237141548289</v>
      </c>
      <c r="G28" s="38" t="str">
        <f>IF(AND(B28&gt;0,F28&gt;0),(B28-F28)/F28,"")</f>
        <v/>
      </c>
      <c r="H28" s="39" t="str">
        <f>IF(AND(B28&gt;0,C28&gt;0),ABS(C28-B28)/B28,"")</f>
        <v/>
      </c>
      <c r="I28" s="40">
        <v>0.5</v>
      </c>
      <c r="J28" s="36"/>
      <c r="K28" s="36" t="s">
        <v>64</v>
      </c>
    </row>
    <row r="29" spans="1:11">
      <c r="A29" s="36" t="s">
        <v>69</v>
      </c>
      <c r="B29" s="37"/>
      <c r="C29" s="37">
        <v>2057.492479890057</v>
      </c>
      <c r="D29" s="37">
        <v>1749</v>
      </c>
      <c r="E29" s="37">
        <v>2366</v>
      </c>
      <c r="F29" s="37">
        <v>2057.492479890057</v>
      </c>
      <c r="G29" s="38" t="str">
        <f>IF(AND(B29&gt;0,F29&gt;0),(B29-F29)/F29,"")</f>
        <v/>
      </c>
      <c r="H29" s="39" t="str">
        <f>IF(AND(B29&gt;0,C29&gt;0),ABS(C29-B29)/B29,"")</f>
        <v/>
      </c>
      <c r="I29" s="40">
        <v>0.5</v>
      </c>
      <c r="J29" s="36"/>
      <c r="K29" s="36" t="s">
        <v>64</v>
      </c>
    </row>
    <row r="30" spans="1:11">
      <c r="A30" s="36" t="s">
        <v>70</v>
      </c>
      <c r="B30" s="37"/>
      <c r="C30" s="37">
        <v>2433.41824</v>
      </c>
      <c r="D30" s="37">
        <v>2068</v>
      </c>
      <c r="E30" s="37">
        <v>2798</v>
      </c>
      <c r="F30" s="37">
        <v>2433.41824</v>
      </c>
      <c r="G30" s="38" t="str">
        <f>IF(AND(B30&gt;0,F30&gt;0),(B30-F30)/F30,"")</f>
        <v/>
      </c>
      <c r="H30" s="39" t="str">
        <f>IF(AND(B30&gt;0,C30&gt;0),ABS(C30-B30)/B30,"")</f>
        <v/>
      </c>
      <c r="I30" s="40">
        <v>0.5</v>
      </c>
      <c r="J30" s="36"/>
      <c r="K30" s="36" t="s">
        <v>64</v>
      </c>
    </row>
    <row r="31" spans="1:11">
      <c r="A31" s="36" t="s">
        <v>71</v>
      </c>
      <c r="B31" s="37"/>
      <c r="C31" s="37">
        <v>2712.5209759999998</v>
      </c>
      <c r="D31" s="37">
        <v>2306</v>
      </c>
      <c r="E31" s="37">
        <v>3119</v>
      </c>
      <c r="F31" s="37">
        <v>2712.5209759999998</v>
      </c>
      <c r="G31" s="38" t="str">
        <f>IF(AND(B31&gt;0,F31&gt;0),(B31-F31)/F31,"")</f>
        <v/>
      </c>
      <c r="H31" s="39" t="str">
        <f>IF(AND(B31&gt;0,C31&gt;0),ABS(C31-B31)/B31,"")</f>
        <v/>
      </c>
      <c r="I31" s="40">
        <v>0.5</v>
      </c>
      <c r="J31" s="36"/>
      <c r="K31" s="36" t="s">
        <v>64</v>
      </c>
    </row>
    <row r="32" spans="1:11">
      <c r="A32" s="36" t="s">
        <v>72</v>
      </c>
      <c r="B32" s="37"/>
      <c r="C32" s="37">
        <v>1978.6967199999999</v>
      </c>
      <c r="D32" s="37">
        <v>1682</v>
      </c>
      <c r="E32" s="37">
        <v>2276</v>
      </c>
      <c r="F32" s="37">
        <v>1978.6967199999999</v>
      </c>
      <c r="G32" s="38" t="str">
        <f>IF(AND(B32&gt;0,F32&gt;0),(B32-F32)/F32,"")</f>
        <v/>
      </c>
      <c r="H32" s="39" t="str">
        <f>IF(AND(B32&gt;0,C32&gt;0),ABS(C32-B32)/B32,"")</f>
        <v/>
      </c>
      <c r="I32" s="40">
        <v>0.5</v>
      </c>
      <c r="J32" s="36"/>
      <c r="K32" s="36" t="s">
        <v>64</v>
      </c>
    </row>
    <row r="34" spans="1:14" ht="15.75">
      <c r="A34" s="35" t="s">
        <v>73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</row>
    <row r="35" spans="1:14">
      <c r="A35" s="59" t="s">
        <v>74</v>
      </c>
      <c r="B35" s="59" t="s">
        <v>75</v>
      </c>
      <c r="C35" s="59" t="s">
        <v>44</v>
      </c>
      <c r="D35" s="59" t="s">
        <v>76</v>
      </c>
      <c r="E35" s="59" t="s">
        <v>77</v>
      </c>
      <c r="F35" s="59" t="s">
        <v>45</v>
      </c>
      <c r="G35" s="59" t="s">
        <v>46</v>
      </c>
      <c r="H35" s="59" t="s">
        <v>47</v>
      </c>
      <c r="I35" s="59" t="s">
        <v>50</v>
      </c>
      <c r="J35" s="59" t="s">
        <v>49</v>
      </c>
      <c r="K35" s="59" t="s">
        <v>78</v>
      </c>
      <c r="L35" s="59" t="s">
        <v>18</v>
      </c>
      <c r="M35" s="59" t="s">
        <v>79</v>
      </c>
      <c r="N35" s="59" t="s">
        <v>80</v>
      </c>
    </row>
    <row r="36" spans="1:14">
      <c r="A36" s="41" t="s">
        <v>81</v>
      </c>
      <c r="B36" s="41">
        <v>1</v>
      </c>
      <c r="C36" s="42">
        <v>289</v>
      </c>
      <c r="D36" s="51">
        <v>13804</v>
      </c>
      <c r="E36" s="52">
        <v>47.76</v>
      </c>
      <c r="F36" s="42"/>
      <c r="G36" s="42"/>
      <c r="H36" s="42"/>
      <c r="I36" s="45"/>
      <c r="J36" s="44" t="str">
        <f>IF(AND(C36&gt;0,F36&gt;0),ABS(F36-C36)/C36,"")</f>
        <v/>
      </c>
      <c r="K36" s="41" t="str">
        <f>IF(AND(C36&gt;0,G36&gt;0),IF(AND(C36&gt;=G36,C36&lt;=H36),"✓","✗"),"")</f>
        <v/>
      </c>
      <c r="L36" s="41"/>
      <c r="M36" s="42">
        <v>287</v>
      </c>
      <c r="N36" s="42">
        <v>2</v>
      </c>
    </row>
    <row r="37" spans="1:14">
      <c r="A37" s="46" t="s">
        <v>82</v>
      </c>
      <c r="B37" s="46">
        <v>2</v>
      </c>
      <c r="C37" s="47">
        <v>1003</v>
      </c>
      <c r="D37" s="53">
        <v>39541</v>
      </c>
      <c r="E37" s="54">
        <v>39.42</v>
      </c>
      <c r="F37" s="47"/>
      <c r="G37" s="47"/>
      <c r="H37" s="47"/>
      <c r="I37" s="50"/>
      <c r="J37" s="49" t="str">
        <f>IF(AND(C37&gt;0,F37&gt;0),ABS(F37-C37)/C37,"")</f>
        <v/>
      </c>
      <c r="K37" s="46" t="str">
        <f>IF(AND(C37&gt;0,G37&gt;0),IF(AND(C37&gt;=G37,C37&lt;=H37),"✓","✗"),"")</f>
        <v/>
      </c>
      <c r="L37" s="48">
        <f>IF(AND(C37&gt;0,C36&gt;0),(C37-C36)/C36,"")</f>
        <v>2.4705882352941178</v>
      </c>
      <c r="M37" s="47">
        <v>1002</v>
      </c>
      <c r="N37" s="47">
        <v>1</v>
      </c>
    </row>
    <row r="38" spans="1:14">
      <c r="A38" s="41" t="s">
        <v>83</v>
      </c>
      <c r="B38" s="41">
        <v>3</v>
      </c>
      <c r="C38" s="42">
        <v>972</v>
      </c>
      <c r="D38" s="51">
        <v>31015</v>
      </c>
      <c r="E38" s="52">
        <v>31.91</v>
      </c>
      <c r="F38" s="42"/>
      <c r="G38" s="42"/>
      <c r="H38" s="42"/>
      <c r="I38" s="45"/>
      <c r="J38" s="44" t="str">
        <f>IF(AND(C38&gt;0,F38&gt;0),ABS(F38-C38)/C38,"")</f>
        <v/>
      </c>
      <c r="K38" s="41" t="str">
        <f>IF(AND(C38&gt;0,G38&gt;0),IF(AND(C38&gt;=G38,C38&lt;=H38),"✓","✗"),"")</f>
        <v/>
      </c>
      <c r="L38" s="43">
        <f>IF(AND(C38&gt;0,C37&gt;0),(C38-C37)/C37,"")</f>
        <v>-3.0907278165503489E-2</v>
      </c>
      <c r="M38" s="42">
        <v>970</v>
      </c>
      <c r="N38" s="42">
        <v>2</v>
      </c>
    </row>
    <row r="39" spans="1:14">
      <c r="A39" s="46" t="s">
        <v>84</v>
      </c>
      <c r="B39" s="46">
        <v>4</v>
      </c>
      <c r="C39" s="47">
        <v>1044</v>
      </c>
      <c r="D39" s="53">
        <v>37754</v>
      </c>
      <c r="E39" s="54">
        <v>36.159999999999997</v>
      </c>
      <c r="F39" s="47"/>
      <c r="G39" s="47"/>
      <c r="H39" s="47"/>
      <c r="I39" s="50"/>
      <c r="J39" s="49" t="str">
        <f>IF(AND(C39&gt;0,F39&gt;0),ABS(F39-C39)/C39,"")</f>
        <v/>
      </c>
      <c r="K39" s="46" t="str">
        <f>IF(AND(C39&gt;0,G39&gt;0),IF(AND(C39&gt;=G39,C39&lt;=H39),"✓","✗"),"")</f>
        <v/>
      </c>
      <c r="L39" s="48">
        <f>IF(AND(C39&gt;0,C38&gt;0),(C39-C38)/C38,"")</f>
        <v>7.407407407407407E-2</v>
      </c>
      <c r="M39" s="47">
        <v>1043</v>
      </c>
      <c r="N39" s="47">
        <v>1</v>
      </c>
    </row>
    <row r="40" spans="1:14">
      <c r="A40" s="41" t="s">
        <v>85</v>
      </c>
      <c r="B40" s="41">
        <v>5</v>
      </c>
      <c r="C40" s="42">
        <v>1004</v>
      </c>
      <c r="D40" s="51">
        <v>33739</v>
      </c>
      <c r="E40" s="52">
        <v>33.6</v>
      </c>
      <c r="F40" s="42"/>
      <c r="G40" s="42"/>
      <c r="H40" s="42"/>
      <c r="I40" s="45"/>
      <c r="J40" s="44" t="str">
        <f>IF(AND(C40&gt;0,F40&gt;0),ABS(F40-C40)/C40,"")</f>
        <v/>
      </c>
      <c r="K40" s="41" t="str">
        <f>IF(AND(C40&gt;0,G40&gt;0),IF(AND(C40&gt;=G40,C40&lt;=H40),"✓","✗"),"")</f>
        <v/>
      </c>
      <c r="L40" s="43">
        <f>IF(AND(C40&gt;0,C39&gt;0),(C40-C39)/C39,"")</f>
        <v>-3.8314176245210725E-2</v>
      </c>
      <c r="M40" s="42">
        <v>1004</v>
      </c>
      <c r="N40" s="42">
        <v>0</v>
      </c>
    </row>
    <row r="41" spans="1:14">
      <c r="A41" s="46" t="s">
        <v>86</v>
      </c>
      <c r="B41" s="46">
        <v>6</v>
      </c>
      <c r="C41" s="47">
        <v>495</v>
      </c>
      <c r="D41" s="53">
        <v>32933</v>
      </c>
      <c r="E41" s="54">
        <v>66.53</v>
      </c>
      <c r="F41" s="47"/>
      <c r="G41" s="47"/>
      <c r="H41" s="47"/>
      <c r="I41" s="50"/>
      <c r="J41" s="49" t="str">
        <f>IF(AND(C41&gt;0,F41&gt;0),ABS(F41-C41)/C41,"")</f>
        <v/>
      </c>
      <c r="K41" s="46" t="str">
        <f>IF(AND(C41&gt;0,G41&gt;0),IF(AND(C41&gt;=G41,C41&lt;=H41),"✓","✗"),"")</f>
        <v/>
      </c>
      <c r="L41" s="48">
        <f>IF(AND(C41&gt;0,C40&gt;0),(C41-C40)/C40,"")</f>
        <v>-0.50697211155378485</v>
      </c>
      <c r="M41" s="47">
        <v>495</v>
      </c>
      <c r="N41" s="47">
        <v>0</v>
      </c>
    </row>
    <row r="42" spans="1:14">
      <c r="A42" s="41" t="s">
        <v>87</v>
      </c>
      <c r="B42" s="41">
        <v>7</v>
      </c>
      <c r="C42" s="42">
        <v>435</v>
      </c>
      <c r="D42" s="51">
        <v>28287</v>
      </c>
      <c r="E42" s="52">
        <v>65.03</v>
      </c>
      <c r="F42" s="42"/>
      <c r="G42" s="42"/>
      <c r="H42" s="42"/>
      <c r="I42" s="45"/>
      <c r="J42" s="44" t="str">
        <f>IF(AND(C42&gt;0,F42&gt;0),ABS(F42-C42)/C42,"")</f>
        <v/>
      </c>
      <c r="K42" s="41" t="str">
        <f>IF(AND(C42&gt;0,G42&gt;0),IF(AND(C42&gt;=G42,C42&lt;=H42),"✓","✗"),"")</f>
        <v/>
      </c>
      <c r="L42" s="43">
        <f>IF(AND(C42&gt;0,C41&gt;0),(C42-C41)/C41,"")</f>
        <v>-0.12121212121212122</v>
      </c>
      <c r="M42" s="42">
        <v>435</v>
      </c>
      <c r="N42" s="42">
        <v>0</v>
      </c>
    </row>
    <row r="43" spans="1:14">
      <c r="A43" s="46" t="s">
        <v>88</v>
      </c>
      <c r="B43" s="46">
        <v>8</v>
      </c>
      <c r="C43" s="47">
        <v>439</v>
      </c>
      <c r="D43" s="53">
        <v>29473</v>
      </c>
      <c r="E43" s="54">
        <v>67.14</v>
      </c>
      <c r="F43" s="47"/>
      <c r="G43" s="47"/>
      <c r="H43" s="47"/>
      <c r="I43" s="50"/>
      <c r="J43" s="49" t="str">
        <f>IF(AND(C43&gt;0,F43&gt;0),ABS(F43-C43)/C43,"")</f>
        <v/>
      </c>
      <c r="K43" s="46" t="str">
        <f>IF(AND(C43&gt;0,G43&gt;0),IF(AND(C43&gt;=G43,C43&lt;=H43),"✓","✗"),"")</f>
        <v/>
      </c>
      <c r="L43" s="48">
        <f>IF(AND(C43&gt;0,C42&gt;0),(C43-C42)/C42,"")</f>
        <v>9.1954022988505746E-3</v>
      </c>
      <c r="M43" s="47">
        <v>439</v>
      </c>
      <c r="N43" s="47">
        <v>0</v>
      </c>
    </row>
    <row r="44" spans="1:14">
      <c r="A44" s="41" t="s">
        <v>89</v>
      </c>
      <c r="B44" s="41">
        <v>9</v>
      </c>
      <c r="C44" s="42">
        <v>404</v>
      </c>
      <c r="D44" s="51">
        <v>30296</v>
      </c>
      <c r="E44" s="52">
        <v>74.989999999999995</v>
      </c>
      <c r="F44" s="42"/>
      <c r="G44" s="42"/>
      <c r="H44" s="42"/>
      <c r="I44" s="45"/>
      <c r="J44" s="44" t="str">
        <f>IF(AND(C44&gt;0,F44&gt;0),ABS(F44-C44)/C44,"")</f>
        <v/>
      </c>
      <c r="K44" s="41" t="str">
        <f>IF(AND(C44&gt;0,G44&gt;0),IF(AND(C44&gt;=G44,C44&lt;=H44),"✓","✗"),"")</f>
        <v/>
      </c>
      <c r="L44" s="43">
        <f>IF(AND(C44&gt;0,C43&gt;0),(C44-C43)/C43,"")</f>
        <v>-7.9726651480637817E-2</v>
      </c>
      <c r="M44" s="42">
        <v>404</v>
      </c>
      <c r="N44" s="42">
        <v>0</v>
      </c>
    </row>
    <row r="45" spans="1:14">
      <c r="A45" s="46" t="s">
        <v>90</v>
      </c>
      <c r="B45" s="46">
        <v>10</v>
      </c>
      <c r="C45" s="47">
        <v>526</v>
      </c>
      <c r="D45" s="53">
        <v>39247</v>
      </c>
      <c r="E45" s="54">
        <v>74.61</v>
      </c>
      <c r="F45" s="47"/>
      <c r="G45" s="47"/>
      <c r="H45" s="47"/>
      <c r="I45" s="50"/>
      <c r="J45" s="49" t="str">
        <f>IF(AND(C45&gt;0,F45&gt;0),ABS(F45-C45)/C45,"")</f>
        <v/>
      </c>
      <c r="K45" s="46" t="str">
        <f>IF(AND(C45&gt;0,G45&gt;0),IF(AND(C45&gt;=G45,C45&lt;=H45),"✓","✗"),"")</f>
        <v/>
      </c>
      <c r="L45" s="48">
        <f>IF(AND(C45&gt;0,C44&gt;0),(C45-C44)/C44,"")</f>
        <v>0.30198019801980197</v>
      </c>
      <c r="M45" s="47">
        <v>525</v>
      </c>
      <c r="N45" s="47">
        <v>1</v>
      </c>
    </row>
    <row r="46" spans="1:14">
      <c r="A46" s="41" t="s">
        <v>91</v>
      </c>
      <c r="B46" s="41">
        <v>11</v>
      </c>
      <c r="C46" s="42">
        <v>513</v>
      </c>
      <c r="D46" s="51">
        <v>38339</v>
      </c>
      <c r="E46" s="52">
        <v>74.73</v>
      </c>
      <c r="F46" s="42"/>
      <c r="G46" s="42"/>
      <c r="H46" s="42"/>
      <c r="I46" s="45"/>
      <c r="J46" s="44" t="str">
        <f>IF(AND(C46&gt;0,F46&gt;0),ABS(F46-C46)/C46,"")</f>
        <v/>
      </c>
      <c r="K46" s="41" t="str">
        <f>IF(AND(C46&gt;0,G46&gt;0),IF(AND(C46&gt;=G46,C46&lt;=H46),"✓","✗"),"")</f>
        <v/>
      </c>
      <c r="L46" s="43">
        <f>IF(AND(C46&gt;0,C45&gt;0),(C46-C45)/C45,"")</f>
        <v>-2.4714828897338403E-2</v>
      </c>
      <c r="M46" s="42">
        <v>508</v>
      </c>
      <c r="N46" s="42">
        <v>5</v>
      </c>
    </row>
    <row r="47" spans="1:14">
      <c r="A47" s="46" t="s">
        <v>92</v>
      </c>
      <c r="B47" s="46">
        <v>12</v>
      </c>
      <c r="C47" s="47">
        <v>423</v>
      </c>
      <c r="D47" s="53">
        <v>36527</v>
      </c>
      <c r="E47" s="54">
        <v>86.35</v>
      </c>
      <c r="F47" s="47"/>
      <c r="G47" s="47"/>
      <c r="H47" s="47"/>
      <c r="I47" s="50"/>
      <c r="J47" s="49" t="str">
        <f>IF(AND(C47&gt;0,F47&gt;0),ABS(F47-C47)/C47,"")</f>
        <v/>
      </c>
      <c r="K47" s="46" t="str">
        <f>IF(AND(C47&gt;0,G47&gt;0),IF(AND(C47&gt;=G47,C47&lt;=H47),"✓","✗"),"")</f>
        <v/>
      </c>
      <c r="L47" s="48">
        <f>IF(AND(C47&gt;0,C46&gt;0),(C47-C46)/C46,"")</f>
        <v>-0.17543859649122806</v>
      </c>
      <c r="M47" s="47">
        <v>420</v>
      </c>
      <c r="N47" s="47">
        <v>3</v>
      </c>
    </row>
    <row r="48" spans="1:14">
      <c r="A48" s="41" t="s">
        <v>93</v>
      </c>
      <c r="B48" s="41">
        <v>13</v>
      </c>
      <c r="C48" s="42">
        <v>545</v>
      </c>
      <c r="D48" s="51">
        <v>47457</v>
      </c>
      <c r="E48" s="52">
        <v>87.08</v>
      </c>
      <c r="F48" s="42"/>
      <c r="G48" s="42"/>
      <c r="H48" s="42"/>
      <c r="I48" s="45"/>
      <c r="J48" s="44" t="str">
        <f>IF(AND(C48&gt;0,F48&gt;0),ABS(F48-C48)/C48,"")</f>
        <v/>
      </c>
      <c r="K48" s="41" t="str">
        <f>IF(AND(C48&gt;0,G48&gt;0),IF(AND(C48&gt;=G48,C48&lt;=H48),"✓","✗"),"")</f>
        <v/>
      </c>
      <c r="L48" s="43">
        <f>IF(AND(C48&gt;0,C47&gt;0),(C48-C47)/C47,"")</f>
        <v>0.28841607565011823</v>
      </c>
      <c r="M48" s="42">
        <v>537</v>
      </c>
      <c r="N48" s="42">
        <v>8</v>
      </c>
    </row>
    <row r="49" spans="1:14">
      <c r="A49" s="46" t="s">
        <v>94</v>
      </c>
      <c r="B49" s="46">
        <v>14</v>
      </c>
      <c r="C49" s="47">
        <v>606</v>
      </c>
      <c r="D49" s="53">
        <v>45776</v>
      </c>
      <c r="E49" s="54">
        <v>75.540000000000006</v>
      </c>
      <c r="F49" s="47"/>
      <c r="G49" s="47"/>
      <c r="H49" s="47"/>
      <c r="I49" s="50"/>
      <c r="J49" s="49" t="str">
        <f>IF(AND(C49&gt;0,F49&gt;0),ABS(F49-C49)/C49,"")</f>
        <v/>
      </c>
      <c r="K49" s="46" t="str">
        <f>IF(AND(C49&gt;0,G49&gt;0),IF(AND(C49&gt;=G49,C49&lt;=H49),"✓","✗"),"")</f>
        <v/>
      </c>
      <c r="L49" s="48">
        <f>IF(AND(C49&gt;0,C48&gt;0),(C49-C48)/C48,"")</f>
        <v>0.11192660550458716</v>
      </c>
      <c r="M49" s="47">
        <v>599</v>
      </c>
      <c r="N49" s="47">
        <v>7</v>
      </c>
    </row>
    <row r="50" spans="1:14">
      <c r="A50" s="41" t="s">
        <v>95</v>
      </c>
      <c r="B50" s="41">
        <v>15</v>
      </c>
      <c r="C50" s="42">
        <v>595</v>
      </c>
      <c r="D50" s="51">
        <v>40547</v>
      </c>
      <c r="E50" s="52">
        <v>68.150000000000006</v>
      </c>
      <c r="F50" s="42"/>
      <c r="G50" s="42"/>
      <c r="H50" s="42"/>
      <c r="I50" s="45"/>
      <c r="J50" s="44" t="str">
        <f>IF(AND(C50&gt;0,F50&gt;0),ABS(F50-C50)/C50,"")</f>
        <v/>
      </c>
      <c r="K50" s="41" t="str">
        <f>IF(AND(C50&gt;0,G50&gt;0),IF(AND(C50&gt;=G50,C50&lt;=H50),"✓","✗"),"")</f>
        <v/>
      </c>
      <c r="L50" s="43">
        <f>IF(AND(C50&gt;0,C49&gt;0),(C50-C49)/C49,"")</f>
        <v>-1.8151815181518153E-2</v>
      </c>
      <c r="M50" s="42">
        <v>591</v>
      </c>
      <c r="N50" s="42">
        <v>4</v>
      </c>
    </row>
    <row r="51" spans="1:14">
      <c r="A51" s="36" t="s">
        <v>96</v>
      </c>
      <c r="B51" s="36">
        <v>16</v>
      </c>
      <c r="C51" s="36"/>
      <c r="D51" s="36"/>
      <c r="E51" s="36"/>
      <c r="F51" s="37">
        <v>480</v>
      </c>
      <c r="G51" s="37">
        <v>384</v>
      </c>
      <c r="H51" s="37">
        <v>576</v>
      </c>
      <c r="I51" s="40">
        <v>0.4</v>
      </c>
      <c r="J51" s="39" t="str">
        <f>IF(AND(C51&gt;0,F51&gt;0),ABS(F51-C51)/C51,"")</f>
        <v/>
      </c>
      <c r="K51" s="36" t="str">
        <f>IF(AND(C51&gt;0,G51&gt;0),IF(AND(C51&gt;=G51,C51&lt;=H51),"✓","✗"),"")</f>
        <v/>
      </c>
      <c r="L51" s="38" t="str">
        <f>IF(AND(C51&gt;0,C50&gt;0),(C51-C50)/C50,"")</f>
        <v/>
      </c>
      <c r="M51" s="36"/>
      <c r="N51" s="36"/>
    </row>
    <row r="52" spans="1:14">
      <c r="A52" s="36" t="s">
        <v>97</v>
      </c>
      <c r="B52" s="36">
        <v>17</v>
      </c>
      <c r="C52" s="36"/>
      <c r="D52" s="36"/>
      <c r="E52" s="36"/>
      <c r="F52" s="37">
        <v>480</v>
      </c>
      <c r="G52" s="37">
        <v>384</v>
      </c>
      <c r="H52" s="37">
        <v>576</v>
      </c>
      <c r="I52" s="40">
        <v>0.4</v>
      </c>
      <c r="J52" s="39" t="str">
        <f>IF(AND(C52&gt;0,F52&gt;0),ABS(F52-C52)/C52,"")</f>
        <v/>
      </c>
      <c r="K52" s="36" t="str">
        <f>IF(AND(C52&gt;0,G52&gt;0),IF(AND(C52&gt;=G52,C52&lt;=H52),"✓","✗"),"")</f>
        <v/>
      </c>
      <c r="L52" s="38" t="str">
        <f>IF(AND(C52&gt;0,C51&gt;0),(C52-C51)/C51,"")</f>
        <v/>
      </c>
      <c r="M52" s="36"/>
      <c r="N52" s="36"/>
    </row>
    <row r="53" spans="1:14">
      <c r="A53" s="36" t="s">
        <v>98</v>
      </c>
      <c r="B53" s="36">
        <v>18</v>
      </c>
      <c r="C53" s="36"/>
      <c r="D53" s="36"/>
      <c r="E53" s="36"/>
      <c r="F53" s="37">
        <v>326</v>
      </c>
      <c r="G53" s="37">
        <v>261</v>
      </c>
      <c r="H53" s="37">
        <v>391</v>
      </c>
      <c r="I53" s="40">
        <v>0.4</v>
      </c>
      <c r="J53" s="39" t="str">
        <f>IF(AND(C53&gt;0,F53&gt;0),ABS(F53-C53)/C53,"")</f>
        <v/>
      </c>
      <c r="K53" s="36" t="str">
        <f>IF(AND(C53&gt;0,G53&gt;0),IF(AND(C53&gt;=G53,C53&lt;=H53),"✓","✗"),"")</f>
        <v/>
      </c>
      <c r="L53" s="38" t="str">
        <f>IF(AND(C53&gt;0,C52&gt;0),(C53-C52)/C52,"")</f>
        <v/>
      </c>
      <c r="M53" s="36"/>
      <c r="N53" s="36"/>
    </row>
    <row r="54" spans="1:14">
      <c r="A54" s="36" t="s">
        <v>99</v>
      </c>
      <c r="B54" s="36">
        <v>19</v>
      </c>
      <c r="C54" s="36"/>
      <c r="D54" s="36"/>
      <c r="E54" s="36"/>
      <c r="F54" s="37">
        <v>326</v>
      </c>
      <c r="G54" s="37">
        <v>261</v>
      </c>
      <c r="H54" s="37">
        <v>391</v>
      </c>
      <c r="I54" s="40">
        <v>0.4</v>
      </c>
      <c r="J54" s="39" t="str">
        <f>IF(AND(C54&gt;0,F54&gt;0),ABS(F54-C54)/C54,"")</f>
        <v/>
      </c>
      <c r="K54" s="36" t="str">
        <f>IF(AND(C54&gt;0,G54&gt;0),IF(AND(C54&gt;=G54,C54&lt;=H54),"✓","✗"),"")</f>
        <v/>
      </c>
      <c r="L54" s="38" t="str">
        <f>IF(AND(C54&gt;0,C53&gt;0),(C54-C53)/C53,"")</f>
        <v/>
      </c>
      <c r="M54" s="36"/>
      <c r="N54" s="36"/>
    </row>
    <row r="55" spans="1:14">
      <c r="A55" s="36" t="s">
        <v>100</v>
      </c>
      <c r="B55" s="36">
        <v>20</v>
      </c>
      <c r="C55" s="36"/>
      <c r="D55" s="36"/>
      <c r="E55" s="36"/>
      <c r="F55" s="37">
        <v>326</v>
      </c>
      <c r="G55" s="37">
        <v>261</v>
      </c>
      <c r="H55" s="37">
        <v>391</v>
      </c>
      <c r="I55" s="40">
        <v>0.4</v>
      </c>
      <c r="J55" s="39" t="str">
        <f>IF(AND(C55&gt;0,F55&gt;0),ABS(F55-C55)/C55,"")</f>
        <v/>
      </c>
      <c r="K55" s="36" t="str">
        <f>IF(AND(C55&gt;0,G55&gt;0),IF(AND(C55&gt;=G55,C55&lt;=H55),"✓","✗"),"")</f>
        <v/>
      </c>
      <c r="L55" s="38" t="str">
        <f>IF(AND(C55&gt;0,C54&gt;0),(C55-C54)/C54,"")</f>
        <v/>
      </c>
      <c r="M55" s="36"/>
      <c r="N55" s="36"/>
    </row>
    <row r="56" spans="1:14">
      <c r="A56" s="36" t="s">
        <v>101</v>
      </c>
      <c r="B56" s="36">
        <v>21</v>
      </c>
      <c r="C56" s="36"/>
      <c r="D56" s="36"/>
      <c r="E56" s="36"/>
      <c r="F56" s="37">
        <v>326</v>
      </c>
      <c r="G56" s="37">
        <v>261</v>
      </c>
      <c r="H56" s="37">
        <v>391</v>
      </c>
      <c r="I56" s="40">
        <v>0.4</v>
      </c>
      <c r="J56" s="39" t="str">
        <f>IF(AND(C56&gt;0,F56&gt;0),ABS(F56-C56)/C56,"")</f>
        <v/>
      </c>
      <c r="K56" s="36" t="str">
        <f>IF(AND(C56&gt;0,G56&gt;0),IF(AND(C56&gt;=G56,C56&lt;=H56),"✓","✗"),"")</f>
        <v/>
      </c>
      <c r="L56" s="38" t="str">
        <f>IF(AND(C56&gt;0,C55&gt;0),(C56-C55)/C55,"")</f>
        <v/>
      </c>
      <c r="M56" s="36"/>
      <c r="N56" s="36"/>
    </row>
    <row r="57" spans="1:14">
      <c r="A57" s="36" t="s">
        <v>102</v>
      </c>
      <c r="B57" s="36">
        <v>22</v>
      </c>
      <c r="C57" s="36"/>
      <c r="D57" s="36"/>
      <c r="E57" s="36"/>
      <c r="F57" s="37">
        <v>326</v>
      </c>
      <c r="G57" s="37">
        <v>261</v>
      </c>
      <c r="H57" s="37">
        <v>391</v>
      </c>
      <c r="I57" s="40">
        <v>0.4</v>
      </c>
      <c r="J57" s="39" t="str">
        <f>IF(AND(C57&gt;0,F57&gt;0),ABS(F57-C57)/C57,"")</f>
        <v/>
      </c>
      <c r="K57" s="36" t="str">
        <f>IF(AND(C57&gt;0,G57&gt;0),IF(AND(C57&gt;=G57,C57&lt;=H57),"✓","✗"),"")</f>
        <v/>
      </c>
      <c r="L57" s="38" t="str">
        <f>IF(AND(C57&gt;0,C56&gt;0),(C57-C56)/C56,"")</f>
        <v/>
      </c>
      <c r="M57" s="36"/>
      <c r="N57" s="36"/>
    </row>
    <row r="58" spans="1:14">
      <c r="A58" s="36" t="s">
        <v>103</v>
      </c>
      <c r="B58" s="36">
        <v>23</v>
      </c>
      <c r="C58" s="36"/>
      <c r="D58" s="36"/>
      <c r="E58" s="36"/>
      <c r="F58" s="37">
        <v>435</v>
      </c>
      <c r="G58" s="37">
        <v>348</v>
      </c>
      <c r="H58" s="37">
        <v>522</v>
      </c>
      <c r="I58" s="40">
        <v>0.4</v>
      </c>
      <c r="J58" s="39" t="str">
        <f>IF(AND(C58&gt;0,F58&gt;0),ABS(F58-C58)/C58,"")</f>
        <v/>
      </c>
      <c r="K58" s="36" t="str">
        <f>IF(AND(C58&gt;0,G58&gt;0),IF(AND(C58&gt;=G58,C58&lt;=H58),"✓","✗"),"")</f>
        <v/>
      </c>
      <c r="L58" s="38" t="str">
        <f>IF(AND(C58&gt;0,C57&gt;0),(C58-C57)/C57,"")</f>
        <v/>
      </c>
      <c r="M58" s="36"/>
      <c r="N58" s="36"/>
    </row>
    <row r="59" spans="1:14">
      <c r="A59" s="36" t="s">
        <v>104</v>
      </c>
      <c r="B59" s="36">
        <v>24</v>
      </c>
      <c r="C59" s="36"/>
      <c r="D59" s="36"/>
      <c r="E59" s="36"/>
      <c r="F59" s="37">
        <v>435</v>
      </c>
      <c r="G59" s="37">
        <v>348</v>
      </c>
      <c r="H59" s="37">
        <v>522</v>
      </c>
      <c r="I59" s="40">
        <v>0.4</v>
      </c>
      <c r="J59" s="39" t="str">
        <f>IF(AND(C59&gt;0,F59&gt;0),ABS(F59-C59)/C59,"")</f>
        <v/>
      </c>
      <c r="K59" s="36" t="str">
        <f>IF(AND(C59&gt;0,G59&gt;0),IF(AND(C59&gt;=G59,C59&lt;=H59),"✓","✗"),"")</f>
        <v/>
      </c>
      <c r="L59" s="38" t="str">
        <f>IF(AND(C59&gt;0,C58&gt;0),(C59-C58)/C58,"")</f>
        <v/>
      </c>
      <c r="M59" s="36"/>
      <c r="N59" s="36"/>
    </row>
    <row r="60" spans="1:14">
      <c r="A60" s="36" t="s">
        <v>105</v>
      </c>
      <c r="B60" s="36">
        <v>25</v>
      </c>
      <c r="C60" s="36"/>
      <c r="D60" s="36"/>
      <c r="E60" s="36"/>
      <c r="F60" s="37">
        <v>435</v>
      </c>
      <c r="G60" s="37">
        <v>348</v>
      </c>
      <c r="H60" s="37">
        <v>522</v>
      </c>
      <c r="I60" s="40">
        <v>0.4</v>
      </c>
      <c r="J60" s="39" t="str">
        <f>IF(AND(C60&gt;0,F60&gt;0),ABS(F60-C60)/C60,"")</f>
        <v/>
      </c>
      <c r="K60" s="36" t="str">
        <f>IF(AND(C60&gt;0,G60&gt;0),IF(AND(C60&gt;=G60,C60&lt;=H60),"✓","✗"),"")</f>
        <v/>
      </c>
      <c r="L60" s="38" t="str">
        <f>IF(AND(C60&gt;0,C59&gt;0),(C60-C59)/C59,"")</f>
        <v/>
      </c>
      <c r="M60" s="36"/>
      <c r="N60" s="36"/>
    </row>
    <row r="61" spans="1:14">
      <c r="A61" s="36" t="s">
        <v>106</v>
      </c>
      <c r="B61" s="36">
        <v>26</v>
      </c>
      <c r="C61" s="36"/>
      <c r="D61" s="36"/>
      <c r="E61" s="36"/>
      <c r="F61" s="37">
        <v>435</v>
      </c>
      <c r="G61" s="37">
        <v>348</v>
      </c>
      <c r="H61" s="37">
        <v>522</v>
      </c>
      <c r="I61" s="40">
        <v>0.4</v>
      </c>
      <c r="J61" s="39" t="str">
        <f>IF(AND(C61&gt;0,F61&gt;0),ABS(F61-C61)/C61,"")</f>
        <v/>
      </c>
      <c r="K61" s="36" t="str">
        <f>IF(AND(C61&gt;0,G61&gt;0),IF(AND(C61&gt;=G61,C61&lt;=H61),"✓","✗"),"")</f>
        <v/>
      </c>
      <c r="L61" s="38" t="str">
        <f>IF(AND(C61&gt;0,C60&gt;0),(C61-C60)/C60,"")</f>
        <v/>
      </c>
      <c r="M61" s="36"/>
      <c r="N61" s="36"/>
    </row>
    <row r="62" spans="1:14">
      <c r="A62" s="36" t="s">
        <v>107</v>
      </c>
      <c r="B62" s="36">
        <v>27</v>
      </c>
      <c r="C62" s="36"/>
      <c r="D62" s="36"/>
      <c r="E62" s="36"/>
      <c r="F62" s="37">
        <v>417</v>
      </c>
      <c r="G62" s="37">
        <v>334</v>
      </c>
      <c r="H62" s="37">
        <v>500</v>
      </c>
      <c r="I62" s="40">
        <v>0.4</v>
      </c>
      <c r="J62" s="39" t="str">
        <f>IF(AND(C62&gt;0,F62&gt;0),ABS(F62-C62)/C62,"")</f>
        <v/>
      </c>
      <c r="K62" s="36" t="str">
        <f>IF(AND(C62&gt;0,G62&gt;0),IF(AND(C62&gt;=G62,C62&lt;=H62),"✓","✗"),"")</f>
        <v/>
      </c>
      <c r="L62" s="38" t="str">
        <f>IF(AND(C62&gt;0,C61&gt;0),(C62-C61)/C61,"")</f>
        <v/>
      </c>
      <c r="M62" s="36"/>
      <c r="N62" s="36"/>
    </row>
    <row r="63" spans="1:14">
      <c r="A63" s="36" t="s">
        <v>108</v>
      </c>
      <c r="B63" s="36">
        <v>28</v>
      </c>
      <c r="C63" s="36"/>
      <c r="D63" s="36"/>
      <c r="E63" s="36"/>
      <c r="F63" s="37">
        <v>417</v>
      </c>
      <c r="G63" s="37">
        <v>334</v>
      </c>
      <c r="H63" s="37">
        <v>500</v>
      </c>
      <c r="I63" s="40">
        <v>0.4</v>
      </c>
      <c r="J63" s="39" t="str">
        <f>IF(AND(C63&gt;0,F63&gt;0),ABS(F63-C63)/C63,"")</f>
        <v/>
      </c>
      <c r="K63" s="36" t="str">
        <f>IF(AND(C63&gt;0,G63&gt;0),IF(AND(C63&gt;=G63,C63&lt;=H63),"✓","✗"),"")</f>
        <v/>
      </c>
      <c r="L63" s="38" t="str">
        <f>IF(AND(C63&gt;0,C62&gt;0),(C63-C62)/C62,"")</f>
        <v/>
      </c>
      <c r="M63" s="36"/>
      <c r="N63" s="36"/>
    </row>
    <row r="64" spans="1:14">
      <c r="A64" s="36" t="s">
        <v>109</v>
      </c>
      <c r="B64" s="36">
        <v>29</v>
      </c>
      <c r="C64" s="36"/>
      <c r="D64" s="36"/>
      <c r="E64" s="36"/>
      <c r="F64" s="37">
        <v>417</v>
      </c>
      <c r="G64" s="37">
        <v>334</v>
      </c>
      <c r="H64" s="37">
        <v>500</v>
      </c>
      <c r="I64" s="40">
        <v>0.4</v>
      </c>
      <c r="J64" s="39" t="str">
        <f>IF(AND(C64&gt;0,F64&gt;0),ABS(F64-C64)/C64,"")</f>
        <v/>
      </c>
      <c r="K64" s="36" t="str">
        <f>IF(AND(C64&gt;0,G64&gt;0),IF(AND(C64&gt;=G64,C64&lt;=H64),"✓","✗"),"")</f>
        <v/>
      </c>
      <c r="L64" s="38" t="str">
        <f>IF(AND(C64&gt;0,C63&gt;0),(C64-C63)/C63,"")</f>
        <v/>
      </c>
      <c r="M64" s="36"/>
      <c r="N64" s="36"/>
    </row>
    <row r="65" spans="1:14">
      <c r="A65" s="36" t="s">
        <v>110</v>
      </c>
      <c r="B65" s="36">
        <v>30</v>
      </c>
      <c r="C65" s="36"/>
      <c r="D65" s="36"/>
      <c r="E65" s="36"/>
      <c r="F65" s="37">
        <v>417</v>
      </c>
      <c r="G65" s="37">
        <v>334</v>
      </c>
      <c r="H65" s="37">
        <v>500</v>
      </c>
      <c r="I65" s="40">
        <v>0.4</v>
      </c>
      <c r="J65" s="39" t="str">
        <f>IF(AND(C65&gt;0,F65&gt;0),ABS(F65-C65)/C65,"")</f>
        <v/>
      </c>
      <c r="K65" s="36" t="str">
        <f>IF(AND(C65&gt;0,G65&gt;0),IF(AND(C65&gt;=G65,C65&lt;=H65),"✓","✗"),"")</f>
        <v/>
      </c>
      <c r="L65" s="38" t="str">
        <f>IF(AND(C65&gt;0,C64&gt;0),(C65-C64)/C64,"")</f>
        <v/>
      </c>
      <c r="M65" s="36"/>
      <c r="N65" s="36"/>
    </row>
    <row r="66" spans="1:14">
      <c r="A66" s="36" t="s">
        <v>111</v>
      </c>
      <c r="B66" s="36">
        <v>31</v>
      </c>
      <c r="C66" s="36"/>
      <c r="D66" s="36"/>
      <c r="E66" s="36"/>
      <c r="F66" s="37">
        <v>417</v>
      </c>
      <c r="G66" s="37">
        <v>334</v>
      </c>
      <c r="H66" s="37">
        <v>500</v>
      </c>
      <c r="I66" s="40">
        <v>0.4</v>
      </c>
      <c r="J66" s="39" t="str">
        <f>IF(AND(C66&gt;0,F66&gt;0),ABS(F66-C66)/C66,"")</f>
        <v/>
      </c>
      <c r="K66" s="36" t="str">
        <f>IF(AND(C66&gt;0,G66&gt;0),IF(AND(C66&gt;=G66,C66&lt;=H66),"✓","✗"),"")</f>
        <v/>
      </c>
      <c r="L66" s="38" t="str">
        <f>IF(AND(C66&gt;0,C65&gt;0),(C66-C65)/C65,"")</f>
        <v/>
      </c>
      <c r="M66" s="36"/>
      <c r="N66" s="36"/>
    </row>
    <row r="67" spans="1:14">
      <c r="A67" s="36" t="s">
        <v>112</v>
      </c>
      <c r="B67" s="36">
        <v>32</v>
      </c>
      <c r="C67" s="36"/>
      <c r="D67" s="36"/>
      <c r="E67" s="36"/>
      <c r="F67" s="37">
        <v>461</v>
      </c>
      <c r="G67" s="37">
        <v>369</v>
      </c>
      <c r="H67" s="37">
        <v>553</v>
      </c>
      <c r="I67" s="40">
        <v>0.4</v>
      </c>
      <c r="J67" s="39" t="str">
        <f>IF(AND(C67&gt;0,F67&gt;0),ABS(F67-C67)/C67,"")</f>
        <v/>
      </c>
      <c r="K67" s="36" t="str">
        <f>IF(AND(C67&gt;0,G67&gt;0),IF(AND(C67&gt;=G67,C67&lt;=H67),"✓","✗"),"")</f>
        <v/>
      </c>
      <c r="L67" s="38" t="str">
        <f>IF(AND(C67&gt;0,C66&gt;0),(C67-C66)/C66,"")</f>
        <v/>
      </c>
      <c r="M67" s="36"/>
      <c r="N67" s="36"/>
    </row>
    <row r="68" spans="1:14">
      <c r="A68" s="36" t="s">
        <v>113</v>
      </c>
      <c r="B68" s="36">
        <v>33</v>
      </c>
      <c r="C68" s="36"/>
      <c r="D68" s="36"/>
      <c r="E68" s="36"/>
      <c r="F68" s="37">
        <v>461</v>
      </c>
      <c r="G68" s="37">
        <v>369</v>
      </c>
      <c r="H68" s="37">
        <v>553</v>
      </c>
      <c r="I68" s="40">
        <v>0.4</v>
      </c>
      <c r="J68" s="39" t="str">
        <f>IF(AND(C68&gt;0,F68&gt;0),ABS(F68-C68)/C68,"")</f>
        <v/>
      </c>
      <c r="K68" s="36" t="str">
        <f>IF(AND(C68&gt;0,G68&gt;0),IF(AND(C68&gt;=G68,C68&lt;=H68),"✓","✗"),"")</f>
        <v/>
      </c>
      <c r="L68" s="38" t="str">
        <f>IF(AND(C68&gt;0,C67&gt;0),(C68-C67)/C67,"")</f>
        <v/>
      </c>
      <c r="M68" s="36"/>
      <c r="N68" s="36"/>
    </row>
    <row r="69" spans="1:14">
      <c r="A69" s="36" t="s">
        <v>114</v>
      </c>
      <c r="B69" s="36">
        <v>34</v>
      </c>
      <c r="C69" s="36"/>
      <c r="D69" s="36"/>
      <c r="E69" s="36"/>
      <c r="F69" s="37">
        <v>461</v>
      </c>
      <c r="G69" s="37">
        <v>369</v>
      </c>
      <c r="H69" s="37">
        <v>553</v>
      </c>
      <c r="I69" s="40">
        <v>0.4</v>
      </c>
      <c r="J69" s="39" t="str">
        <f>IF(AND(C69&gt;0,F69&gt;0),ABS(F69-C69)/C69,"")</f>
        <v/>
      </c>
      <c r="K69" s="36" t="str">
        <f>IF(AND(C69&gt;0,G69&gt;0),IF(AND(C69&gt;=G69,C69&lt;=H69),"✓","✗"),"")</f>
        <v/>
      </c>
      <c r="L69" s="38" t="str">
        <f>IF(AND(C69&gt;0,C68&gt;0),(C69-C68)/C68,"")</f>
        <v/>
      </c>
      <c r="M69" s="36"/>
      <c r="N69" s="36"/>
    </row>
    <row r="70" spans="1:14">
      <c r="A70" s="36" t="s">
        <v>115</v>
      </c>
      <c r="B70" s="36">
        <v>35</v>
      </c>
      <c r="C70" s="36"/>
      <c r="D70" s="36"/>
      <c r="E70" s="36"/>
      <c r="F70" s="37">
        <v>461</v>
      </c>
      <c r="G70" s="37">
        <v>369</v>
      </c>
      <c r="H70" s="37">
        <v>553</v>
      </c>
      <c r="I70" s="40">
        <v>0.4</v>
      </c>
      <c r="J70" s="39" t="str">
        <f>IF(AND(C70&gt;0,F70&gt;0),ABS(F70-C70)/C70,"")</f>
        <v/>
      </c>
      <c r="K70" s="36" t="str">
        <f>IF(AND(C70&gt;0,G70&gt;0),IF(AND(C70&gt;=G70,C70&lt;=H70),"✓","✗"),"")</f>
        <v/>
      </c>
      <c r="L70" s="38" t="str">
        <f>IF(AND(C70&gt;0,C69&gt;0),(C70-C69)/C69,"")</f>
        <v/>
      </c>
      <c r="M70" s="36"/>
      <c r="N70" s="36"/>
    </row>
    <row r="71" spans="1:14">
      <c r="A71" s="36" t="s">
        <v>116</v>
      </c>
      <c r="B71" s="36">
        <v>36</v>
      </c>
      <c r="C71" s="36"/>
      <c r="D71" s="36"/>
      <c r="E71" s="36"/>
      <c r="F71" s="37">
        <v>514</v>
      </c>
      <c r="G71" s="37">
        <v>411</v>
      </c>
      <c r="H71" s="37">
        <v>617</v>
      </c>
      <c r="I71" s="40">
        <v>0.4</v>
      </c>
      <c r="J71" s="39" t="str">
        <f>IF(AND(C71&gt;0,F71&gt;0),ABS(F71-C71)/C71,"")</f>
        <v/>
      </c>
      <c r="K71" s="36" t="str">
        <f>IF(AND(C71&gt;0,G71&gt;0),IF(AND(C71&gt;=G71,C71&lt;=H71),"✓","✗"),"")</f>
        <v/>
      </c>
      <c r="L71" s="38" t="str">
        <f>IF(AND(C71&gt;0,C70&gt;0),(C71-C70)/C70,"")</f>
        <v/>
      </c>
      <c r="M71" s="36"/>
      <c r="N71" s="36"/>
    </row>
    <row r="72" spans="1:14">
      <c r="A72" s="36" t="s">
        <v>117</v>
      </c>
      <c r="B72" s="36">
        <v>37</v>
      </c>
      <c r="C72" s="36"/>
      <c r="D72" s="36"/>
      <c r="E72" s="36"/>
      <c r="F72" s="37">
        <v>514</v>
      </c>
      <c r="G72" s="37">
        <v>411</v>
      </c>
      <c r="H72" s="37">
        <v>617</v>
      </c>
      <c r="I72" s="40">
        <v>0.4</v>
      </c>
      <c r="J72" s="39" t="str">
        <f>IF(AND(C72&gt;0,F72&gt;0),ABS(F72-C72)/C72,"")</f>
        <v/>
      </c>
      <c r="K72" s="36" t="str">
        <f>IF(AND(C72&gt;0,G72&gt;0),IF(AND(C72&gt;=G72,C72&lt;=H72),"✓","✗"),"")</f>
        <v/>
      </c>
      <c r="L72" s="38" t="str">
        <f>IF(AND(C72&gt;0,C71&gt;0),(C72-C71)/C71,"")</f>
        <v/>
      </c>
      <c r="M72" s="36"/>
      <c r="N72" s="36"/>
    </row>
    <row r="73" spans="1:14">
      <c r="A73" s="36" t="s">
        <v>118</v>
      </c>
      <c r="B73" s="36">
        <v>38</v>
      </c>
      <c r="C73" s="36"/>
      <c r="D73" s="36"/>
      <c r="E73" s="36"/>
      <c r="F73" s="37">
        <v>514</v>
      </c>
      <c r="G73" s="37">
        <v>411</v>
      </c>
      <c r="H73" s="37">
        <v>617</v>
      </c>
      <c r="I73" s="40">
        <v>0.4</v>
      </c>
      <c r="J73" s="39" t="str">
        <f>IF(AND(C73&gt;0,F73&gt;0),ABS(F73-C73)/C73,"")</f>
        <v/>
      </c>
      <c r="K73" s="36" t="str">
        <f>IF(AND(C73&gt;0,G73&gt;0),IF(AND(C73&gt;=G73,C73&lt;=H73),"✓","✗"),"")</f>
        <v/>
      </c>
      <c r="L73" s="38" t="str">
        <f>IF(AND(C73&gt;0,C72&gt;0),(C73-C72)/C72,"")</f>
        <v/>
      </c>
      <c r="M73" s="36"/>
      <c r="N73" s="36"/>
    </row>
    <row r="74" spans="1:14">
      <c r="A74" s="36" t="s">
        <v>119</v>
      </c>
      <c r="B74" s="36">
        <v>39</v>
      </c>
      <c r="C74" s="36"/>
      <c r="D74" s="36"/>
      <c r="E74" s="36"/>
      <c r="F74" s="37">
        <v>514</v>
      </c>
      <c r="G74" s="37">
        <v>411</v>
      </c>
      <c r="H74" s="37">
        <v>617</v>
      </c>
      <c r="I74" s="40">
        <v>0.4</v>
      </c>
      <c r="J74" s="39" t="str">
        <f>IF(AND(C74&gt;0,F74&gt;0),ABS(F74-C74)/C74,"")</f>
        <v/>
      </c>
      <c r="K74" s="36" t="str">
        <f>IF(AND(C74&gt;0,G74&gt;0),IF(AND(C74&gt;=G74,C74&lt;=H74),"✓","✗"),"")</f>
        <v/>
      </c>
      <c r="L74" s="38" t="str">
        <f>IF(AND(C74&gt;0,C73&gt;0),(C74-C73)/C73,"")</f>
        <v/>
      </c>
      <c r="M74" s="36"/>
      <c r="N74" s="36"/>
    </row>
    <row r="75" spans="1:14">
      <c r="A75" s="36" t="s">
        <v>120</v>
      </c>
      <c r="B75" s="36">
        <v>40</v>
      </c>
      <c r="C75" s="36"/>
      <c r="D75" s="36"/>
      <c r="E75" s="36"/>
      <c r="F75" s="37">
        <v>487</v>
      </c>
      <c r="G75" s="37">
        <v>390</v>
      </c>
      <c r="H75" s="37">
        <v>584</v>
      </c>
      <c r="I75" s="40">
        <v>0.4</v>
      </c>
      <c r="J75" s="39" t="str">
        <f>IF(AND(C75&gt;0,F75&gt;0),ABS(F75-C75)/C75,"")</f>
        <v/>
      </c>
      <c r="K75" s="36" t="str">
        <f>IF(AND(C75&gt;0,G75&gt;0),IF(AND(C75&gt;=G75,C75&lt;=H75),"✓","✗"),"")</f>
        <v/>
      </c>
      <c r="L75" s="38" t="str">
        <f>IF(AND(C75&gt;0,C74&gt;0),(C75-C74)/C74,"")</f>
        <v/>
      </c>
      <c r="M75" s="36"/>
      <c r="N75" s="36"/>
    </row>
    <row r="76" spans="1:14">
      <c r="A76" s="36" t="s">
        <v>121</v>
      </c>
      <c r="B76" s="36">
        <v>41</v>
      </c>
      <c r="C76" s="36"/>
      <c r="D76" s="36"/>
      <c r="E76" s="36"/>
      <c r="F76" s="37">
        <v>487</v>
      </c>
      <c r="G76" s="37">
        <v>390</v>
      </c>
      <c r="H76" s="37">
        <v>584</v>
      </c>
      <c r="I76" s="40">
        <v>0.4</v>
      </c>
      <c r="J76" s="39" t="str">
        <f>IF(AND(C76&gt;0,F76&gt;0),ABS(F76-C76)/C76,"")</f>
        <v/>
      </c>
      <c r="K76" s="36" t="str">
        <f>IF(AND(C76&gt;0,G76&gt;0),IF(AND(C76&gt;=G76,C76&lt;=H76),"✓","✗"),"")</f>
        <v/>
      </c>
      <c r="L76" s="38" t="str">
        <f>IF(AND(C76&gt;0,C75&gt;0),(C76-C75)/C75,"")</f>
        <v/>
      </c>
      <c r="M76" s="36"/>
      <c r="N76" s="36"/>
    </row>
    <row r="77" spans="1:14">
      <c r="A77" s="36" t="s">
        <v>122</v>
      </c>
      <c r="B77" s="36">
        <v>42</v>
      </c>
      <c r="C77" s="36"/>
      <c r="D77" s="36"/>
      <c r="E77" s="36"/>
      <c r="F77" s="37">
        <v>487</v>
      </c>
      <c r="G77" s="37">
        <v>390</v>
      </c>
      <c r="H77" s="37">
        <v>584</v>
      </c>
      <c r="I77" s="40">
        <v>0.4</v>
      </c>
      <c r="J77" s="39" t="str">
        <f>IF(AND(C77&gt;0,F77&gt;0),ABS(F77-C77)/C77,"")</f>
        <v/>
      </c>
      <c r="K77" s="36" t="str">
        <f>IF(AND(C77&gt;0,G77&gt;0),IF(AND(C77&gt;=G77,C77&lt;=H77),"✓","✗"),"")</f>
        <v/>
      </c>
      <c r="L77" s="38" t="str">
        <f>IF(AND(C77&gt;0,C76&gt;0),(C77-C76)/C76,"")</f>
        <v/>
      </c>
      <c r="M77" s="36"/>
      <c r="N77" s="36"/>
    </row>
    <row r="78" spans="1:14">
      <c r="A78" s="36" t="s">
        <v>123</v>
      </c>
      <c r="B78" s="36">
        <v>43</v>
      </c>
      <c r="C78" s="36"/>
      <c r="D78" s="36"/>
      <c r="E78" s="36"/>
      <c r="F78" s="37">
        <v>487</v>
      </c>
      <c r="G78" s="37">
        <v>390</v>
      </c>
      <c r="H78" s="37">
        <v>584</v>
      </c>
      <c r="I78" s="40">
        <v>0.4</v>
      </c>
      <c r="J78" s="39" t="str">
        <f>IF(AND(C78&gt;0,F78&gt;0),ABS(F78-C78)/C78,"")</f>
        <v/>
      </c>
      <c r="K78" s="36" t="str">
        <f>IF(AND(C78&gt;0,G78&gt;0),IF(AND(C78&gt;=G78,C78&lt;=H78),"✓","✗"),"")</f>
        <v/>
      </c>
      <c r="L78" s="38" t="str">
        <f>IF(AND(C78&gt;0,C77&gt;0),(C78-C77)/C77,"")</f>
        <v/>
      </c>
      <c r="M78" s="36"/>
      <c r="N78" s="36"/>
    </row>
    <row r="79" spans="1:14">
      <c r="A79" s="36" t="s">
        <v>124</v>
      </c>
      <c r="B79" s="36">
        <v>44</v>
      </c>
      <c r="C79" s="36"/>
      <c r="D79" s="36"/>
      <c r="E79" s="36"/>
      <c r="F79" s="37">
        <v>487</v>
      </c>
      <c r="G79" s="37">
        <v>390</v>
      </c>
      <c r="H79" s="37">
        <v>584</v>
      </c>
      <c r="I79" s="40">
        <v>0.4</v>
      </c>
      <c r="J79" s="39" t="str">
        <f>IF(AND(C79&gt;0,F79&gt;0),ABS(F79-C79)/C79,"")</f>
        <v/>
      </c>
      <c r="K79" s="36" t="str">
        <f>IF(AND(C79&gt;0,G79&gt;0),IF(AND(C79&gt;=G79,C79&lt;=H79),"✓","✗"),"")</f>
        <v/>
      </c>
      <c r="L79" s="38" t="str">
        <f>IF(AND(C79&gt;0,C78&gt;0),(C79-C78)/C78,"")</f>
        <v/>
      </c>
      <c r="M79" s="36"/>
      <c r="N79" s="36"/>
    </row>
    <row r="80" spans="1:14">
      <c r="A80" s="36" t="s">
        <v>125</v>
      </c>
      <c r="B80" s="36">
        <v>45</v>
      </c>
      <c r="C80" s="36"/>
      <c r="D80" s="36"/>
      <c r="E80" s="36"/>
      <c r="F80" s="37">
        <v>678</v>
      </c>
      <c r="G80" s="37">
        <v>542</v>
      </c>
      <c r="H80" s="37">
        <v>814</v>
      </c>
      <c r="I80" s="40">
        <v>0.4</v>
      </c>
      <c r="J80" s="39" t="str">
        <f>IF(AND(C80&gt;0,F80&gt;0),ABS(F80-C80)/C80,"")</f>
        <v/>
      </c>
      <c r="K80" s="36" t="str">
        <f>IF(AND(C80&gt;0,G80&gt;0),IF(AND(C80&gt;=G80,C80&lt;=H80),"✓","✗"),"")</f>
        <v/>
      </c>
      <c r="L80" s="38" t="str">
        <f>IF(AND(C80&gt;0,C79&gt;0),(C80-C79)/C79,"")</f>
        <v/>
      </c>
      <c r="M80" s="36"/>
      <c r="N80" s="36"/>
    </row>
    <row r="81" spans="1:14">
      <c r="A81" s="36" t="s">
        <v>126</v>
      </c>
      <c r="B81" s="36">
        <v>46</v>
      </c>
      <c r="C81" s="36"/>
      <c r="D81" s="36"/>
      <c r="E81" s="36"/>
      <c r="F81" s="37">
        <v>678</v>
      </c>
      <c r="G81" s="37">
        <v>542</v>
      </c>
      <c r="H81" s="37">
        <v>814</v>
      </c>
      <c r="I81" s="40">
        <v>0.4</v>
      </c>
      <c r="J81" s="39" t="str">
        <f>IF(AND(C81&gt;0,F81&gt;0),ABS(F81-C81)/C81,"")</f>
        <v/>
      </c>
      <c r="K81" s="36" t="str">
        <f>IF(AND(C81&gt;0,G81&gt;0),IF(AND(C81&gt;=G81,C81&lt;=H81),"✓","✗"),"")</f>
        <v/>
      </c>
      <c r="L81" s="38" t="str">
        <f>IF(AND(C81&gt;0,C80&gt;0),(C81-C80)/C80,"")</f>
        <v/>
      </c>
      <c r="M81" s="36"/>
      <c r="N81" s="36"/>
    </row>
    <row r="82" spans="1:14">
      <c r="A82" s="36" t="s">
        <v>127</v>
      </c>
      <c r="B82" s="36">
        <v>47</v>
      </c>
      <c r="C82" s="36"/>
      <c r="D82" s="36"/>
      <c r="E82" s="36"/>
      <c r="F82" s="37">
        <v>678</v>
      </c>
      <c r="G82" s="37">
        <v>542</v>
      </c>
      <c r="H82" s="37">
        <v>814</v>
      </c>
      <c r="I82" s="40">
        <v>0.4</v>
      </c>
      <c r="J82" s="39" t="str">
        <f>IF(AND(C82&gt;0,F82&gt;0),ABS(F82-C82)/C82,"")</f>
        <v/>
      </c>
      <c r="K82" s="36" t="str">
        <f>IF(AND(C82&gt;0,G82&gt;0),IF(AND(C82&gt;=G82,C82&lt;=H82),"✓","✗"),"")</f>
        <v/>
      </c>
      <c r="L82" s="38" t="str">
        <f>IF(AND(C82&gt;0,C81&gt;0),(C82-C81)/C81,"")</f>
        <v/>
      </c>
      <c r="M82" s="36"/>
      <c r="N82" s="36"/>
    </row>
    <row r="83" spans="1:14">
      <c r="A83" s="36" t="s">
        <v>128</v>
      </c>
      <c r="B83" s="36">
        <v>48</v>
      </c>
      <c r="C83" s="36"/>
      <c r="D83" s="36"/>
      <c r="E83" s="36"/>
      <c r="F83" s="37">
        <v>678</v>
      </c>
      <c r="G83" s="37">
        <v>542</v>
      </c>
      <c r="H83" s="37">
        <v>814</v>
      </c>
      <c r="I83" s="40">
        <v>0.4</v>
      </c>
      <c r="J83" s="39" t="str">
        <f>IF(AND(C83&gt;0,F83&gt;0),ABS(F83-C83)/C83,"")</f>
        <v/>
      </c>
      <c r="K83" s="36" t="str">
        <f>IF(AND(C83&gt;0,G83&gt;0),IF(AND(C83&gt;=G83,C83&lt;=H83),"✓","✗"),"")</f>
        <v/>
      </c>
      <c r="L83" s="38" t="str">
        <f>IF(AND(C83&gt;0,C82&gt;0),(C83-C82)/C82,"")</f>
        <v/>
      </c>
      <c r="M83" s="36"/>
      <c r="N83" s="36"/>
    </row>
    <row r="84" spans="1:14">
      <c r="A84" s="36" t="s">
        <v>129</v>
      </c>
      <c r="B84" s="36">
        <v>49</v>
      </c>
      <c r="C84" s="36"/>
      <c r="D84" s="36"/>
      <c r="E84" s="36"/>
      <c r="F84" s="37">
        <v>495</v>
      </c>
      <c r="G84" s="37">
        <v>396</v>
      </c>
      <c r="H84" s="37">
        <v>594</v>
      </c>
      <c r="I84" s="40">
        <v>0.4</v>
      </c>
      <c r="J84" s="39" t="str">
        <f>IF(AND(C84&gt;0,F84&gt;0),ABS(F84-C84)/C84,"")</f>
        <v/>
      </c>
      <c r="K84" s="36" t="str">
        <f>IF(AND(C84&gt;0,G84&gt;0),IF(AND(C84&gt;=G84,C84&lt;=H84),"✓","✗"),"")</f>
        <v/>
      </c>
      <c r="L84" s="38" t="str">
        <f>IF(AND(C84&gt;0,C83&gt;0),(C84-C83)/C83,"")</f>
        <v/>
      </c>
      <c r="M84" s="36"/>
      <c r="N84" s="36"/>
    </row>
    <row r="85" spans="1:14">
      <c r="A85" s="36" t="s">
        <v>130</v>
      </c>
      <c r="B85" s="36">
        <v>50</v>
      </c>
      <c r="C85" s="36"/>
      <c r="D85" s="36"/>
      <c r="E85" s="36"/>
      <c r="F85" s="37">
        <v>495</v>
      </c>
      <c r="G85" s="37">
        <v>396</v>
      </c>
      <c r="H85" s="37">
        <v>594</v>
      </c>
      <c r="I85" s="40">
        <v>0.4</v>
      </c>
      <c r="J85" s="39" t="str">
        <f>IF(AND(C85&gt;0,F85&gt;0),ABS(F85-C85)/C85,"")</f>
        <v/>
      </c>
      <c r="K85" s="36" t="str">
        <f>IF(AND(C85&gt;0,G85&gt;0),IF(AND(C85&gt;=G85,C85&lt;=H85),"✓","✗"),"")</f>
        <v/>
      </c>
      <c r="L85" s="38" t="str">
        <f>IF(AND(C85&gt;0,C84&gt;0),(C85-C84)/C84,"")</f>
        <v/>
      </c>
      <c r="M85" s="36"/>
      <c r="N85" s="36"/>
    </row>
    <row r="86" spans="1:14">
      <c r="A86" s="36" t="s">
        <v>131</v>
      </c>
      <c r="B86" s="36">
        <v>51</v>
      </c>
      <c r="C86" s="36"/>
      <c r="D86" s="36"/>
      <c r="E86" s="36"/>
      <c r="F86" s="37">
        <v>495</v>
      </c>
      <c r="G86" s="37">
        <v>396</v>
      </c>
      <c r="H86" s="37">
        <v>594</v>
      </c>
      <c r="I86" s="40">
        <v>0.4</v>
      </c>
      <c r="J86" s="39" t="str">
        <f>IF(AND(C86&gt;0,F86&gt;0),ABS(F86-C86)/C86,"")</f>
        <v/>
      </c>
      <c r="K86" s="36" t="str">
        <f>IF(AND(C86&gt;0,G86&gt;0),IF(AND(C86&gt;=G86,C86&lt;=H86),"✓","✗"),"")</f>
        <v/>
      </c>
      <c r="L86" s="38" t="str">
        <f>IF(AND(C86&gt;0,C85&gt;0),(C86-C85)/C85,"")</f>
        <v/>
      </c>
      <c r="M86" s="36"/>
      <c r="N86" s="36"/>
    </row>
    <row r="87" spans="1:14">
      <c r="A87" s="36" t="s">
        <v>132</v>
      </c>
      <c r="B87" s="36">
        <v>52</v>
      </c>
      <c r="C87" s="36"/>
      <c r="D87" s="36"/>
      <c r="E87" s="36"/>
      <c r="F87" s="37">
        <v>495</v>
      </c>
      <c r="G87" s="37">
        <v>396</v>
      </c>
      <c r="H87" s="37">
        <v>594</v>
      </c>
      <c r="I87" s="40">
        <v>0.4</v>
      </c>
      <c r="J87" s="39" t="str">
        <f>IF(AND(C87&gt;0,F87&gt;0),ABS(F87-C87)/C87,"")</f>
        <v/>
      </c>
      <c r="K87" s="36" t="str">
        <f>IF(AND(C87&gt;0,G87&gt;0),IF(AND(C87&gt;=G87,C87&lt;=H87),"✓","✗"),"")</f>
        <v/>
      </c>
      <c r="L87" s="38" t="str">
        <f>IF(AND(C87&gt;0,C86&gt;0),(C87-C86)/C86,"")</f>
        <v/>
      </c>
      <c r="M87" s="36"/>
      <c r="N87" s="36"/>
    </row>
  </sheetData>
  <mergeCells count="15">
    <mergeCell ref="C3:D3"/>
    <mergeCell ref="A3:B3"/>
    <mergeCell ref="G3:H3"/>
    <mergeCell ref="E3:F3"/>
    <mergeCell ref="A1:N1"/>
    <mergeCell ref="A4:B4"/>
    <mergeCell ref="G4:H4"/>
    <mergeCell ref="E4:F4"/>
    <mergeCell ref="A12:K12"/>
    <mergeCell ref="A34:N34"/>
    <mergeCell ref="A5:B5"/>
    <mergeCell ref="C4:D4"/>
    <mergeCell ref="G5:H5"/>
    <mergeCell ref="A8:K8"/>
    <mergeCell ref="A19:K19"/>
  </mergeCells>
  <conditionalFormatting sqref="C36:C87">
    <cfRule type="dataBar" priority="1">
      <dataBar>
        <cfvo type="num" val="0"/>
        <cfvo type="max"/>
        <color rgb="FF9B59B6"/>
      </dataBar>
    </cfRule>
  </conditionalFormatting>
  <conditionalFormatting sqref="J36:J87">
    <cfRule type="colorScale" priority="2">
      <colorScale>
        <cfvo type="num" val="0"/>
        <cfvo type="num" val="0.1"/>
        <cfvo type="num" val="0.3"/>
        <color rgb="FF27AE60"/>
        <color rgb="FFFFFFFF"/>
        <color rgb="FFE74C3C"/>
      </colorScale>
    </cfRule>
  </conditionalFormatting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D35400"/>
  </sheetPr>
  <dimension ref="A1:N87"/>
  <sheetViews>
    <sheetView showGridLines="0" workbookViewId="0">
      <selection activeCell="I33" sqref="I33"/>
    </sheetView>
  </sheetViews>
  <sheetFormatPr defaultRowHeight="15"/>
  <cols>
    <col min="1" max="1" width="11.85546875" bestFit="1" customWidth="1"/>
    <col min="2" max="3" width="10.140625" bestFit="1" customWidth="1"/>
    <col min="4" max="4" width="9.85546875" bestFit="1" customWidth="1"/>
    <col min="5" max="5" width="9.5703125" bestFit="1" customWidth="1"/>
    <col min="6" max="6" width="9.7109375" bestFit="1" customWidth="1"/>
    <col min="7" max="7" width="8.140625" bestFit="1" customWidth="1"/>
    <col min="8" max="8" width="6.85546875" bestFit="1" customWidth="1"/>
    <col min="9" max="9" width="9.85546875" bestFit="1" customWidth="1"/>
    <col min="10" max="10" width="6.85546875" bestFit="1" customWidth="1"/>
    <col min="11" max="11" width="10.85546875" bestFit="1" customWidth="1"/>
    <col min="12" max="12" width="8.28515625" bestFit="1" customWidth="1"/>
    <col min="13" max="13" width="9.7109375" bestFit="1" customWidth="1"/>
    <col min="14" max="14" width="7.42578125" bestFit="1" customWidth="1"/>
  </cols>
  <sheetData>
    <row r="1" spans="1:14" ht="21">
      <c r="A1" s="77" t="s">
        <v>167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3" spans="1:14">
      <c r="A3" s="26" t="s">
        <v>34</v>
      </c>
      <c r="B3" s="74"/>
      <c r="C3" s="26" t="s">
        <v>35</v>
      </c>
      <c r="D3" s="74"/>
      <c r="E3" s="26" t="s">
        <v>36</v>
      </c>
      <c r="F3" s="74"/>
      <c r="G3" s="26" t="s">
        <v>37</v>
      </c>
      <c r="H3" s="74"/>
    </row>
    <row r="4" spans="1:14" ht="26.25">
      <c r="A4" s="27" t="s">
        <v>168</v>
      </c>
      <c r="B4" s="74"/>
      <c r="C4" s="27" t="s">
        <v>169</v>
      </c>
      <c r="D4" s="74"/>
      <c r="E4" s="27" t="s">
        <v>170</v>
      </c>
      <c r="F4" s="74"/>
      <c r="G4" s="27" t="s">
        <v>171</v>
      </c>
      <c r="H4" s="74"/>
    </row>
    <row r="5" spans="1:14">
      <c r="A5" s="26" t="s">
        <v>10</v>
      </c>
      <c r="B5" s="74"/>
      <c r="C5" s="1"/>
      <c r="D5" s="1"/>
      <c r="E5" s="1"/>
      <c r="F5" s="1"/>
      <c r="G5" s="26" t="s">
        <v>23</v>
      </c>
      <c r="H5" s="74"/>
    </row>
    <row r="8" spans="1:14" ht="15.75">
      <c r="A8" s="76" t="s">
        <v>42</v>
      </c>
      <c r="B8" s="71"/>
      <c r="C8" s="71"/>
      <c r="D8" s="71"/>
      <c r="E8" s="71"/>
      <c r="F8" s="71"/>
      <c r="G8" s="71"/>
      <c r="H8" s="71"/>
      <c r="I8" s="71"/>
      <c r="J8" s="71"/>
      <c r="K8" s="71"/>
    </row>
    <row r="9" spans="1:14" ht="40.5">
      <c r="A9" s="25" t="s">
        <v>43</v>
      </c>
      <c r="B9" s="25" t="s">
        <v>44</v>
      </c>
      <c r="C9" s="25" t="s">
        <v>45</v>
      </c>
      <c r="D9" s="25" t="s">
        <v>46</v>
      </c>
      <c r="E9" s="25" t="s">
        <v>47</v>
      </c>
      <c r="F9" s="25" t="s">
        <v>48</v>
      </c>
      <c r="G9" s="25" t="s">
        <v>20</v>
      </c>
      <c r="H9" s="25" t="s">
        <v>49</v>
      </c>
      <c r="I9" s="25" t="s">
        <v>50</v>
      </c>
      <c r="J9" s="25" t="s">
        <v>51</v>
      </c>
      <c r="K9" s="25" t="s">
        <v>52</v>
      </c>
    </row>
    <row r="10" spans="1:14">
      <c r="A10" s="14" t="s">
        <v>53</v>
      </c>
      <c r="B10" s="15"/>
      <c r="C10" s="15"/>
      <c r="D10" s="15"/>
      <c r="E10" s="15"/>
      <c r="F10" s="15">
        <v>11177.576530612239</v>
      </c>
      <c r="G10" s="16" t="str">
        <f>IF(AND(B10&gt;0,F10&gt;0),(B10-F10)/F10,"")</f>
        <v/>
      </c>
      <c r="H10" s="17" t="str">
        <f>IF(AND(B10&gt;0,C10&gt;0),ABS(C10-B10)/B10,"")</f>
        <v/>
      </c>
      <c r="I10" s="18"/>
      <c r="J10" s="14"/>
      <c r="K10" s="14"/>
    </row>
    <row r="12" spans="1:14" ht="15.75">
      <c r="A12" s="76" t="s">
        <v>54</v>
      </c>
      <c r="B12" s="71"/>
      <c r="C12" s="71"/>
      <c r="D12" s="71"/>
      <c r="E12" s="71"/>
      <c r="F12" s="71"/>
      <c r="G12" s="71"/>
      <c r="H12" s="71"/>
      <c r="I12" s="71"/>
      <c r="J12" s="71"/>
      <c r="K12" s="71"/>
    </row>
    <row r="13" spans="1:14" ht="40.5">
      <c r="A13" s="25" t="s">
        <v>43</v>
      </c>
      <c r="B13" s="25" t="s">
        <v>44</v>
      </c>
      <c r="C13" s="25" t="s">
        <v>45</v>
      </c>
      <c r="D13" s="25" t="s">
        <v>46</v>
      </c>
      <c r="E13" s="25" t="s">
        <v>47</v>
      </c>
      <c r="F13" s="25" t="s">
        <v>48</v>
      </c>
      <c r="G13" s="25" t="s">
        <v>20</v>
      </c>
      <c r="H13" s="25" t="s">
        <v>49</v>
      </c>
      <c r="I13" s="25" t="s">
        <v>50</v>
      </c>
      <c r="J13" s="25" t="s">
        <v>51</v>
      </c>
      <c r="K13" s="25" t="s">
        <v>52</v>
      </c>
    </row>
    <row r="14" spans="1:14">
      <c r="A14" s="3" t="s">
        <v>55</v>
      </c>
      <c r="B14" s="4">
        <v>3637</v>
      </c>
      <c r="C14" s="4"/>
      <c r="D14" s="4"/>
      <c r="E14" s="4"/>
      <c r="F14" s="4">
        <v>2726</v>
      </c>
      <c r="G14" s="19">
        <f>IF(AND(B14&gt;0,F14&gt;0),(B14-F14)/F14,"")</f>
        <v>0.33418928833455613</v>
      </c>
      <c r="H14" s="20" t="str">
        <f>IF(AND(B14&gt;0,C14&gt;0),ABS(C14-B14)/B14,"")</f>
        <v/>
      </c>
      <c r="I14" s="21"/>
      <c r="J14" s="3"/>
      <c r="K14" s="3"/>
    </row>
    <row r="15" spans="1:14">
      <c r="A15" s="14" t="s">
        <v>56</v>
      </c>
      <c r="B15" s="14"/>
      <c r="C15" s="15"/>
      <c r="D15" s="15"/>
      <c r="E15" s="15"/>
      <c r="F15" s="15">
        <v>2795.3928571428569</v>
      </c>
      <c r="G15" s="16" t="str">
        <f>IF(AND(B15&gt;0,F15&gt;0),(B15-F15)/F15,"")</f>
        <v/>
      </c>
      <c r="H15" s="17" t="str">
        <f>IF(AND(B15&gt;0,C15&gt;0),ABS(C15-B15)/B15,"")</f>
        <v/>
      </c>
      <c r="I15" s="18"/>
      <c r="J15" s="14"/>
      <c r="K15" s="14"/>
    </row>
    <row r="16" spans="1:14">
      <c r="A16" s="14" t="s">
        <v>57</v>
      </c>
      <c r="B16" s="14"/>
      <c r="C16" s="15"/>
      <c r="D16" s="15"/>
      <c r="E16" s="15"/>
      <c r="F16" s="15">
        <v>2511.6071428571422</v>
      </c>
      <c r="G16" s="16" t="str">
        <f>IF(AND(B16&gt;0,F16&gt;0),(B16-F16)/F16,"")</f>
        <v/>
      </c>
      <c r="H16" s="17" t="str">
        <f>IF(AND(B16&gt;0,C16&gt;0),ABS(C16-B16)/B16,"")</f>
        <v/>
      </c>
      <c r="I16" s="18"/>
      <c r="J16" s="14"/>
      <c r="K16" s="14"/>
    </row>
    <row r="17" spans="1:11">
      <c r="A17" s="14" t="s">
        <v>58</v>
      </c>
      <c r="B17" s="14"/>
      <c r="C17" s="15"/>
      <c r="D17" s="15"/>
      <c r="E17" s="15"/>
      <c r="F17" s="15">
        <v>3144.5765306122448</v>
      </c>
      <c r="G17" s="16" t="str">
        <f>IF(AND(B17&gt;0,F17&gt;0),(B17-F17)/F17,"")</f>
        <v/>
      </c>
      <c r="H17" s="17" t="str">
        <f>IF(AND(B17&gt;0,C17&gt;0),ABS(C17-B17)/B17,"")</f>
        <v/>
      </c>
      <c r="I17" s="18"/>
      <c r="J17" s="14"/>
      <c r="K17" s="14"/>
    </row>
    <row r="19" spans="1:11" ht="15.75">
      <c r="A19" s="76" t="s">
        <v>59</v>
      </c>
      <c r="B19" s="71"/>
      <c r="C19" s="71"/>
      <c r="D19" s="71"/>
      <c r="E19" s="71"/>
      <c r="F19" s="71"/>
      <c r="G19" s="71"/>
      <c r="H19" s="71"/>
      <c r="I19" s="71"/>
      <c r="J19" s="71"/>
      <c r="K19" s="71"/>
    </row>
    <row r="20" spans="1:11" ht="40.5">
      <c r="A20" s="25" t="s">
        <v>43</v>
      </c>
      <c r="B20" s="25" t="s">
        <v>44</v>
      </c>
      <c r="C20" s="25" t="s">
        <v>45</v>
      </c>
      <c r="D20" s="25" t="s">
        <v>46</v>
      </c>
      <c r="E20" s="25" t="s">
        <v>47</v>
      </c>
      <c r="F20" s="25" t="s">
        <v>48</v>
      </c>
      <c r="G20" s="25" t="s">
        <v>20</v>
      </c>
      <c r="H20" s="25" t="s">
        <v>49</v>
      </c>
      <c r="I20" s="25" t="s">
        <v>50</v>
      </c>
      <c r="J20" s="25" t="s">
        <v>51</v>
      </c>
      <c r="K20" s="25" t="s">
        <v>52</v>
      </c>
    </row>
    <row r="21" spans="1:11">
      <c r="A21" s="3" t="s">
        <v>60</v>
      </c>
      <c r="B21" s="4">
        <v>945</v>
      </c>
      <c r="C21" s="4"/>
      <c r="D21" s="4"/>
      <c r="E21" s="4"/>
      <c r="F21" s="4">
        <v>1022.25</v>
      </c>
      <c r="G21" s="19">
        <f>IF(AND(B21&gt;0,F21&gt;0),(B21-F21)/F21,"")</f>
        <v>-7.5568598679383717E-2</v>
      </c>
      <c r="H21" s="20" t="str">
        <f>IF(AND(B21&gt;0,C21&gt;0),ABS(C21-B21)/B21,"")</f>
        <v/>
      </c>
      <c r="I21" s="21"/>
      <c r="J21" s="3"/>
      <c r="K21" s="3"/>
    </row>
    <row r="22" spans="1:11">
      <c r="A22" s="8" t="s">
        <v>61</v>
      </c>
      <c r="B22" s="9">
        <v>1067</v>
      </c>
      <c r="C22" s="9"/>
      <c r="D22" s="9"/>
      <c r="E22" s="9"/>
      <c r="F22" s="9">
        <v>845.14285714285711</v>
      </c>
      <c r="G22" s="22">
        <f>IF(AND(B22&gt;0,F22&gt;0),(B22-F22)/F22,"")</f>
        <v>0.26250845165652475</v>
      </c>
      <c r="H22" s="23" t="str">
        <f>IF(AND(B22&gt;0,C22&gt;0),ABS(C22-B22)/B22,"")</f>
        <v/>
      </c>
      <c r="I22" s="24"/>
      <c r="J22" s="8"/>
      <c r="K22" s="8"/>
    </row>
    <row r="23" spans="1:11">
      <c r="A23" s="3" t="s">
        <v>62</v>
      </c>
      <c r="B23" s="4">
        <v>1625</v>
      </c>
      <c r="C23" s="4"/>
      <c r="D23" s="4"/>
      <c r="E23" s="4"/>
      <c r="F23" s="4">
        <v>858.60714285714278</v>
      </c>
      <c r="G23" s="19">
        <f>IF(AND(B23&gt;0,F23&gt;0),(B23-F23)/F23,"")</f>
        <v>0.89260014142506572</v>
      </c>
      <c r="H23" s="20" t="str">
        <f>IF(AND(B23&gt;0,C23&gt;0),ABS(C23-B23)/B23,"")</f>
        <v/>
      </c>
      <c r="I23" s="21"/>
      <c r="J23" s="3"/>
      <c r="K23" s="3"/>
    </row>
    <row r="24" spans="1:11">
      <c r="A24" s="14" t="s">
        <v>63</v>
      </c>
      <c r="B24" s="15"/>
      <c r="C24" s="15">
        <v>791.28571428571422</v>
      </c>
      <c r="D24" s="15">
        <v>673</v>
      </c>
      <c r="E24" s="15">
        <v>910</v>
      </c>
      <c r="F24" s="15">
        <v>791.28571428571422</v>
      </c>
      <c r="G24" s="16" t="str">
        <f>IF(AND(B24&gt;0,F24&gt;0),(B24-F24)/F24,"")</f>
        <v/>
      </c>
      <c r="H24" s="17" t="str">
        <f>IF(AND(B24&gt;0,C24&gt;0),ABS(C24-B24)/B24,"")</f>
        <v/>
      </c>
      <c r="I24" s="18">
        <v>0.5</v>
      </c>
      <c r="J24" s="14"/>
      <c r="K24" s="14" t="s">
        <v>64</v>
      </c>
    </row>
    <row r="25" spans="1:11">
      <c r="A25" s="14" t="s">
        <v>65</v>
      </c>
      <c r="B25" s="15"/>
      <c r="C25" s="15">
        <v>984.96428571428567</v>
      </c>
      <c r="D25" s="15">
        <v>837</v>
      </c>
      <c r="E25" s="15">
        <v>1133</v>
      </c>
      <c r="F25" s="15">
        <v>984.96428571428567</v>
      </c>
      <c r="G25" s="16" t="str">
        <f>IF(AND(B25&gt;0,F25&gt;0),(B25-F25)/F25,"")</f>
        <v/>
      </c>
      <c r="H25" s="17" t="str">
        <f>IF(AND(B25&gt;0,C25&gt;0),ABS(C25-B25)/B25,"")</f>
        <v/>
      </c>
      <c r="I25" s="18">
        <v>0.5</v>
      </c>
      <c r="J25" s="14"/>
      <c r="K25" s="14" t="s">
        <v>64</v>
      </c>
    </row>
    <row r="26" spans="1:11">
      <c r="A26" s="14" t="s">
        <v>66</v>
      </c>
      <c r="B26" s="15"/>
      <c r="C26" s="15">
        <v>1019.142857142857</v>
      </c>
      <c r="D26" s="15">
        <v>866</v>
      </c>
      <c r="E26" s="15">
        <v>1172</v>
      </c>
      <c r="F26" s="15">
        <v>1019.142857142857</v>
      </c>
      <c r="G26" s="16" t="str">
        <f>IF(AND(B26&gt;0,F26&gt;0),(B26-F26)/F26,"")</f>
        <v/>
      </c>
      <c r="H26" s="17" t="str">
        <f>IF(AND(B26&gt;0,C26&gt;0),ABS(C26-B26)/B26,"")</f>
        <v/>
      </c>
      <c r="I26" s="18">
        <v>0.5</v>
      </c>
      <c r="J26" s="14"/>
      <c r="K26" s="14" t="s">
        <v>64</v>
      </c>
    </row>
    <row r="27" spans="1:11">
      <c r="A27" s="14" t="s">
        <v>67</v>
      </c>
      <c r="B27" s="15"/>
      <c r="C27" s="15">
        <v>1115.464285714286</v>
      </c>
      <c r="D27" s="15">
        <v>948</v>
      </c>
      <c r="E27" s="15">
        <v>1283</v>
      </c>
      <c r="F27" s="15">
        <v>1115.464285714286</v>
      </c>
      <c r="G27" s="16" t="str">
        <f>IF(AND(B27&gt;0,F27&gt;0),(B27-F27)/F27,"")</f>
        <v/>
      </c>
      <c r="H27" s="17" t="str">
        <f>IF(AND(B27&gt;0,C27&gt;0),ABS(C27-B27)/B27,"")</f>
        <v/>
      </c>
      <c r="I27" s="18">
        <v>0.5</v>
      </c>
      <c r="J27" s="14"/>
      <c r="K27" s="14" t="s">
        <v>64</v>
      </c>
    </row>
    <row r="28" spans="1:11">
      <c r="A28" s="14" t="s">
        <v>68</v>
      </c>
      <c r="B28" s="15"/>
      <c r="C28" s="15">
        <v>774.71428571428555</v>
      </c>
      <c r="D28" s="15">
        <v>659</v>
      </c>
      <c r="E28" s="15">
        <v>891</v>
      </c>
      <c r="F28" s="15">
        <v>774.71428571428555</v>
      </c>
      <c r="G28" s="16" t="str">
        <f>IF(AND(B28&gt;0,F28&gt;0),(B28-F28)/F28,"")</f>
        <v/>
      </c>
      <c r="H28" s="17" t="str">
        <f>IF(AND(B28&gt;0,C28&gt;0),ABS(C28-B28)/B28,"")</f>
        <v/>
      </c>
      <c r="I28" s="18">
        <v>0.5</v>
      </c>
      <c r="J28" s="14"/>
      <c r="K28" s="14" t="s">
        <v>64</v>
      </c>
    </row>
    <row r="29" spans="1:11">
      <c r="A29" s="14" t="s">
        <v>69</v>
      </c>
      <c r="B29" s="15"/>
      <c r="C29" s="15">
        <v>621.42857142857133</v>
      </c>
      <c r="D29" s="15">
        <v>528</v>
      </c>
      <c r="E29" s="15">
        <v>715</v>
      </c>
      <c r="F29" s="15">
        <v>621.42857142857133</v>
      </c>
      <c r="G29" s="16" t="str">
        <f>IF(AND(B29&gt;0,F29&gt;0),(B29-F29)/F29,"")</f>
        <v/>
      </c>
      <c r="H29" s="17" t="str">
        <f>IF(AND(B29&gt;0,C29&gt;0),ABS(C29-B29)/B29,"")</f>
        <v/>
      </c>
      <c r="I29" s="18">
        <v>0.5</v>
      </c>
      <c r="J29" s="14"/>
      <c r="K29" s="14" t="s">
        <v>64</v>
      </c>
    </row>
    <row r="30" spans="1:11">
      <c r="A30" s="14" t="s">
        <v>70</v>
      </c>
      <c r="B30" s="15"/>
      <c r="C30" s="15">
        <v>1157.9285714285711</v>
      </c>
      <c r="D30" s="15">
        <v>984</v>
      </c>
      <c r="E30" s="15">
        <v>1332</v>
      </c>
      <c r="F30" s="15">
        <v>1157.9285714285711</v>
      </c>
      <c r="G30" s="16" t="str">
        <f>IF(AND(B30&gt;0,F30&gt;0),(B30-F30)/F30,"")</f>
        <v/>
      </c>
      <c r="H30" s="17" t="str">
        <f>IF(AND(B30&gt;0,C30&gt;0),ABS(C30-B30)/B30,"")</f>
        <v/>
      </c>
      <c r="I30" s="18">
        <v>0.5</v>
      </c>
      <c r="J30" s="14"/>
      <c r="K30" s="14" t="s">
        <v>64</v>
      </c>
    </row>
    <row r="31" spans="1:11">
      <c r="A31" s="14" t="s">
        <v>71</v>
      </c>
      <c r="B31" s="15"/>
      <c r="C31" s="15">
        <v>1231.464285714286</v>
      </c>
      <c r="D31" s="15">
        <v>1047</v>
      </c>
      <c r="E31" s="15">
        <v>1416</v>
      </c>
      <c r="F31" s="15">
        <v>1231.464285714286</v>
      </c>
      <c r="G31" s="16" t="str">
        <f>IF(AND(B31&gt;0,F31&gt;0),(B31-F31)/F31,"")</f>
        <v/>
      </c>
      <c r="H31" s="17" t="str">
        <f>IF(AND(B31&gt;0,C31&gt;0),ABS(C31-B31)/B31,"")</f>
        <v/>
      </c>
      <c r="I31" s="18">
        <v>0.5</v>
      </c>
      <c r="J31" s="14"/>
      <c r="K31" s="14" t="s">
        <v>64</v>
      </c>
    </row>
    <row r="32" spans="1:11">
      <c r="A32" s="14" t="s">
        <v>72</v>
      </c>
      <c r="B32" s="15"/>
      <c r="C32" s="15">
        <v>755.18367346938771</v>
      </c>
      <c r="D32" s="15">
        <v>642</v>
      </c>
      <c r="E32" s="15">
        <v>868</v>
      </c>
      <c r="F32" s="15">
        <v>755.18367346938771</v>
      </c>
      <c r="G32" s="16" t="str">
        <f>IF(AND(B32&gt;0,F32&gt;0),(B32-F32)/F32,"")</f>
        <v/>
      </c>
      <c r="H32" s="17" t="str">
        <f>IF(AND(B32&gt;0,C32&gt;0),ABS(C32-B32)/B32,"")</f>
        <v/>
      </c>
      <c r="I32" s="18">
        <v>0.5</v>
      </c>
      <c r="J32" s="14"/>
      <c r="K32" s="14" t="s">
        <v>64</v>
      </c>
    </row>
    <row r="34" spans="1:14" ht="15.75">
      <c r="A34" s="76" t="s">
        <v>73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</row>
    <row r="35" spans="1:14">
      <c r="A35" s="25" t="s">
        <v>74</v>
      </c>
      <c r="B35" s="25" t="s">
        <v>75</v>
      </c>
      <c r="C35" s="25" t="s">
        <v>44</v>
      </c>
      <c r="D35" s="25" t="s">
        <v>76</v>
      </c>
      <c r="E35" s="25" t="s">
        <v>77</v>
      </c>
      <c r="F35" s="25" t="s">
        <v>45</v>
      </c>
      <c r="G35" s="25" t="s">
        <v>46</v>
      </c>
      <c r="H35" s="25" t="s">
        <v>47</v>
      </c>
      <c r="I35" s="25" t="s">
        <v>50</v>
      </c>
      <c r="J35" s="25" t="s">
        <v>49</v>
      </c>
      <c r="K35" s="25" t="s">
        <v>78</v>
      </c>
      <c r="L35" s="25" t="s">
        <v>18</v>
      </c>
      <c r="M35" s="25" t="s">
        <v>79</v>
      </c>
      <c r="N35" s="25" t="s">
        <v>80</v>
      </c>
    </row>
    <row r="36" spans="1:14">
      <c r="A36" s="3" t="s">
        <v>81</v>
      </c>
      <c r="B36" s="3">
        <v>1</v>
      </c>
      <c r="C36" s="4">
        <v>183</v>
      </c>
      <c r="D36" s="5">
        <v>7424</v>
      </c>
      <c r="E36" s="6">
        <v>40.57</v>
      </c>
      <c r="F36" s="4"/>
      <c r="G36" s="4"/>
      <c r="H36" s="4"/>
      <c r="I36" s="21"/>
      <c r="J36" s="20" t="str">
        <f>IF(AND(C36&gt;0,F36&gt;0),ABS(F36-C36)/C36,"")</f>
        <v/>
      </c>
      <c r="K36" s="3" t="str">
        <f>IF(AND(C36&gt;0,G36&gt;0),IF(AND(C36&gt;=G36,C36&lt;=H36),"✓","✗"),"")</f>
        <v/>
      </c>
      <c r="L36" s="3"/>
      <c r="M36" s="4">
        <v>100</v>
      </c>
      <c r="N36" s="4">
        <v>83</v>
      </c>
    </row>
    <row r="37" spans="1:14">
      <c r="A37" s="8" t="s">
        <v>82</v>
      </c>
      <c r="B37" s="8">
        <v>2</v>
      </c>
      <c r="C37" s="9">
        <v>252</v>
      </c>
      <c r="D37" s="10">
        <v>8650</v>
      </c>
      <c r="E37" s="11">
        <v>34.33</v>
      </c>
      <c r="F37" s="9"/>
      <c r="G37" s="9"/>
      <c r="H37" s="9"/>
      <c r="I37" s="24"/>
      <c r="J37" s="23" t="str">
        <f>IF(AND(C37&gt;0,F37&gt;0),ABS(F37-C37)/C37,"")</f>
        <v/>
      </c>
      <c r="K37" s="8" t="str">
        <f>IF(AND(C37&gt;0,G37&gt;0),IF(AND(C37&gt;=G37,C37&lt;=H37),"✓","✗"),"")</f>
        <v/>
      </c>
      <c r="L37" s="22">
        <f>IF(AND(C37&gt;0,C36&gt;0),(C37-C36)/C36,"")</f>
        <v>0.37704918032786883</v>
      </c>
      <c r="M37" s="9">
        <v>155</v>
      </c>
      <c r="N37" s="9">
        <v>97</v>
      </c>
    </row>
    <row r="38" spans="1:14">
      <c r="A38" s="3" t="s">
        <v>83</v>
      </c>
      <c r="B38" s="3">
        <v>3</v>
      </c>
      <c r="C38" s="4">
        <v>270</v>
      </c>
      <c r="D38" s="5">
        <v>12821</v>
      </c>
      <c r="E38" s="6">
        <v>47.49</v>
      </c>
      <c r="F38" s="4"/>
      <c r="G38" s="4"/>
      <c r="H38" s="4"/>
      <c r="I38" s="21"/>
      <c r="J38" s="20" t="str">
        <f>IF(AND(C38&gt;0,F38&gt;0),ABS(F38-C38)/C38,"")</f>
        <v/>
      </c>
      <c r="K38" s="3" t="str">
        <f>IF(AND(C38&gt;0,G38&gt;0),IF(AND(C38&gt;=G38,C38&lt;=H38),"✓","✗"),"")</f>
        <v/>
      </c>
      <c r="L38" s="19">
        <f>IF(AND(C38&gt;0,C37&gt;0),(C38-C37)/C37,"")</f>
        <v>7.1428571428571425E-2</v>
      </c>
      <c r="M38" s="4">
        <v>153</v>
      </c>
      <c r="N38" s="4">
        <v>117</v>
      </c>
    </row>
    <row r="39" spans="1:14">
      <c r="A39" s="8" t="s">
        <v>84</v>
      </c>
      <c r="B39" s="8">
        <v>4</v>
      </c>
      <c r="C39" s="9">
        <v>240</v>
      </c>
      <c r="D39" s="10">
        <v>14672</v>
      </c>
      <c r="E39" s="11">
        <v>61.13</v>
      </c>
      <c r="F39" s="9"/>
      <c r="G39" s="9"/>
      <c r="H39" s="9"/>
      <c r="I39" s="24"/>
      <c r="J39" s="23" t="str">
        <f>IF(AND(C39&gt;0,F39&gt;0),ABS(F39-C39)/C39,"")</f>
        <v/>
      </c>
      <c r="K39" s="8" t="str">
        <f>IF(AND(C39&gt;0,G39&gt;0),IF(AND(C39&gt;=G39,C39&lt;=H39),"✓","✗"),"")</f>
        <v/>
      </c>
      <c r="L39" s="22">
        <f>IF(AND(C39&gt;0,C38&gt;0),(C39-C38)/C38,"")</f>
        <v>-0.1111111111111111</v>
      </c>
      <c r="M39" s="9">
        <v>123</v>
      </c>
      <c r="N39" s="9">
        <v>117</v>
      </c>
    </row>
    <row r="40" spans="1:14">
      <c r="A40" s="3" t="s">
        <v>85</v>
      </c>
      <c r="B40" s="3">
        <v>5</v>
      </c>
      <c r="C40" s="4">
        <v>224</v>
      </c>
      <c r="D40" s="5">
        <v>16772</v>
      </c>
      <c r="E40" s="6">
        <v>74.87</v>
      </c>
      <c r="F40" s="4"/>
      <c r="G40" s="4"/>
      <c r="H40" s="4"/>
      <c r="I40" s="21"/>
      <c r="J40" s="20" t="str">
        <f>IF(AND(C40&gt;0,F40&gt;0),ABS(F40-C40)/C40,"")</f>
        <v/>
      </c>
      <c r="K40" s="3" t="str">
        <f>IF(AND(C40&gt;0,G40&gt;0),IF(AND(C40&gt;=G40,C40&lt;=H40),"✓","✗"),"")</f>
        <v/>
      </c>
      <c r="L40" s="19">
        <f>IF(AND(C40&gt;0,C39&gt;0),(C40-C39)/C39,"")</f>
        <v>-6.6666666666666666E-2</v>
      </c>
      <c r="M40" s="4">
        <v>130</v>
      </c>
      <c r="N40" s="4">
        <v>94</v>
      </c>
    </row>
    <row r="41" spans="1:14">
      <c r="A41" s="8" t="s">
        <v>86</v>
      </c>
      <c r="B41" s="8">
        <v>6</v>
      </c>
      <c r="C41" s="9">
        <v>229</v>
      </c>
      <c r="D41" s="10">
        <v>15530</v>
      </c>
      <c r="E41" s="11">
        <v>67.819999999999993</v>
      </c>
      <c r="F41" s="9"/>
      <c r="G41" s="9"/>
      <c r="H41" s="9"/>
      <c r="I41" s="24"/>
      <c r="J41" s="23" t="str">
        <f>IF(AND(C41&gt;0,F41&gt;0),ABS(F41-C41)/C41,"")</f>
        <v/>
      </c>
      <c r="K41" s="8" t="str">
        <f>IF(AND(C41&gt;0,G41&gt;0),IF(AND(C41&gt;=G41,C41&lt;=H41),"✓","✗"),"")</f>
        <v/>
      </c>
      <c r="L41" s="22">
        <f>IF(AND(C41&gt;0,C40&gt;0),(C41-C40)/C40,"")</f>
        <v>2.2321428571428572E-2</v>
      </c>
      <c r="M41" s="9">
        <v>140</v>
      </c>
      <c r="N41" s="9">
        <v>89</v>
      </c>
    </row>
    <row r="42" spans="1:14">
      <c r="A42" s="3" t="s">
        <v>87</v>
      </c>
      <c r="B42" s="3">
        <v>7</v>
      </c>
      <c r="C42" s="4">
        <v>246</v>
      </c>
      <c r="D42" s="5">
        <v>13995</v>
      </c>
      <c r="E42" s="6">
        <v>56.89</v>
      </c>
      <c r="F42" s="4"/>
      <c r="G42" s="4"/>
      <c r="H42" s="4"/>
      <c r="I42" s="21"/>
      <c r="J42" s="20" t="str">
        <f>IF(AND(C42&gt;0,F42&gt;0),ABS(F42-C42)/C42,"")</f>
        <v/>
      </c>
      <c r="K42" s="3" t="str">
        <f>IF(AND(C42&gt;0,G42&gt;0),IF(AND(C42&gt;=G42,C42&lt;=H42),"✓","✗"),"")</f>
        <v/>
      </c>
      <c r="L42" s="19">
        <f>IF(AND(C42&gt;0,C41&gt;0),(C42-C41)/C41,"")</f>
        <v>7.4235807860262015E-2</v>
      </c>
      <c r="M42" s="4">
        <v>158</v>
      </c>
      <c r="N42" s="4">
        <v>88</v>
      </c>
    </row>
    <row r="43" spans="1:14">
      <c r="A43" s="8" t="s">
        <v>88</v>
      </c>
      <c r="B43" s="8">
        <v>8</v>
      </c>
      <c r="C43" s="9">
        <v>368</v>
      </c>
      <c r="D43" s="10">
        <v>18669</v>
      </c>
      <c r="E43" s="11">
        <v>50.73</v>
      </c>
      <c r="F43" s="9"/>
      <c r="G43" s="9"/>
      <c r="H43" s="9"/>
      <c r="I43" s="24"/>
      <c r="J43" s="23" t="str">
        <f>IF(AND(C43&gt;0,F43&gt;0),ABS(F43-C43)/C43,"")</f>
        <v/>
      </c>
      <c r="K43" s="8" t="str">
        <f>IF(AND(C43&gt;0,G43&gt;0),IF(AND(C43&gt;=G43,C43&lt;=H43),"✓","✗"),"")</f>
        <v/>
      </c>
      <c r="L43" s="22">
        <f>IF(AND(C43&gt;0,C42&gt;0),(C43-C42)/C42,"")</f>
        <v>0.49593495934959347</v>
      </c>
      <c r="M43" s="9">
        <v>270</v>
      </c>
      <c r="N43" s="9">
        <v>98</v>
      </c>
    </row>
    <row r="44" spans="1:14">
      <c r="A44" s="3" t="s">
        <v>89</v>
      </c>
      <c r="B44" s="3">
        <v>9</v>
      </c>
      <c r="C44" s="4">
        <v>262</v>
      </c>
      <c r="D44" s="5">
        <v>19733</v>
      </c>
      <c r="E44" s="6">
        <v>75.319999999999993</v>
      </c>
      <c r="F44" s="4"/>
      <c r="G44" s="4"/>
      <c r="H44" s="4"/>
      <c r="I44" s="21"/>
      <c r="J44" s="20" t="str">
        <f>IF(AND(C44&gt;0,F44&gt;0),ABS(F44-C44)/C44,"")</f>
        <v/>
      </c>
      <c r="K44" s="3" t="str">
        <f>IF(AND(C44&gt;0,G44&gt;0),IF(AND(C44&gt;=G44,C44&lt;=H44),"✓","✗"),"")</f>
        <v/>
      </c>
      <c r="L44" s="19">
        <f>IF(AND(C44&gt;0,C43&gt;0),(C44-C43)/C43,"")</f>
        <v>-0.28804347826086957</v>
      </c>
      <c r="M44" s="4">
        <v>166</v>
      </c>
      <c r="N44" s="4">
        <v>96</v>
      </c>
    </row>
    <row r="45" spans="1:14">
      <c r="A45" s="8" t="s">
        <v>90</v>
      </c>
      <c r="B45" s="8">
        <v>10</v>
      </c>
      <c r="C45" s="9">
        <v>297</v>
      </c>
      <c r="D45" s="10">
        <v>20509</v>
      </c>
      <c r="E45" s="11">
        <v>69.05</v>
      </c>
      <c r="F45" s="9"/>
      <c r="G45" s="9"/>
      <c r="H45" s="9"/>
      <c r="I45" s="24"/>
      <c r="J45" s="23" t="str">
        <f>IF(AND(C45&gt;0,F45&gt;0),ABS(F45-C45)/C45,"")</f>
        <v/>
      </c>
      <c r="K45" s="8" t="str">
        <f>IF(AND(C45&gt;0,G45&gt;0),IF(AND(C45&gt;=G45,C45&lt;=H45),"✓","✗"),"")</f>
        <v/>
      </c>
      <c r="L45" s="22">
        <f>IF(AND(C45&gt;0,C44&gt;0),(C45-C44)/C44,"")</f>
        <v>0.13358778625954199</v>
      </c>
      <c r="M45" s="9">
        <v>199</v>
      </c>
      <c r="N45" s="9">
        <v>98</v>
      </c>
    </row>
    <row r="46" spans="1:14">
      <c r="A46" s="3" t="s">
        <v>91</v>
      </c>
      <c r="B46" s="3">
        <v>11</v>
      </c>
      <c r="C46" s="4">
        <v>390</v>
      </c>
      <c r="D46" s="5">
        <v>22462</v>
      </c>
      <c r="E46" s="6">
        <v>57.59</v>
      </c>
      <c r="F46" s="4"/>
      <c r="G46" s="4"/>
      <c r="H46" s="4"/>
      <c r="I46" s="21"/>
      <c r="J46" s="20" t="str">
        <f>IF(AND(C46&gt;0,F46&gt;0),ABS(F46-C46)/C46,"")</f>
        <v/>
      </c>
      <c r="K46" s="3" t="str">
        <f>IF(AND(C46&gt;0,G46&gt;0),IF(AND(C46&gt;=G46,C46&lt;=H46),"✓","✗"),"")</f>
        <v/>
      </c>
      <c r="L46" s="19">
        <f>IF(AND(C46&gt;0,C45&gt;0),(C46-C45)/C45,"")</f>
        <v>0.31313131313131315</v>
      </c>
      <c r="M46" s="4">
        <v>244</v>
      </c>
      <c r="N46" s="4">
        <v>146</v>
      </c>
    </row>
    <row r="47" spans="1:14">
      <c r="A47" s="8" t="s">
        <v>92</v>
      </c>
      <c r="B47" s="8">
        <v>12</v>
      </c>
      <c r="C47" s="9">
        <v>324</v>
      </c>
      <c r="D47" s="10">
        <v>20134</v>
      </c>
      <c r="E47" s="11">
        <v>62.14</v>
      </c>
      <c r="F47" s="9"/>
      <c r="G47" s="9"/>
      <c r="H47" s="9"/>
      <c r="I47" s="24"/>
      <c r="J47" s="23" t="str">
        <f>IF(AND(C47&gt;0,F47&gt;0),ABS(F47-C47)/C47,"")</f>
        <v/>
      </c>
      <c r="K47" s="8" t="str">
        <f>IF(AND(C47&gt;0,G47&gt;0),IF(AND(C47&gt;=G47,C47&lt;=H47),"✓","✗"),"")</f>
        <v/>
      </c>
      <c r="L47" s="22">
        <f>IF(AND(C47&gt;0,C46&gt;0),(C47-C46)/C46,"")</f>
        <v>-0.16923076923076924</v>
      </c>
      <c r="M47" s="9">
        <v>203</v>
      </c>
      <c r="N47" s="9">
        <v>121</v>
      </c>
    </row>
    <row r="48" spans="1:14">
      <c r="A48" s="3" t="s">
        <v>93</v>
      </c>
      <c r="B48" s="3">
        <v>13</v>
      </c>
      <c r="C48" s="4">
        <v>352</v>
      </c>
      <c r="D48" s="5">
        <v>23220</v>
      </c>
      <c r="E48" s="6">
        <v>65.959999999999994</v>
      </c>
      <c r="F48" s="4"/>
      <c r="G48" s="4"/>
      <c r="H48" s="4"/>
      <c r="I48" s="21"/>
      <c r="J48" s="20" t="str">
        <f>IF(AND(C48&gt;0,F48&gt;0),ABS(F48-C48)/C48,"")</f>
        <v/>
      </c>
      <c r="K48" s="3" t="str">
        <f>IF(AND(C48&gt;0,G48&gt;0),IF(AND(C48&gt;=G48,C48&lt;=H48),"✓","✗"),"")</f>
        <v/>
      </c>
      <c r="L48" s="19">
        <f>IF(AND(C48&gt;0,C47&gt;0),(C48-C47)/C47,"")</f>
        <v>8.6419753086419748E-2</v>
      </c>
      <c r="M48" s="4">
        <v>212</v>
      </c>
      <c r="N48" s="4">
        <v>140</v>
      </c>
    </row>
    <row r="49" spans="1:14">
      <c r="A49" s="8" t="s">
        <v>94</v>
      </c>
      <c r="B49" s="8">
        <v>14</v>
      </c>
      <c r="C49" s="9">
        <v>238</v>
      </c>
      <c r="D49" s="10">
        <v>19418</v>
      </c>
      <c r="E49" s="11">
        <v>81.59</v>
      </c>
      <c r="F49" s="9"/>
      <c r="G49" s="9"/>
      <c r="H49" s="9"/>
      <c r="I49" s="24"/>
      <c r="J49" s="23" t="str">
        <f>IF(AND(C49&gt;0,F49&gt;0),ABS(F49-C49)/C49,"")</f>
        <v/>
      </c>
      <c r="K49" s="8" t="str">
        <f>IF(AND(C49&gt;0,G49&gt;0),IF(AND(C49&gt;=G49,C49&lt;=H49),"✓","✗"),"")</f>
        <v/>
      </c>
      <c r="L49" s="22">
        <f>IF(AND(C49&gt;0,C48&gt;0),(C49-C48)/C48,"")</f>
        <v>-0.32386363636363635</v>
      </c>
      <c r="M49" s="9">
        <v>137</v>
      </c>
      <c r="N49" s="9">
        <v>101</v>
      </c>
    </row>
    <row r="50" spans="1:14">
      <c r="A50" s="3" t="s">
        <v>95</v>
      </c>
      <c r="B50" s="3">
        <v>15</v>
      </c>
      <c r="C50" s="4">
        <v>504</v>
      </c>
      <c r="D50" s="5">
        <v>25444</v>
      </c>
      <c r="E50" s="6">
        <v>50.48</v>
      </c>
      <c r="F50" s="4"/>
      <c r="G50" s="4"/>
      <c r="H50" s="4"/>
      <c r="I50" s="21"/>
      <c r="J50" s="20" t="str">
        <f>IF(AND(C50&gt;0,F50&gt;0),ABS(F50-C50)/C50,"")</f>
        <v/>
      </c>
      <c r="K50" s="3" t="str">
        <f>IF(AND(C50&gt;0,G50&gt;0),IF(AND(C50&gt;=G50,C50&lt;=H50),"✓","✗"),"")</f>
        <v/>
      </c>
      <c r="L50" s="19">
        <f>IF(AND(C50&gt;0,C49&gt;0),(C50-C49)/C49,"")</f>
        <v>1.1176470588235294</v>
      </c>
      <c r="M50" s="4">
        <v>372</v>
      </c>
      <c r="N50" s="4">
        <v>132</v>
      </c>
    </row>
    <row r="51" spans="1:14">
      <c r="A51" s="14" t="s">
        <v>96</v>
      </c>
      <c r="B51" s="14">
        <v>16</v>
      </c>
      <c r="C51" s="14"/>
      <c r="D51" s="14"/>
      <c r="E51" s="14"/>
      <c r="F51" s="15">
        <v>198</v>
      </c>
      <c r="G51" s="15">
        <v>158</v>
      </c>
      <c r="H51" s="15">
        <v>238</v>
      </c>
      <c r="I51" s="18">
        <v>0.4</v>
      </c>
      <c r="J51" s="17" t="str">
        <f>IF(AND(C51&gt;0,F51&gt;0),ABS(F51-C51)/C51,"")</f>
        <v/>
      </c>
      <c r="K51" s="14" t="str">
        <f>IF(AND(C51&gt;0,G51&gt;0),IF(AND(C51&gt;=G51,C51&lt;=H51),"✓","✗"),"")</f>
        <v/>
      </c>
      <c r="L51" s="16" t="str">
        <f>IF(AND(C51&gt;0,C50&gt;0),(C51-C50)/C50,"")</f>
        <v/>
      </c>
      <c r="M51" s="14"/>
      <c r="N51" s="14"/>
    </row>
    <row r="52" spans="1:14">
      <c r="A52" s="14" t="s">
        <v>97</v>
      </c>
      <c r="B52" s="14">
        <v>17</v>
      </c>
      <c r="C52" s="14"/>
      <c r="D52" s="14"/>
      <c r="E52" s="14"/>
      <c r="F52" s="15">
        <v>198</v>
      </c>
      <c r="G52" s="15">
        <v>158</v>
      </c>
      <c r="H52" s="15">
        <v>238</v>
      </c>
      <c r="I52" s="18">
        <v>0.4</v>
      </c>
      <c r="J52" s="17" t="str">
        <f>IF(AND(C52&gt;0,F52&gt;0),ABS(F52-C52)/C52,"")</f>
        <v/>
      </c>
      <c r="K52" s="14" t="str">
        <f>IF(AND(C52&gt;0,G52&gt;0),IF(AND(C52&gt;=G52,C52&lt;=H52),"✓","✗"),"")</f>
        <v/>
      </c>
      <c r="L52" s="16" t="str">
        <f>IF(AND(C52&gt;0,C51&gt;0),(C52-C51)/C51,"")</f>
        <v/>
      </c>
      <c r="M52" s="14"/>
      <c r="N52" s="14"/>
    </row>
    <row r="53" spans="1:14">
      <c r="A53" s="14" t="s">
        <v>98</v>
      </c>
      <c r="B53" s="14">
        <v>18</v>
      </c>
      <c r="C53" s="14"/>
      <c r="D53" s="14"/>
      <c r="E53" s="14"/>
      <c r="F53" s="15">
        <v>197</v>
      </c>
      <c r="G53" s="15">
        <v>158</v>
      </c>
      <c r="H53" s="15">
        <v>236</v>
      </c>
      <c r="I53" s="18">
        <v>0.4</v>
      </c>
      <c r="J53" s="17" t="str">
        <f>IF(AND(C53&gt;0,F53&gt;0),ABS(F53-C53)/C53,"")</f>
        <v/>
      </c>
      <c r="K53" s="14" t="str">
        <f>IF(AND(C53&gt;0,G53&gt;0),IF(AND(C53&gt;=G53,C53&lt;=H53),"✓","✗"),"")</f>
        <v/>
      </c>
      <c r="L53" s="16" t="str">
        <f>IF(AND(C53&gt;0,C52&gt;0),(C53-C52)/C52,"")</f>
        <v/>
      </c>
      <c r="M53" s="14"/>
      <c r="N53" s="14"/>
    </row>
    <row r="54" spans="1:14">
      <c r="A54" s="14" t="s">
        <v>99</v>
      </c>
      <c r="B54" s="14">
        <v>19</v>
      </c>
      <c r="C54" s="14"/>
      <c r="D54" s="14"/>
      <c r="E54" s="14"/>
      <c r="F54" s="15">
        <v>197</v>
      </c>
      <c r="G54" s="15">
        <v>158</v>
      </c>
      <c r="H54" s="15">
        <v>236</v>
      </c>
      <c r="I54" s="18">
        <v>0.4</v>
      </c>
      <c r="J54" s="17" t="str">
        <f>IF(AND(C54&gt;0,F54&gt;0),ABS(F54-C54)/C54,"")</f>
        <v/>
      </c>
      <c r="K54" s="14" t="str">
        <f>IF(AND(C54&gt;0,G54&gt;0),IF(AND(C54&gt;=G54,C54&lt;=H54),"✓","✗"),"")</f>
        <v/>
      </c>
      <c r="L54" s="16" t="str">
        <f>IF(AND(C54&gt;0,C53&gt;0),(C54-C53)/C53,"")</f>
        <v/>
      </c>
      <c r="M54" s="14"/>
      <c r="N54" s="14"/>
    </row>
    <row r="55" spans="1:14">
      <c r="A55" s="14" t="s">
        <v>100</v>
      </c>
      <c r="B55" s="14">
        <v>20</v>
      </c>
      <c r="C55" s="14"/>
      <c r="D55" s="14"/>
      <c r="E55" s="14"/>
      <c r="F55" s="15">
        <v>197</v>
      </c>
      <c r="G55" s="15">
        <v>158</v>
      </c>
      <c r="H55" s="15">
        <v>236</v>
      </c>
      <c r="I55" s="18">
        <v>0.4</v>
      </c>
      <c r="J55" s="17" t="str">
        <f>IF(AND(C55&gt;0,F55&gt;0),ABS(F55-C55)/C55,"")</f>
        <v/>
      </c>
      <c r="K55" s="14" t="str">
        <f>IF(AND(C55&gt;0,G55&gt;0),IF(AND(C55&gt;=G55,C55&lt;=H55),"✓","✗"),"")</f>
        <v/>
      </c>
      <c r="L55" s="16" t="str">
        <f>IF(AND(C55&gt;0,C54&gt;0),(C55-C54)/C54,"")</f>
        <v/>
      </c>
      <c r="M55" s="14"/>
      <c r="N55" s="14"/>
    </row>
    <row r="56" spans="1:14">
      <c r="A56" s="14" t="s">
        <v>101</v>
      </c>
      <c r="B56" s="14">
        <v>21</v>
      </c>
      <c r="C56" s="14"/>
      <c r="D56" s="14"/>
      <c r="E56" s="14"/>
      <c r="F56" s="15">
        <v>197</v>
      </c>
      <c r="G56" s="15">
        <v>158</v>
      </c>
      <c r="H56" s="15">
        <v>236</v>
      </c>
      <c r="I56" s="18">
        <v>0.4</v>
      </c>
      <c r="J56" s="17" t="str">
        <f>IF(AND(C56&gt;0,F56&gt;0),ABS(F56-C56)/C56,"")</f>
        <v/>
      </c>
      <c r="K56" s="14" t="str">
        <f>IF(AND(C56&gt;0,G56&gt;0),IF(AND(C56&gt;=G56,C56&lt;=H56),"✓","✗"),"")</f>
        <v/>
      </c>
      <c r="L56" s="16" t="str">
        <f>IF(AND(C56&gt;0,C55&gt;0),(C56-C55)/C55,"")</f>
        <v/>
      </c>
      <c r="M56" s="14"/>
      <c r="N56" s="14"/>
    </row>
    <row r="57" spans="1:14">
      <c r="A57" s="14" t="s">
        <v>102</v>
      </c>
      <c r="B57" s="14">
        <v>22</v>
      </c>
      <c r="C57" s="14"/>
      <c r="D57" s="14"/>
      <c r="E57" s="14"/>
      <c r="F57" s="15">
        <v>197</v>
      </c>
      <c r="G57" s="15">
        <v>158</v>
      </c>
      <c r="H57" s="15">
        <v>236</v>
      </c>
      <c r="I57" s="18">
        <v>0.4</v>
      </c>
      <c r="J57" s="17" t="str">
        <f>IF(AND(C57&gt;0,F57&gt;0),ABS(F57-C57)/C57,"")</f>
        <v/>
      </c>
      <c r="K57" s="14" t="str">
        <f>IF(AND(C57&gt;0,G57&gt;0),IF(AND(C57&gt;=G57,C57&lt;=H57),"✓","✗"),"")</f>
        <v/>
      </c>
      <c r="L57" s="16" t="str">
        <f>IF(AND(C57&gt;0,C56&gt;0),(C57-C56)/C56,"")</f>
        <v/>
      </c>
      <c r="M57" s="14"/>
      <c r="N57" s="14"/>
    </row>
    <row r="58" spans="1:14">
      <c r="A58" s="14" t="s">
        <v>103</v>
      </c>
      <c r="B58" s="14">
        <v>23</v>
      </c>
      <c r="C58" s="14"/>
      <c r="D58" s="14"/>
      <c r="E58" s="14"/>
      <c r="F58" s="15">
        <v>255</v>
      </c>
      <c r="G58" s="15">
        <v>204</v>
      </c>
      <c r="H58" s="15">
        <v>306</v>
      </c>
      <c r="I58" s="18">
        <v>0.4</v>
      </c>
      <c r="J58" s="17" t="str">
        <f>IF(AND(C58&gt;0,F58&gt;0),ABS(F58-C58)/C58,"")</f>
        <v/>
      </c>
      <c r="K58" s="14" t="str">
        <f>IF(AND(C58&gt;0,G58&gt;0),IF(AND(C58&gt;=G58,C58&lt;=H58),"✓","✗"),"")</f>
        <v/>
      </c>
      <c r="L58" s="16" t="str">
        <f>IF(AND(C58&gt;0,C57&gt;0),(C58-C57)/C57,"")</f>
        <v/>
      </c>
      <c r="M58" s="14"/>
      <c r="N58" s="14"/>
    </row>
    <row r="59" spans="1:14">
      <c r="A59" s="14" t="s">
        <v>104</v>
      </c>
      <c r="B59" s="14">
        <v>24</v>
      </c>
      <c r="C59" s="14"/>
      <c r="D59" s="14"/>
      <c r="E59" s="14"/>
      <c r="F59" s="15">
        <v>255</v>
      </c>
      <c r="G59" s="15">
        <v>204</v>
      </c>
      <c r="H59" s="15">
        <v>306</v>
      </c>
      <c r="I59" s="18">
        <v>0.4</v>
      </c>
      <c r="J59" s="17" t="str">
        <f>IF(AND(C59&gt;0,F59&gt;0),ABS(F59-C59)/C59,"")</f>
        <v/>
      </c>
      <c r="K59" s="14" t="str">
        <f>IF(AND(C59&gt;0,G59&gt;0),IF(AND(C59&gt;=G59,C59&lt;=H59),"✓","✗"),"")</f>
        <v/>
      </c>
      <c r="L59" s="16" t="str">
        <f>IF(AND(C59&gt;0,C58&gt;0),(C59-C58)/C58,"")</f>
        <v/>
      </c>
      <c r="M59" s="14"/>
      <c r="N59" s="14"/>
    </row>
    <row r="60" spans="1:14">
      <c r="A60" s="14" t="s">
        <v>105</v>
      </c>
      <c r="B60" s="14">
        <v>25</v>
      </c>
      <c r="C60" s="14"/>
      <c r="D60" s="14"/>
      <c r="E60" s="14"/>
      <c r="F60" s="15">
        <v>255</v>
      </c>
      <c r="G60" s="15">
        <v>204</v>
      </c>
      <c r="H60" s="15">
        <v>306</v>
      </c>
      <c r="I60" s="18">
        <v>0.4</v>
      </c>
      <c r="J60" s="17" t="str">
        <f>IF(AND(C60&gt;0,F60&gt;0),ABS(F60-C60)/C60,"")</f>
        <v/>
      </c>
      <c r="K60" s="14" t="str">
        <f>IF(AND(C60&gt;0,G60&gt;0),IF(AND(C60&gt;=G60,C60&lt;=H60),"✓","✗"),"")</f>
        <v/>
      </c>
      <c r="L60" s="16" t="str">
        <f>IF(AND(C60&gt;0,C59&gt;0),(C60-C59)/C59,"")</f>
        <v/>
      </c>
      <c r="M60" s="14"/>
      <c r="N60" s="14"/>
    </row>
    <row r="61" spans="1:14">
      <c r="A61" s="14" t="s">
        <v>106</v>
      </c>
      <c r="B61" s="14">
        <v>26</v>
      </c>
      <c r="C61" s="14"/>
      <c r="D61" s="14"/>
      <c r="E61" s="14"/>
      <c r="F61" s="15">
        <v>255</v>
      </c>
      <c r="G61" s="15">
        <v>204</v>
      </c>
      <c r="H61" s="15">
        <v>306</v>
      </c>
      <c r="I61" s="18">
        <v>0.4</v>
      </c>
      <c r="J61" s="17" t="str">
        <f>IF(AND(C61&gt;0,F61&gt;0),ABS(F61-C61)/C61,"")</f>
        <v/>
      </c>
      <c r="K61" s="14" t="str">
        <f>IF(AND(C61&gt;0,G61&gt;0),IF(AND(C61&gt;=G61,C61&lt;=H61),"✓","✗"),"")</f>
        <v/>
      </c>
      <c r="L61" s="16" t="str">
        <f>IF(AND(C61&gt;0,C60&gt;0),(C61-C60)/C60,"")</f>
        <v/>
      </c>
      <c r="M61" s="14"/>
      <c r="N61" s="14"/>
    </row>
    <row r="62" spans="1:14">
      <c r="A62" s="14" t="s">
        <v>107</v>
      </c>
      <c r="B62" s="14">
        <v>27</v>
      </c>
      <c r="C62" s="14"/>
      <c r="D62" s="14"/>
      <c r="E62" s="14"/>
      <c r="F62" s="15">
        <v>223</v>
      </c>
      <c r="G62" s="15">
        <v>178</v>
      </c>
      <c r="H62" s="15">
        <v>268</v>
      </c>
      <c r="I62" s="18">
        <v>0.4</v>
      </c>
      <c r="J62" s="17" t="str">
        <f>IF(AND(C62&gt;0,F62&gt;0),ABS(F62-C62)/C62,"")</f>
        <v/>
      </c>
      <c r="K62" s="14" t="str">
        <f>IF(AND(C62&gt;0,G62&gt;0),IF(AND(C62&gt;=G62,C62&lt;=H62),"✓","✗"),"")</f>
        <v/>
      </c>
      <c r="L62" s="16" t="str">
        <f>IF(AND(C62&gt;0,C61&gt;0),(C62-C61)/C61,"")</f>
        <v/>
      </c>
      <c r="M62" s="14"/>
      <c r="N62" s="14"/>
    </row>
    <row r="63" spans="1:14">
      <c r="A63" s="14" t="s">
        <v>108</v>
      </c>
      <c r="B63" s="14">
        <v>28</v>
      </c>
      <c r="C63" s="14"/>
      <c r="D63" s="14"/>
      <c r="E63" s="14"/>
      <c r="F63" s="15">
        <v>223</v>
      </c>
      <c r="G63" s="15">
        <v>178</v>
      </c>
      <c r="H63" s="15">
        <v>268</v>
      </c>
      <c r="I63" s="18">
        <v>0.4</v>
      </c>
      <c r="J63" s="17" t="str">
        <f>IF(AND(C63&gt;0,F63&gt;0),ABS(F63-C63)/C63,"")</f>
        <v/>
      </c>
      <c r="K63" s="14" t="str">
        <f>IF(AND(C63&gt;0,G63&gt;0),IF(AND(C63&gt;=G63,C63&lt;=H63),"✓","✗"),"")</f>
        <v/>
      </c>
      <c r="L63" s="16" t="str">
        <f>IF(AND(C63&gt;0,C62&gt;0),(C63-C62)/C62,"")</f>
        <v/>
      </c>
      <c r="M63" s="14"/>
      <c r="N63" s="14"/>
    </row>
    <row r="64" spans="1:14">
      <c r="A64" s="14" t="s">
        <v>109</v>
      </c>
      <c r="B64" s="14">
        <v>29</v>
      </c>
      <c r="C64" s="14"/>
      <c r="D64" s="14"/>
      <c r="E64" s="14"/>
      <c r="F64" s="15">
        <v>223</v>
      </c>
      <c r="G64" s="15">
        <v>178</v>
      </c>
      <c r="H64" s="15">
        <v>268</v>
      </c>
      <c r="I64" s="18">
        <v>0.4</v>
      </c>
      <c r="J64" s="17" t="str">
        <f>IF(AND(C64&gt;0,F64&gt;0),ABS(F64-C64)/C64,"")</f>
        <v/>
      </c>
      <c r="K64" s="14" t="str">
        <f>IF(AND(C64&gt;0,G64&gt;0),IF(AND(C64&gt;=G64,C64&lt;=H64),"✓","✗"),"")</f>
        <v/>
      </c>
      <c r="L64" s="16" t="str">
        <f>IF(AND(C64&gt;0,C63&gt;0),(C64-C63)/C63,"")</f>
        <v/>
      </c>
      <c r="M64" s="14"/>
      <c r="N64" s="14"/>
    </row>
    <row r="65" spans="1:14">
      <c r="A65" s="14" t="s">
        <v>110</v>
      </c>
      <c r="B65" s="14">
        <v>30</v>
      </c>
      <c r="C65" s="14"/>
      <c r="D65" s="14"/>
      <c r="E65" s="14"/>
      <c r="F65" s="15">
        <v>223</v>
      </c>
      <c r="G65" s="15">
        <v>178</v>
      </c>
      <c r="H65" s="15">
        <v>268</v>
      </c>
      <c r="I65" s="18">
        <v>0.4</v>
      </c>
      <c r="J65" s="17" t="str">
        <f>IF(AND(C65&gt;0,F65&gt;0),ABS(F65-C65)/C65,"")</f>
        <v/>
      </c>
      <c r="K65" s="14" t="str">
        <f>IF(AND(C65&gt;0,G65&gt;0),IF(AND(C65&gt;=G65,C65&lt;=H65),"✓","✗"),"")</f>
        <v/>
      </c>
      <c r="L65" s="16" t="str">
        <f>IF(AND(C65&gt;0,C64&gt;0),(C65-C64)/C64,"")</f>
        <v/>
      </c>
      <c r="M65" s="14"/>
      <c r="N65" s="14"/>
    </row>
    <row r="66" spans="1:14">
      <c r="A66" s="14" t="s">
        <v>111</v>
      </c>
      <c r="B66" s="14">
        <v>31</v>
      </c>
      <c r="C66" s="14"/>
      <c r="D66" s="14"/>
      <c r="E66" s="14"/>
      <c r="F66" s="15">
        <v>223</v>
      </c>
      <c r="G66" s="15">
        <v>178</v>
      </c>
      <c r="H66" s="15">
        <v>268</v>
      </c>
      <c r="I66" s="18">
        <v>0.4</v>
      </c>
      <c r="J66" s="17" t="str">
        <f>IF(AND(C66&gt;0,F66&gt;0),ABS(F66-C66)/C66,"")</f>
        <v/>
      </c>
      <c r="K66" s="14" t="str">
        <f>IF(AND(C66&gt;0,G66&gt;0),IF(AND(C66&gt;=G66,C66&lt;=H66),"✓","✗"),"")</f>
        <v/>
      </c>
      <c r="L66" s="16" t="str">
        <f>IF(AND(C66&gt;0,C65&gt;0),(C66-C65)/C65,"")</f>
        <v/>
      </c>
      <c r="M66" s="14"/>
      <c r="N66" s="14"/>
    </row>
    <row r="67" spans="1:14">
      <c r="A67" s="14" t="s">
        <v>112</v>
      </c>
      <c r="B67" s="14">
        <v>32</v>
      </c>
      <c r="C67" s="14"/>
      <c r="D67" s="14"/>
      <c r="E67" s="14"/>
      <c r="F67" s="15">
        <v>194</v>
      </c>
      <c r="G67" s="15">
        <v>155</v>
      </c>
      <c r="H67" s="15">
        <v>233</v>
      </c>
      <c r="I67" s="18">
        <v>0.4</v>
      </c>
      <c r="J67" s="17" t="str">
        <f>IF(AND(C67&gt;0,F67&gt;0),ABS(F67-C67)/C67,"")</f>
        <v/>
      </c>
      <c r="K67" s="14" t="str">
        <f>IF(AND(C67&gt;0,G67&gt;0),IF(AND(C67&gt;=G67,C67&lt;=H67),"✓","✗"),"")</f>
        <v/>
      </c>
      <c r="L67" s="16" t="str">
        <f>IF(AND(C67&gt;0,C66&gt;0),(C67-C66)/C66,"")</f>
        <v/>
      </c>
      <c r="M67" s="14"/>
      <c r="N67" s="14"/>
    </row>
    <row r="68" spans="1:14">
      <c r="A68" s="14" t="s">
        <v>113</v>
      </c>
      <c r="B68" s="14">
        <v>33</v>
      </c>
      <c r="C68" s="14"/>
      <c r="D68" s="14"/>
      <c r="E68" s="14"/>
      <c r="F68" s="15">
        <v>194</v>
      </c>
      <c r="G68" s="15">
        <v>155</v>
      </c>
      <c r="H68" s="15">
        <v>233</v>
      </c>
      <c r="I68" s="18">
        <v>0.4</v>
      </c>
      <c r="J68" s="17" t="str">
        <f>IF(AND(C68&gt;0,F68&gt;0),ABS(F68-C68)/C68,"")</f>
        <v/>
      </c>
      <c r="K68" s="14" t="str">
        <f>IF(AND(C68&gt;0,G68&gt;0),IF(AND(C68&gt;=G68,C68&lt;=H68),"✓","✗"),"")</f>
        <v/>
      </c>
      <c r="L68" s="16" t="str">
        <f>IF(AND(C68&gt;0,C67&gt;0),(C68-C67)/C67,"")</f>
        <v/>
      </c>
      <c r="M68" s="14"/>
      <c r="N68" s="14"/>
    </row>
    <row r="69" spans="1:14">
      <c r="A69" s="14" t="s">
        <v>114</v>
      </c>
      <c r="B69" s="14">
        <v>34</v>
      </c>
      <c r="C69" s="14"/>
      <c r="D69" s="14"/>
      <c r="E69" s="14"/>
      <c r="F69" s="15">
        <v>194</v>
      </c>
      <c r="G69" s="15">
        <v>155</v>
      </c>
      <c r="H69" s="15">
        <v>233</v>
      </c>
      <c r="I69" s="18">
        <v>0.4</v>
      </c>
      <c r="J69" s="17" t="str">
        <f>IF(AND(C69&gt;0,F69&gt;0),ABS(F69-C69)/C69,"")</f>
        <v/>
      </c>
      <c r="K69" s="14" t="str">
        <f>IF(AND(C69&gt;0,G69&gt;0),IF(AND(C69&gt;=G69,C69&lt;=H69),"✓","✗"),"")</f>
        <v/>
      </c>
      <c r="L69" s="16" t="str">
        <f>IF(AND(C69&gt;0,C68&gt;0),(C69-C68)/C68,"")</f>
        <v/>
      </c>
      <c r="M69" s="14"/>
      <c r="N69" s="14"/>
    </row>
    <row r="70" spans="1:14">
      <c r="A70" s="14" t="s">
        <v>115</v>
      </c>
      <c r="B70" s="14">
        <v>35</v>
      </c>
      <c r="C70" s="14"/>
      <c r="D70" s="14"/>
      <c r="E70" s="14"/>
      <c r="F70" s="15">
        <v>194</v>
      </c>
      <c r="G70" s="15">
        <v>155</v>
      </c>
      <c r="H70" s="15">
        <v>233</v>
      </c>
      <c r="I70" s="18">
        <v>0.4</v>
      </c>
      <c r="J70" s="17" t="str">
        <f>IF(AND(C70&gt;0,F70&gt;0),ABS(F70-C70)/C70,"")</f>
        <v/>
      </c>
      <c r="K70" s="14" t="str">
        <f>IF(AND(C70&gt;0,G70&gt;0),IF(AND(C70&gt;=G70,C70&lt;=H70),"✓","✗"),"")</f>
        <v/>
      </c>
      <c r="L70" s="16" t="str">
        <f>IF(AND(C70&gt;0,C69&gt;0),(C70-C69)/C69,"")</f>
        <v/>
      </c>
      <c r="M70" s="14"/>
      <c r="N70" s="14"/>
    </row>
    <row r="71" spans="1:14">
      <c r="A71" s="14" t="s">
        <v>116</v>
      </c>
      <c r="B71" s="14">
        <v>36</v>
      </c>
      <c r="C71" s="14"/>
      <c r="D71" s="14"/>
      <c r="E71" s="14"/>
      <c r="F71" s="15">
        <v>155</v>
      </c>
      <c r="G71" s="15">
        <v>124</v>
      </c>
      <c r="H71" s="15">
        <v>186</v>
      </c>
      <c r="I71" s="18">
        <v>0.4</v>
      </c>
      <c r="J71" s="17" t="str">
        <f>IF(AND(C71&gt;0,F71&gt;0),ABS(F71-C71)/C71,"")</f>
        <v/>
      </c>
      <c r="K71" s="14" t="str">
        <f>IF(AND(C71&gt;0,G71&gt;0),IF(AND(C71&gt;=G71,C71&lt;=H71),"✓","✗"),"")</f>
        <v/>
      </c>
      <c r="L71" s="16" t="str">
        <f>IF(AND(C71&gt;0,C70&gt;0),(C71-C70)/C70,"")</f>
        <v/>
      </c>
      <c r="M71" s="14"/>
      <c r="N71" s="14"/>
    </row>
    <row r="72" spans="1:14">
      <c r="A72" s="14" t="s">
        <v>117</v>
      </c>
      <c r="B72" s="14">
        <v>37</v>
      </c>
      <c r="C72" s="14"/>
      <c r="D72" s="14"/>
      <c r="E72" s="14"/>
      <c r="F72" s="15">
        <v>155</v>
      </c>
      <c r="G72" s="15">
        <v>124</v>
      </c>
      <c r="H72" s="15">
        <v>186</v>
      </c>
      <c r="I72" s="18">
        <v>0.4</v>
      </c>
      <c r="J72" s="17" t="str">
        <f>IF(AND(C72&gt;0,F72&gt;0),ABS(F72-C72)/C72,"")</f>
        <v/>
      </c>
      <c r="K72" s="14" t="str">
        <f>IF(AND(C72&gt;0,G72&gt;0),IF(AND(C72&gt;=G72,C72&lt;=H72),"✓","✗"),"")</f>
        <v/>
      </c>
      <c r="L72" s="16" t="str">
        <f>IF(AND(C72&gt;0,C71&gt;0),(C72-C71)/C71,"")</f>
        <v/>
      </c>
      <c r="M72" s="14"/>
      <c r="N72" s="14"/>
    </row>
    <row r="73" spans="1:14">
      <c r="A73" s="14" t="s">
        <v>118</v>
      </c>
      <c r="B73" s="14">
        <v>38</v>
      </c>
      <c r="C73" s="14"/>
      <c r="D73" s="14"/>
      <c r="E73" s="14"/>
      <c r="F73" s="15">
        <v>155</v>
      </c>
      <c r="G73" s="15">
        <v>124</v>
      </c>
      <c r="H73" s="15">
        <v>186</v>
      </c>
      <c r="I73" s="18">
        <v>0.4</v>
      </c>
      <c r="J73" s="17" t="str">
        <f>IF(AND(C73&gt;0,F73&gt;0),ABS(F73-C73)/C73,"")</f>
        <v/>
      </c>
      <c r="K73" s="14" t="str">
        <f>IF(AND(C73&gt;0,G73&gt;0),IF(AND(C73&gt;=G73,C73&lt;=H73),"✓","✗"),"")</f>
        <v/>
      </c>
      <c r="L73" s="16" t="str">
        <f>IF(AND(C73&gt;0,C72&gt;0),(C73-C72)/C72,"")</f>
        <v/>
      </c>
      <c r="M73" s="14"/>
      <c r="N73" s="14"/>
    </row>
    <row r="74" spans="1:14">
      <c r="A74" s="14" t="s">
        <v>119</v>
      </c>
      <c r="B74" s="14">
        <v>39</v>
      </c>
      <c r="C74" s="14"/>
      <c r="D74" s="14"/>
      <c r="E74" s="14"/>
      <c r="F74" s="15">
        <v>155</v>
      </c>
      <c r="G74" s="15">
        <v>124</v>
      </c>
      <c r="H74" s="15">
        <v>186</v>
      </c>
      <c r="I74" s="18">
        <v>0.4</v>
      </c>
      <c r="J74" s="17" t="str">
        <f>IF(AND(C74&gt;0,F74&gt;0),ABS(F74-C74)/C74,"")</f>
        <v/>
      </c>
      <c r="K74" s="14" t="str">
        <f>IF(AND(C74&gt;0,G74&gt;0),IF(AND(C74&gt;=G74,C74&lt;=H74),"✓","✗"),"")</f>
        <v/>
      </c>
      <c r="L74" s="16" t="str">
        <f>IF(AND(C74&gt;0,C73&gt;0),(C74-C73)/C73,"")</f>
        <v/>
      </c>
      <c r="M74" s="14"/>
      <c r="N74" s="14"/>
    </row>
    <row r="75" spans="1:14">
      <c r="A75" s="14" t="s">
        <v>120</v>
      </c>
      <c r="B75" s="14">
        <v>40</v>
      </c>
      <c r="C75" s="14"/>
      <c r="D75" s="14"/>
      <c r="E75" s="14"/>
      <c r="F75" s="15">
        <v>232</v>
      </c>
      <c r="G75" s="15">
        <v>186</v>
      </c>
      <c r="H75" s="15">
        <v>278</v>
      </c>
      <c r="I75" s="18">
        <v>0.4</v>
      </c>
      <c r="J75" s="17" t="str">
        <f>IF(AND(C75&gt;0,F75&gt;0),ABS(F75-C75)/C75,"")</f>
        <v/>
      </c>
      <c r="K75" s="14" t="str">
        <f>IF(AND(C75&gt;0,G75&gt;0),IF(AND(C75&gt;=G75,C75&lt;=H75),"✓","✗"),"")</f>
        <v/>
      </c>
      <c r="L75" s="16" t="str">
        <f>IF(AND(C75&gt;0,C74&gt;0),(C75-C74)/C74,"")</f>
        <v/>
      </c>
      <c r="M75" s="14"/>
      <c r="N75" s="14"/>
    </row>
    <row r="76" spans="1:14">
      <c r="A76" s="14" t="s">
        <v>121</v>
      </c>
      <c r="B76" s="14">
        <v>41</v>
      </c>
      <c r="C76" s="14"/>
      <c r="D76" s="14"/>
      <c r="E76" s="14"/>
      <c r="F76" s="15">
        <v>232</v>
      </c>
      <c r="G76" s="15">
        <v>186</v>
      </c>
      <c r="H76" s="15">
        <v>278</v>
      </c>
      <c r="I76" s="18">
        <v>0.4</v>
      </c>
      <c r="J76" s="17" t="str">
        <f>IF(AND(C76&gt;0,F76&gt;0),ABS(F76-C76)/C76,"")</f>
        <v/>
      </c>
      <c r="K76" s="14" t="str">
        <f>IF(AND(C76&gt;0,G76&gt;0),IF(AND(C76&gt;=G76,C76&lt;=H76),"✓","✗"),"")</f>
        <v/>
      </c>
      <c r="L76" s="16" t="str">
        <f>IF(AND(C76&gt;0,C75&gt;0),(C76-C75)/C75,"")</f>
        <v/>
      </c>
      <c r="M76" s="14"/>
      <c r="N76" s="14"/>
    </row>
    <row r="77" spans="1:14">
      <c r="A77" s="14" t="s">
        <v>122</v>
      </c>
      <c r="B77" s="14">
        <v>42</v>
      </c>
      <c r="C77" s="14"/>
      <c r="D77" s="14"/>
      <c r="E77" s="14"/>
      <c r="F77" s="15">
        <v>232</v>
      </c>
      <c r="G77" s="15">
        <v>186</v>
      </c>
      <c r="H77" s="15">
        <v>278</v>
      </c>
      <c r="I77" s="18">
        <v>0.4</v>
      </c>
      <c r="J77" s="17" t="str">
        <f>IF(AND(C77&gt;0,F77&gt;0),ABS(F77-C77)/C77,"")</f>
        <v/>
      </c>
      <c r="K77" s="14" t="str">
        <f>IF(AND(C77&gt;0,G77&gt;0),IF(AND(C77&gt;=G77,C77&lt;=H77),"✓","✗"),"")</f>
        <v/>
      </c>
      <c r="L77" s="16" t="str">
        <f>IF(AND(C77&gt;0,C76&gt;0),(C77-C76)/C76,"")</f>
        <v/>
      </c>
      <c r="M77" s="14"/>
      <c r="N77" s="14"/>
    </row>
    <row r="78" spans="1:14">
      <c r="A78" s="14" t="s">
        <v>123</v>
      </c>
      <c r="B78" s="14">
        <v>43</v>
      </c>
      <c r="C78" s="14"/>
      <c r="D78" s="14"/>
      <c r="E78" s="14"/>
      <c r="F78" s="15">
        <v>232</v>
      </c>
      <c r="G78" s="15">
        <v>186</v>
      </c>
      <c r="H78" s="15">
        <v>278</v>
      </c>
      <c r="I78" s="18">
        <v>0.4</v>
      </c>
      <c r="J78" s="17" t="str">
        <f>IF(AND(C78&gt;0,F78&gt;0),ABS(F78-C78)/C78,"")</f>
        <v/>
      </c>
      <c r="K78" s="14" t="str">
        <f>IF(AND(C78&gt;0,G78&gt;0),IF(AND(C78&gt;=G78,C78&lt;=H78),"✓","✗"),"")</f>
        <v/>
      </c>
      <c r="L78" s="16" t="str">
        <f>IF(AND(C78&gt;0,C77&gt;0),(C78-C77)/C77,"")</f>
        <v/>
      </c>
      <c r="M78" s="14"/>
      <c r="N78" s="14"/>
    </row>
    <row r="79" spans="1:14">
      <c r="A79" s="14" t="s">
        <v>124</v>
      </c>
      <c r="B79" s="14">
        <v>44</v>
      </c>
      <c r="C79" s="14"/>
      <c r="D79" s="14"/>
      <c r="E79" s="14"/>
      <c r="F79" s="15">
        <v>232</v>
      </c>
      <c r="G79" s="15">
        <v>186</v>
      </c>
      <c r="H79" s="15">
        <v>278</v>
      </c>
      <c r="I79" s="18">
        <v>0.4</v>
      </c>
      <c r="J79" s="17" t="str">
        <f>IF(AND(C79&gt;0,F79&gt;0),ABS(F79-C79)/C79,"")</f>
        <v/>
      </c>
      <c r="K79" s="14" t="str">
        <f>IF(AND(C79&gt;0,G79&gt;0),IF(AND(C79&gt;=G79,C79&lt;=H79),"✓","✗"),"")</f>
        <v/>
      </c>
      <c r="L79" s="16" t="str">
        <f>IF(AND(C79&gt;0,C78&gt;0),(C79-C78)/C78,"")</f>
        <v/>
      </c>
      <c r="M79" s="14"/>
      <c r="N79" s="14"/>
    </row>
    <row r="80" spans="1:14">
      <c r="A80" s="14" t="s">
        <v>125</v>
      </c>
      <c r="B80" s="14">
        <v>45</v>
      </c>
      <c r="C80" s="14"/>
      <c r="D80" s="14"/>
      <c r="E80" s="14"/>
      <c r="F80" s="15">
        <v>308</v>
      </c>
      <c r="G80" s="15">
        <v>246</v>
      </c>
      <c r="H80" s="15">
        <v>370</v>
      </c>
      <c r="I80" s="18">
        <v>0.4</v>
      </c>
      <c r="J80" s="17" t="str">
        <f>IF(AND(C80&gt;0,F80&gt;0),ABS(F80-C80)/C80,"")</f>
        <v/>
      </c>
      <c r="K80" s="14" t="str">
        <f>IF(AND(C80&gt;0,G80&gt;0),IF(AND(C80&gt;=G80,C80&lt;=H80),"✓","✗"),"")</f>
        <v/>
      </c>
      <c r="L80" s="16" t="str">
        <f>IF(AND(C80&gt;0,C79&gt;0),(C80-C79)/C79,"")</f>
        <v/>
      </c>
      <c r="M80" s="14"/>
      <c r="N80" s="14"/>
    </row>
    <row r="81" spans="1:14">
      <c r="A81" s="14" t="s">
        <v>126</v>
      </c>
      <c r="B81" s="14">
        <v>46</v>
      </c>
      <c r="C81" s="14"/>
      <c r="D81" s="14"/>
      <c r="E81" s="14"/>
      <c r="F81" s="15">
        <v>308</v>
      </c>
      <c r="G81" s="15">
        <v>246</v>
      </c>
      <c r="H81" s="15">
        <v>370</v>
      </c>
      <c r="I81" s="18">
        <v>0.4</v>
      </c>
      <c r="J81" s="17" t="str">
        <f>IF(AND(C81&gt;0,F81&gt;0),ABS(F81-C81)/C81,"")</f>
        <v/>
      </c>
      <c r="K81" s="14" t="str">
        <f>IF(AND(C81&gt;0,G81&gt;0),IF(AND(C81&gt;=G81,C81&lt;=H81),"✓","✗"),"")</f>
        <v/>
      </c>
      <c r="L81" s="16" t="str">
        <f>IF(AND(C81&gt;0,C80&gt;0),(C81-C80)/C80,"")</f>
        <v/>
      </c>
      <c r="M81" s="14"/>
      <c r="N81" s="14"/>
    </row>
    <row r="82" spans="1:14">
      <c r="A82" s="14" t="s">
        <v>127</v>
      </c>
      <c r="B82" s="14">
        <v>47</v>
      </c>
      <c r="C82" s="14"/>
      <c r="D82" s="14"/>
      <c r="E82" s="14"/>
      <c r="F82" s="15">
        <v>308</v>
      </c>
      <c r="G82" s="15">
        <v>246</v>
      </c>
      <c r="H82" s="15">
        <v>370</v>
      </c>
      <c r="I82" s="18">
        <v>0.4</v>
      </c>
      <c r="J82" s="17" t="str">
        <f>IF(AND(C82&gt;0,F82&gt;0),ABS(F82-C82)/C82,"")</f>
        <v/>
      </c>
      <c r="K82" s="14" t="str">
        <f>IF(AND(C82&gt;0,G82&gt;0),IF(AND(C82&gt;=G82,C82&lt;=H82),"✓","✗"),"")</f>
        <v/>
      </c>
      <c r="L82" s="16" t="str">
        <f>IF(AND(C82&gt;0,C81&gt;0),(C82-C81)/C81,"")</f>
        <v/>
      </c>
      <c r="M82" s="14"/>
      <c r="N82" s="14"/>
    </row>
    <row r="83" spans="1:14">
      <c r="A83" s="14" t="s">
        <v>128</v>
      </c>
      <c r="B83" s="14">
        <v>48</v>
      </c>
      <c r="C83" s="14"/>
      <c r="D83" s="14"/>
      <c r="E83" s="14"/>
      <c r="F83" s="15">
        <v>308</v>
      </c>
      <c r="G83" s="15">
        <v>246</v>
      </c>
      <c r="H83" s="15">
        <v>370</v>
      </c>
      <c r="I83" s="18">
        <v>0.4</v>
      </c>
      <c r="J83" s="17" t="str">
        <f>IF(AND(C83&gt;0,F83&gt;0),ABS(F83-C83)/C83,"")</f>
        <v/>
      </c>
      <c r="K83" s="14" t="str">
        <f>IF(AND(C83&gt;0,G83&gt;0),IF(AND(C83&gt;=G83,C83&lt;=H83),"✓","✗"),"")</f>
        <v/>
      </c>
      <c r="L83" s="16" t="str">
        <f>IF(AND(C83&gt;0,C82&gt;0),(C83-C82)/C82,"")</f>
        <v/>
      </c>
      <c r="M83" s="14"/>
      <c r="N83" s="14"/>
    </row>
    <row r="84" spans="1:14">
      <c r="A84" s="14" t="s">
        <v>129</v>
      </c>
      <c r="B84" s="14">
        <v>49</v>
      </c>
      <c r="C84" s="14"/>
      <c r="D84" s="14"/>
      <c r="E84" s="14"/>
      <c r="F84" s="15">
        <v>189</v>
      </c>
      <c r="G84" s="15">
        <v>151</v>
      </c>
      <c r="H84" s="15">
        <v>227</v>
      </c>
      <c r="I84" s="18">
        <v>0.4</v>
      </c>
      <c r="J84" s="17" t="str">
        <f>IF(AND(C84&gt;0,F84&gt;0),ABS(F84-C84)/C84,"")</f>
        <v/>
      </c>
      <c r="K84" s="14" t="str">
        <f>IF(AND(C84&gt;0,G84&gt;0),IF(AND(C84&gt;=G84,C84&lt;=H84),"✓","✗"),"")</f>
        <v/>
      </c>
      <c r="L84" s="16" t="str">
        <f>IF(AND(C84&gt;0,C83&gt;0),(C84-C83)/C83,"")</f>
        <v/>
      </c>
      <c r="M84" s="14"/>
      <c r="N84" s="14"/>
    </row>
    <row r="85" spans="1:14">
      <c r="A85" s="14" t="s">
        <v>130</v>
      </c>
      <c r="B85" s="14">
        <v>50</v>
      </c>
      <c r="C85" s="14"/>
      <c r="D85" s="14"/>
      <c r="E85" s="14"/>
      <c r="F85" s="15">
        <v>189</v>
      </c>
      <c r="G85" s="15">
        <v>151</v>
      </c>
      <c r="H85" s="15">
        <v>227</v>
      </c>
      <c r="I85" s="18">
        <v>0.4</v>
      </c>
      <c r="J85" s="17" t="str">
        <f>IF(AND(C85&gt;0,F85&gt;0),ABS(F85-C85)/C85,"")</f>
        <v/>
      </c>
      <c r="K85" s="14" t="str">
        <f>IF(AND(C85&gt;0,G85&gt;0),IF(AND(C85&gt;=G85,C85&lt;=H85),"✓","✗"),"")</f>
        <v/>
      </c>
      <c r="L85" s="16" t="str">
        <f>IF(AND(C85&gt;0,C84&gt;0),(C85-C84)/C84,"")</f>
        <v/>
      </c>
      <c r="M85" s="14"/>
      <c r="N85" s="14"/>
    </row>
    <row r="86" spans="1:14">
      <c r="A86" s="14" t="s">
        <v>131</v>
      </c>
      <c r="B86" s="14">
        <v>51</v>
      </c>
      <c r="C86" s="14"/>
      <c r="D86" s="14"/>
      <c r="E86" s="14"/>
      <c r="F86" s="15">
        <v>189</v>
      </c>
      <c r="G86" s="15">
        <v>151</v>
      </c>
      <c r="H86" s="15">
        <v>227</v>
      </c>
      <c r="I86" s="18">
        <v>0.4</v>
      </c>
      <c r="J86" s="17" t="str">
        <f>IF(AND(C86&gt;0,F86&gt;0),ABS(F86-C86)/C86,"")</f>
        <v/>
      </c>
      <c r="K86" s="14" t="str">
        <f>IF(AND(C86&gt;0,G86&gt;0),IF(AND(C86&gt;=G86,C86&lt;=H86),"✓","✗"),"")</f>
        <v/>
      </c>
      <c r="L86" s="16" t="str">
        <f>IF(AND(C86&gt;0,C85&gt;0),(C86-C85)/C85,"")</f>
        <v/>
      </c>
      <c r="M86" s="14"/>
      <c r="N86" s="14"/>
    </row>
    <row r="87" spans="1:14">
      <c r="A87" s="14" t="s">
        <v>132</v>
      </c>
      <c r="B87" s="14">
        <v>52</v>
      </c>
      <c r="C87" s="14"/>
      <c r="D87" s="14"/>
      <c r="E87" s="14"/>
      <c r="F87" s="15">
        <v>189</v>
      </c>
      <c r="G87" s="15">
        <v>151</v>
      </c>
      <c r="H87" s="15">
        <v>227</v>
      </c>
      <c r="I87" s="18">
        <v>0.4</v>
      </c>
      <c r="J87" s="17" t="str">
        <f>IF(AND(C87&gt;0,F87&gt;0),ABS(F87-C87)/C87,"")</f>
        <v/>
      </c>
      <c r="K87" s="14" t="str">
        <f>IF(AND(C87&gt;0,G87&gt;0),IF(AND(C87&gt;=G87,C87&lt;=H87),"✓","✗"),"")</f>
        <v/>
      </c>
      <c r="L87" s="16" t="str">
        <f>IF(AND(C87&gt;0,C86&gt;0),(C87-C86)/C86,"")</f>
        <v/>
      </c>
      <c r="M87" s="14"/>
      <c r="N87" s="14"/>
    </row>
  </sheetData>
  <mergeCells count="15">
    <mergeCell ref="C3:D3"/>
    <mergeCell ref="A3:B3"/>
    <mergeCell ref="G3:H3"/>
    <mergeCell ref="E3:F3"/>
    <mergeCell ref="A1:N1"/>
    <mergeCell ref="A4:B4"/>
    <mergeCell ref="G4:H4"/>
    <mergeCell ref="E4:F4"/>
    <mergeCell ref="A12:K12"/>
    <mergeCell ref="A34:N34"/>
    <mergeCell ref="A5:B5"/>
    <mergeCell ref="C4:D4"/>
    <mergeCell ref="G5:H5"/>
    <mergeCell ref="A8:K8"/>
    <mergeCell ref="A19:K19"/>
  </mergeCells>
  <conditionalFormatting sqref="C36:C87">
    <cfRule type="dataBar" priority="1">
      <dataBar>
        <cfvo type="num" val="0"/>
        <cfvo type="max"/>
        <color rgb="FFD35400"/>
      </dataBar>
    </cfRule>
  </conditionalFormatting>
  <conditionalFormatting sqref="J36:J87">
    <cfRule type="colorScale" priority="2">
      <colorScale>
        <cfvo type="num" val="0"/>
        <cfvo type="num" val="0.1"/>
        <cfvo type="num" val="0.3"/>
        <color rgb="FF27AE60"/>
        <color rgb="FFFFFFFF"/>
        <color rgb="FFE74C3C"/>
      </colorScale>
    </cfRule>
  </conditionalFormatting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6A085"/>
  </sheetPr>
  <dimension ref="A1:N87"/>
  <sheetViews>
    <sheetView showGridLines="0" topLeftCell="A14" workbookViewId="0">
      <selection activeCell="L20" sqref="L20"/>
    </sheetView>
  </sheetViews>
  <sheetFormatPr defaultRowHeight="15"/>
  <cols>
    <col min="1" max="1" width="11.85546875" style="30" bestFit="1" customWidth="1"/>
    <col min="2" max="3" width="10.140625" style="30" bestFit="1" customWidth="1"/>
    <col min="4" max="4" width="9.85546875" style="30" bestFit="1" customWidth="1"/>
    <col min="5" max="5" width="9.5703125" style="30" bestFit="1" customWidth="1"/>
    <col min="6" max="6" width="9.7109375" style="30" bestFit="1" customWidth="1"/>
    <col min="7" max="7" width="8.140625" style="30" bestFit="1" customWidth="1"/>
    <col min="8" max="8" width="6.85546875" style="30" bestFit="1" customWidth="1"/>
    <col min="9" max="9" width="9.85546875" style="30" bestFit="1" customWidth="1"/>
    <col min="10" max="10" width="6.85546875" style="30" bestFit="1" customWidth="1"/>
    <col min="11" max="11" width="10.85546875" style="30" bestFit="1" customWidth="1"/>
    <col min="12" max="14" width="10" style="30" customWidth="1"/>
    <col min="15" max="16384" width="9.140625" style="30"/>
  </cols>
  <sheetData>
    <row r="1" spans="1:14" ht="32.1" customHeight="1">
      <c r="A1" s="28" t="s">
        <v>172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3" spans="1:14">
      <c r="A3" s="31" t="s">
        <v>34</v>
      </c>
      <c r="B3" s="32"/>
      <c r="C3" s="31" t="s">
        <v>35</v>
      </c>
      <c r="D3" s="32"/>
      <c r="E3" s="31" t="s">
        <v>36</v>
      </c>
      <c r="F3" s="32"/>
      <c r="G3" s="31" t="s">
        <v>37</v>
      </c>
      <c r="H3" s="32"/>
    </row>
    <row r="4" spans="1:14" ht="26.25">
      <c r="A4" s="33" t="s">
        <v>173</v>
      </c>
      <c r="B4" s="32"/>
      <c r="C4" s="33" t="s">
        <v>174</v>
      </c>
      <c r="D4" s="32"/>
      <c r="E4" s="33" t="s">
        <v>175</v>
      </c>
      <c r="F4" s="32"/>
      <c r="G4" s="33" t="s">
        <v>176</v>
      </c>
      <c r="H4" s="32"/>
    </row>
    <row r="5" spans="1:14">
      <c r="A5" s="31" t="s">
        <v>10</v>
      </c>
      <c r="B5" s="32"/>
      <c r="C5" s="34"/>
      <c r="D5" s="34"/>
      <c r="E5" s="34"/>
      <c r="F5" s="34"/>
      <c r="G5" s="31" t="s">
        <v>23</v>
      </c>
      <c r="H5" s="32"/>
    </row>
    <row r="8" spans="1:14" ht="15.75">
      <c r="A8" s="35" t="s">
        <v>42</v>
      </c>
      <c r="B8" s="29"/>
      <c r="C8" s="29"/>
      <c r="D8" s="29"/>
      <c r="E8" s="29"/>
      <c r="F8" s="29"/>
      <c r="G8" s="29"/>
      <c r="H8" s="29"/>
      <c r="I8" s="29"/>
      <c r="J8" s="29"/>
      <c r="K8" s="29"/>
    </row>
    <row r="9" spans="1:14">
      <c r="A9" s="55" t="s">
        <v>43</v>
      </c>
      <c r="B9" s="55" t="s">
        <v>44</v>
      </c>
      <c r="C9" s="55" t="s">
        <v>45</v>
      </c>
      <c r="D9" s="55" t="s">
        <v>46</v>
      </c>
      <c r="E9" s="55" t="s">
        <v>47</v>
      </c>
      <c r="F9" s="55" t="s">
        <v>48</v>
      </c>
      <c r="G9" s="55" t="s">
        <v>20</v>
      </c>
      <c r="H9" s="55" t="s">
        <v>49</v>
      </c>
      <c r="I9" s="55" t="s">
        <v>50</v>
      </c>
      <c r="J9" s="55" t="s">
        <v>51</v>
      </c>
      <c r="K9" s="55" t="s">
        <v>52</v>
      </c>
    </row>
    <row r="10" spans="1:14">
      <c r="A10" s="36" t="s">
        <v>53</v>
      </c>
      <c r="B10" s="37"/>
      <c r="C10" s="37"/>
      <c r="D10" s="37"/>
      <c r="E10" s="37"/>
      <c r="F10" s="37">
        <v>12905.5306122449</v>
      </c>
      <c r="G10" s="38" t="str">
        <f>IF(AND(B10&gt;0,F10&gt;0),(B10-F10)/F10,"")</f>
        <v/>
      </c>
      <c r="H10" s="39" t="str">
        <f>IF(AND(B10&gt;0,C10&gt;0),ABS(C10-B10)/B10,"")</f>
        <v/>
      </c>
      <c r="I10" s="40"/>
      <c r="J10" s="36"/>
      <c r="K10" s="36"/>
    </row>
    <row r="12" spans="1:14" ht="15.75">
      <c r="A12" s="35" t="s">
        <v>54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</row>
    <row r="13" spans="1:14">
      <c r="A13" s="55" t="s">
        <v>43</v>
      </c>
      <c r="B13" s="55" t="s">
        <v>44</v>
      </c>
      <c r="C13" s="55" t="s">
        <v>45</v>
      </c>
      <c r="D13" s="55" t="s">
        <v>46</v>
      </c>
      <c r="E13" s="55" t="s">
        <v>47</v>
      </c>
      <c r="F13" s="55" t="s">
        <v>48</v>
      </c>
      <c r="G13" s="55" t="s">
        <v>20</v>
      </c>
      <c r="H13" s="55" t="s">
        <v>49</v>
      </c>
      <c r="I13" s="55" t="s">
        <v>50</v>
      </c>
      <c r="J13" s="55" t="s">
        <v>51</v>
      </c>
      <c r="K13" s="55" t="s">
        <v>52</v>
      </c>
    </row>
    <row r="14" spans="1:14">
      <c r="A14" s="41" t="s">
        <v>55</v>
      </c>
      <c r="B14" s="42">
        <v>3254</v>
      </c>
      <c r="C14" s="42"/>
      <c r="D14" s="42"/>
      <c r="E14" s="42"/>
      <c r="F14" s="42">
        <v>3331.8163265306121</v>
      </c>
      <c r="G14" s="43">
        <f>IF(AND(B14&gt;0,F14&gt;0),(B14-F14)/F14,"")</f>
        <v>-2.3355527107234462E-2</v>
      </c>
      <c r="H14" s="44" t="str">
        <f>IF(AND(B14&gt;0,C14&gt;0),ABS(C14-B14)/B14,"")</f>
        <v/>
      </c>
      <c r="I14" s="45"/>
      <c r="J14" s="41"/>
      <c r="K14" s="41"/>
    </row>
    <row r="15" spans="1:14">
      <c r="A15" s="36" t="s">
        <v>56</v>
      </c>
      <c r="B15" s="36"/>
      <c r="C15" s="37"/>
      <c r="D15" s="37"/>
      <c r="E15" s="37"/>
      <c r="F15" s="37">
        <v>3479.1428571428569</v>
      </c>
      <c r="G15" s="38" t="str">
        <f>IF(AND(B15&gt;0,F15&gt;0),(B15-F15)/F15,"")</f>
        <v/>
      </c>
      <c r="H15" s="39" t="str">
        <f>IF(AND(B15&gt;0,C15&gt;0),ABS(C15-B15)/B15,"")</f>
        <v/>
      </c>
      <c r="I15" s="40"/>
      <c r="J15" s="36"/>
      <c r="K15" s="36"/>
    </row>
    <row r="16" spans="1:14">
      <c r="A16" s="36" t="s">
        <v>57</v>
      </c>
      <c r="B16" s="36"/>
      <c r="C16" s="37"/>
      <c r="D16" s="37"/>
      <c r="E16" s="37"/>
      <c r="F16" s="37">
        <v>3237.5510204081629</v>
      </c>
      <c r="G16" s="38" t="str">
        <f>IF(AND(B16&gt;0,F16&gt;0),(B16-F16)/F16,"")</f>
        <v/>
      </c>
      <c r="H16" s="39" t="str">
        <f>IF(AND(B16&gt;0,C16&gt;0),ABS(C16-B16)/B16,"")</f>
        <v/>
      </c>
      <c r="I16" s="40"/>
      <c r="J16" s="36"/>
      <c r="K16" s="36"/>
    </row>
    <row r="17" spans="1:11">
      <c r="A17" s="36" t="s">
        <v>58</v>
      </c>
      <c r="B17" s="36"/>
      <c r="C17" s="37"/>
      <c r="D17" s="37"/>
      <c r="E17" s="37"/>
      <c r="F17" s="37">
        <v>2857.0204081632651</v>
      </c>
      <c r="G17" s="38" t="str">
        <f>IF(AND(B17&gt;0,F17&gt;0),(B17-F17)/F17,"")</f>
        <v/>
      </c>
      <c r="H17" s="39" t="str">
        <f>IF(AND(B17&gt;0,C17&gt;0),ABS(C17-B17)/B17,"")</f>
        <v/>
      </c>
      <c r="I17" s="40"/>
      <c r="J17" s="36"/>
      <c r="K17" s="36"/>
    </row>
    <row r="19" spans="1:11" ht="15.75">
      <c r="A19" s="35" t="s">
        <v>59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</row>
    <row r="20" spans="1:11">
      <c r="A20" s="55" t="s">
        <v>43</v>
      </c>
      <c r="B20" s="55" t="s">
        <v>44</v>
      </c>
      <c r="C20" s="55" t="s">
        <v>45</v>
      </c>
      <c r="D20" s="55" t="s">
        <v>46</v>
      </c>
      <c r="E20" s="55" t="s">
        <v>47</v>
      </c>
      <c r="F20" s="55" t="s">
        <v>48</v>
      </c>
      <c r="G20" s="55" t="s">
        <v>20</v>
      </c>
      <c r="H20" s="55" t="s">
        <v>49</v>
      </c>
      <c r="I20" s="55" t="s">
        <v>50</v>
      </c>
      <c r="J20" s="55" t="s">
        <v>51</v>
      </c>
      <c r="K20" s="55" t="s">
        <v>52</v>
      </c>
    </row>
    <row r="21" spans="1:11">
      <c r="A21" s="41" t="s">
        <v>60</v>
      </c>
      <c r="B21" s="42">
        <v>975</v>
      </c>
      <c r="C21" s="42"/>
      <c r="D21" s="42"/>
      <c r="E21" s="42"/>
      <c r="F21" s="42">
        <v>1139.7346938775511</v>
      </c>
      <c r="G21" s="43">
        <f>IF(AND(B21&gt;0,F21&gt;0),(B21-F21)/F21,"")</f>
        <v>-0.14453775493759741</v>
      </c>
      <c r="H21" s="44" t="str">
        <f>IF(AND(B21&gt;0,C21&gt;0),ABS(C21-B21)/B21,"")</f>
        <v/>
      </c>
      <c r="I21" s="45"/>
      <c r="J21" s="41"/>
      <c r="K21" s="41"/>
    </row>
    <row r="22" spans="1:11">
      <c r="A22" s="46" t="s">
        <v>61</v>
      </c>
      <c r="B22" s="47">
        <v>1079</v>
      </c>
      <c r="C22" s="47"/>
      <c r="D22" s="47"/>
      <c r="E22" s="47"/>
      <c r="F22" s="47">
        <v>1110.428571428572</v>
      </c>
      <c r="G22" s="48">
        <f>IF(AND(B22&gt;0,F22&gt;0),(B22-F22)/F22,"")</f>
        <v>-2.83031004760072E-2</v>
      </c>
      <c r="H22" s="49" t="str">
        <f>IF(AND(B22&gt;0,C22&gt;0),ABS(C22-B22)/B22,"")</f>
        <v/>
      </c>
      <c r="I22" s="50"/>
      <c r="J22" s="46"/>
      <c r="K22" s="46"/>
    </row>
    <row r="23" spans="1:11">
      <c r="A23" s="41" t="s">
        <v>62</v>
      </c>
      <c r="B23" s="42">
        <v>1200</v>
      </c>
      <c r="C23" s="42"/>
      <c r="D23" s="42"/>
      <c r="E23" s="42"/>
      <c r="F23" s="42">
        <v>1081.6530612244901</v>
      </c>
      <c r="G23" s="43">
        <f>IF(AND(B23&gt;0,F23&gt;0),(B23-F23)/F23,"")</f>
        <v>0.10941302994283095</v>
      </c>
      <c r="H23" s="44" t="str">
        <f>IF(AND(B23&gt;0,C23&gt;0),ABS(C23-B23)/B23,"")</f>
        <v/>
      </c>
      <c r="I23" s="45"/>
      <c r="J23" s="41"/>
      <c r="K23" s="41"/>
    </row>
    <row r="24" spans="1:11">
      <c r="A24" s="36" t="s">
        <v>63</v>
      </c>
      <c r="B24" s="37"/>
      <c r="C24" s="37">
        <v>1071.2448979591841</v>
      </c>
      <c r="D24" s="37">
        <v>911</v>
      </c>
      <c r="E24" s="37">
        <v>1232</v>
      </c>
      <c r="F24" s="37">
        <v>1071.2448979591841</v>
      </c>
      <c r="G24" s="38" t="str">
        <f>IF(AND(B24&gt;0,F24&gt;0),(B24-F24)/F24,"")</f>
        <v/>
      </c>
      <c r="H24" s="39" t="str">
        <f>IF(AND(B24&gt;0,C24&gt;0),ABS(C24-B24)/B24,"")</f>
        <v/>
      </c>
      <c r="I24" s="40">
        <v>0.5</v>
      </c>
      <c r="J24" s="36"/>
      <c r="K24" s="36" t="s">
        <v>64</v>
      </c>
    </row>
    <row r="25" spans="1:11">
      <c r="A25" s="36" t="s">
        <v>65</v>
      </c>
      <c r="B25" s="37"/>
      <c r="C25" s="37">
        <v>1188.6530612244901</v>
      </c>
      <c r="D25" s="37">
        <v>1010</v>
      </c>
      <c r="E25" s="37">
        <v>1367</v>
      </c>
      <c r="F25" s="37">
        <v>1188.6530612244901</v>
      </c>
      <c r="G25" s="38" t="str">
        <f>IF(AND(B25&gt;0,F25&gt;0),(B25-F25)/F25,"")</f>
        <v/>
      </c>
      <c r="H25" s="39" t="str">
        <f>IF(AND(B25&gt;0,C25&gt;0),ABS(C25-B25)/B25,"")</f>
        <v/>
      </c>
      <c r="I25" s="40">
        <v>0.5</v>
      </c>
      <c r="J25" s="36"/>
      <c r="K25" s="36" t="s">
        <v>64</v>
      </c>
    </row>
    <row r="26" spans="1:11">
      <c r="A26" s="36" t="s">
        <v>66</v>
      </c>
      <c r="B26" s="37"/>
      <c r="C26" s="37">
        <v>1219.2448979591841</v>
      </c>
      <c r="D26" s="37">
        <v>1036</v>
      </c>
      <c r="E26" s="37">
        <v>1402</v>
      </c>
      <c r="F26" s="37">
        <v>1219.2448979591841</v>
      </c>
      <c r="G26" s="38" t="str">
        <f>IF(AND(B26&gt;0,F26&gt;0),(B26-F26)/F26,"")</f>
        <v/>
      </c>
      <c r="H26" s="39" t="str">
        <f>IF(AND(B26&gt;0,C26&gt;0),ABS(C26-B26)/B26,"")</f>
        <v/>
      </c>
      <c r="I26" s="40">
        <v>0.5</v>
      </c>
      <c r="J26" s="36"/>
      <c r="K26" s="36" t="s">
        <v>64</v>
      </c>
    </row>
    <row r="27" spans="1:11">
      <c r="A27" s="36" t="s">
        <v>67</v>
      </c>
      <c r="B27" s="37"/>
      <c r="C27" s="37">
        <v>1104.6530612244901</v>
      </c>
      <c r="D27" s="37">
        <v>939</v>
      </c>
      <c r="E27" s="37">
        <v>1270</v>
      </c>
      <c r="F27" s="37">
        <v>1104.6530612244901</v>
      </c>
      <c r="G27" s="38" t="str">
        <f>IF(AND(B27&gt;0,F27&gt;0),(B27-F27)/F27,"")</f>
        <v/>
      </c>
      <c r="H27" s="39" t="str">
        <f>IF(AND(B27&gt;0,C27&gt;0),ABS(C27-B27)/B27,"")</f>
        <v/>
      </c>
      <c r="I27" s="40">
        <v>0.5</v>
      </c>
      <c r="J27" s="36"/>
      <c r="K27" s="36" t="s">
        <v>64</v>
      </c>
    </row>
    <row r="28" spans="1:11">
      <c r="A28" s="36" t="s">
        <v>68</v>
      </c>
      <c r="B28" s="37"/>
      <c r="C28" s="37">
        <v>1061.6530612244901</v>
      </c>
      <c r="D28" s="37">
        <v>902</v>
      </c>
      <c r="E28" s="37">
        <v>1221</v>
      </c>
      <c r="F28" s="37">
        <v>1061.6530612244901</v>
      </c>
      <c r="G28" s="38" t="str">
        <f>IF(AND(B28&gt;0,F28&gt;0),(B28-F28)/F28,"")</f>
        <v/>
      </c>
      <c r="H28" s="39" t="str">
        <f>IF(AND(B28&gt;0,C28&gt;0),ABS(C28-B28)/B28,"")</f>
        <v/>
      </c>
      <c r="I28" s="40">
        <v>0.5</v>
      </c>
      <c r="J28" s="36"/>
      <c r="K28" s="36" t="s">
        <v>64</v>
      </c>
    </row>
    <row r="29" spans="1:11">
      <c r="A29" s="36" t="s">
        <v>69</v>
      </c>
      <c r="B29" s="37"/>
      <c r="C29" s="37">
        <v>1071.2448979591841</v>
      </c>
      <c r="D29" s="37">
        <v>911</v>
      </c>
      <c r="E29" s="37">
        <v>1232</v>
      </c>
      <c r="F29" s="37">
        <v>1071.2448979591841</v>
      </c>
      <c r="G29" s="38" t="str">
        <f>IF(AND(B29&gt;0,F29&gt;0),(B29-F29)/F29,"")</f>
        <v/>
      </c>
      <c r="H29" s="39" t="str">
        <f>IF(AND(B29&gt;0,C29&gt;0),ABS(C29-B29)/B29,"")</f>
        <v/>
      </c>
      <c r="I29" s="40">
        <v>0.5</v>
      </c>
      <c r="J29" s="36"/>
      <c r="K29" s="36" t="s">
        <v>64</v>
      </c>
    </row>
    <row r="30" spans="1:11">
      <c r="A30" s="36" t="s">
        <v>70</v>
      </c>
      <c r="B30" s="37"/>
      <c r="C30" s="37">
        <v>1082.6530612244901</v>
      </c>
      <c r="D30" s="37">
        <v>920</v>
      </c>
      <c r="E30" s="37">
        <v>1245</v>
      </c>
      <c r="F30" s="37">
        <v>1082.6530612244901</v>
      </c>
      <c r="G30" s="38" t="str">
        <f>IF(AND(B30&gt;0,F30&gt;0),(B30-F30)/F30,"")</f>
        <v/>
      </c>
      <c r="H30" s="39" t="str">
        <f>IF(AND(B30&gt;0,C30&gt;0),ABS(C30-B30)/B30,"")</f>
        <v/>
      </c>
      <c r="I30" s="40">
        <v>0.5</v>
      </c>
      <c r="J30" s="36"/>
      <c r="K30" s="36" t="s">
        <v>64</v>
      </c>
    </row>
    <row r="31" spans="1:11">
      <c r="A31" s="36" t="s">
        <v>71</v>
      </c>
      <c r="B31" s="37"/>
      <c r="C31" s="37">
        <v>1006.244897959184</v>
      </c>
      <c r="D31" s="37">
        <v>855</v>
      </c>
      <c r="E31" s="37">
        <v>1157</v>
      </c>
      <c r="F31" s="37">
        <v>1006.244897959184</v>
      </c>
      <c r="G31" s="38" t="str">
        <f>IF(AND(B31&gt;0,F31&gt;0),(B31-F31)/F31,"")</f>
        <v/>
      </c>
      <c r="H31" s="39" t="str">
        <f>IF(AND(B31&gt;0,C31&gt;0),ABS(C31-B31)/B31,"")</f>
        <v/>
      </c>
      <c r="I31" s="40">
        <v>0.5</v>
      </c>
      <c r="J31" s="36"/>
      <c r="K31" s="36" t="s">
        <v>64</v>
      </c>
    </row>
    <row r="32" spans="1:11">
      <c r="A32" s="36" t="s">
        <v>72</v>
      </c>
      <c r="B32" s="37"/>
      <c r="C32" s="37">
        <v>768.12244897959181</v>
      </c>
      <c r="D32" s="37">
        <v>653</v>
      </c>
      <c r="E32" s="37">
        <v>883</v>
      </c>
      <c r="F32" s="37">
        <v>768.12244897959181</v>
      </c>
      <c r="G32" s="38" t="str">
        <f>IF(AND(B32&gt;0,F32&gt;0),(B32-F32)/F32,"")</f>
        <v/>
      </c>
      <c r="H32" s="39" t="str">
        <f>IF(AND(B32&gt;0,C32&gt;0),ABS(C32-B32)/B32,"")</f>
        <v/>
      </c>
      <c r="I32" s="40">
        <v>0.5</v>
      </c>
      <c r="J32" s="36"/>
      <c r="K32" s="36" t="s">
        <v>64</v>
      </c>
    </row>
    <row r="34" spans="1:14" ht="15.75">
      <c r="A34" s="35" t="s">
        <v>73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</row>
    <row r="35" spans="1:14">
      <c r="A35" s="55" t="s">
        <v>74</v>
      </c>
      <c r="B35" s="55" t="s">
        <v>75</v>
      </c>
      <c r="C35" s="55" t="s">
        <v>44</v>
      </c>
      <c r="D35" s="55" t="s">
        <v>76</v>
      </c>
      <c r="E35" s="55" t="s">
        <v>77</v>
      </c>
      <c r="F35" s="55" t="s">
        <v>45</v>
      </c>
      <c r="G35" s="55" t="s">
        <v>46</v>
      </c>
      <c r="H35" s="55" t="s">
        <v>47</v>
      </c>
      <c r="I35" s="55" t="s">
        <v>50</v>
      </c>
      <c r="J35" s="55" t="s">
        <v>49</v>
      </c>
      <c r="K35" s="55" t="s">
        <v>78</v>
      </c>
      <c r="L35" s="55" t="s">
        <v>18</v>
      </c>
      <c r="M35" s="55" t="s">
        <v>79</v>
      </c>
      <c r="N35" s="55" t="s">
        <v>80</v>
      </c>
    </row>
    <row r="36" spans="1:14">
      <c r="A36" s="41" t="s">
        <v>81</v>
      </c>
      <c r="B36" s="41">
        <v>1</v>
      </c>
      <c r="C36" s="42">
        <v>156</v>
      </c>
      <c r="D36" s="51">
        <v>14370</v>
      </c>
      <c r="E36" s="52">
        <v>92.11</v>
      </c>
      <c r="F36" s="42"/>
      <c r="G36" s="42"/>
      <c r="H36" s="42"/>
      <c r="I36" s="45"/>
      <c r="J36" s="44" t="str">
        <f>IF(AND(C36&gt;0,F36&gt;0),ABS(F36-C36)/C36,"")</f>
        <v/>
      </c>
      <c r="K36" s="41" t="str">
        <f>IF(AND(C36&gt;0,G36&gt;0),IF(AND(C36&gt;=G36,C36&lt;=H36),"✓","✗"),"")</f>
        <v/>
      </c>
      <c r="L36" s="41"/>
      <c r="M36" s="42">
        <v>66</v>
      </c>
      <c r="N36" s="42">
        <v>90</v>
      </c>
    </row>
    <row r="37" spans="1:14">
      <c r="A37" s="46" t="s">
        <v>82</v>
      </c>
      <c r="B37" s="46">
        <v>2</v>
      </c>
      <c r="C37" s="47">
        <v>256</v>
      </c>
      <c r="D37" s="53">
        <v>28866</v>
      </c>
      <c r="E37" s="54">
        <v>112.76</v>
      </c>
      <c r="F37" s="47"/>
      <c r="G37" s="47"/>
      <c r="H37" s="47"/>
      <c r="I37" s="50"/>
      <c r="J37" s="49" t="str">
        <f>IF(AND(C37&gt;0,F37&gt;0),ABS(F37-C37)/C37,"")</f>
        <v/>
      </c>
      <c r="K37" s="46" t="str">
        <f>IF(AND(C37&gt;0,G37&gt;0),IF(AND(C37&gt;=G37,C37&lt;=H37),"✓","✗"),"")</f>
        <v/>
      </c>
      <c r="L37" s="48">
        <f>IF(AND(C37&gt;0,C36&gt;0),(C37-C36)/C36,"")</f>
        <v>0.64102564102564108</v>
      </c>
      <c r="M37" s="47">
        <v>95</v>
      </c>
      <c r="N37" s="47">
        <v>161</v>
      </c>
    </row>
    <row r="38" spans="1:14">
      <c r="A38" s="41" t="s">
        <v>83</v>
      </c>
      <c r="B38" s="41">
        <v>3</v>
      </c>
      <c r="C38" s="42">
        <v>290</v>
      </c>
      <c r="D38" s="51">
        <v>36323</v>
      </c>
      <c r="E38" s="52">
        <v>125.25</v>
      </c>
      <c r="F38" s="42"/>
      <c r="G38" s="42"/>
      <c r="H38" s="42"/>
      <c r="I38" s="45"/>
      <c r="J38" s="44" t="str">
        <f>IF(AND(C38&gt;0,F38&gt;0),ABS(F38-C38)/C38,"")</f>
        <v/>
      </c>
      <c r="K38" s="41" t="str">
        <f>IF(AND(C38&gt;0,G38&gt;0),IF(AND(C38&gt;=G38,C38&lt;=H38),"✓","✗"),"")</f>
        <v/>
      </c>
      <c r="L38" s="43">
        <f>IF(AND(C38&gt;0,C37&gt;0),(C38-C37)/C37,"")</f>
        <v>0.1328125</v>
      </c>
      <c r="M38" s="42">
        <v>121</v>
      </c>
      <c r="N38" s="42">
        <v>169</v>
      </c>
    </row>
    <row r="39" spans="1:14">
      <c r="A39" s="46" t="s">
        <v>84</v>
      </c>
      <c r="B39" s="46">
        <v>4</v>
      </c>
      <c r="C39" s="47">
        <v>273</v>
      </c>
      <c r="D39" s="53">
        <v>30823</v>
      </c>
      <c r="E39" s="54">
        <v>112.9</v>
      </c>
      <c r="F39" s="47"/>
      <c r="G39" s="47"/>
      <c r="H39" s="47"/>
      <c r="I39" s="50"/>
      <c r="J39" s="49" t="str">
        <f>IF(AND(C39&gt;0,F39&gt;0),ABS(F39-C39)/C39,"")</f>
        <v/>
      </c>
      <c r="K39" s="46" t="str">
        <f>IF(AND(C39&gt;0,G39&gt;0),IF(AND(C39&gt;=G39,C39&lt;=H39),"✓","✗"),"")</f>
        <v/>
      </c>
      <c r="L39" s="48">
        <f>IF(AND(C39&gt;0,C38&gt;0),(C39-C38)/C38,"")</f>
        <v>-5.8620689655172413E-2</v>
      </c>
      <c r="M39" s="47">
        <v>105</v>
      </c>
      <c r="N39" s="47">
        <v>168</v>
      </c>
    </row>
    <row r="40" spans="1:14">
      <c r="A40" s="41" t="s">
        <v>85</v>
      </c>
      <c r="B40" s="41">
        <v>5</v>
      </c>
      <c r="C40" s="42">
        <v>239</v>
      </c>
      <c r="D40" s="51">
        <v>40090</v>
      </c>
      <c r="E40" s="52">
        <v>167.74</v>
      </c>
      <c r="F40" s="42"/>
      <c r="G40" s="42"/>
      <c r="H40" s="42"/>
      <c r="I40" s="45"/>
      <c r="J40" s="44" t="str">
        <f>IF(AND(C40&gt;0,F40&gt;0),ABS(F40-C40)/C40,"")</f>
        <v/>
      </c>
      <c r="K40" s="41" t="str">
        <f>IF(AND(C40&gt;0,G40&gt;0),IF(AND(C40&gt;=G40,C40&lt;=H40),"✓","✗"),"")</f>
        <v/>
      </c>
      <c r="L40" s="43">
        <f>IF(AND(C40&gt;0,C39&gt;0),(C40-C39)/C39,"")</f>
        <v>-0.12454212454212454</v>
      </c>
      <c r="M40" s="42">
        <v>97</v>
      </c>
      <c r="N40" s="42">
        <v>142</v>
      </c>
    </row>
    <row r="41" spans="1:14">
      <c r="A41" s="46" t="s">
        <v>86</v>
      </c>
      <c r="B41" s="46">
        <v>6</v>
      </c>
      <c r="C41" s="47">
        <v>256</v>
      </c>
      <c r="D41" s="53">
        <v>42680</v>
      </c>
      <c r="E41" s="54">
        <v>166.72</v>
      </c>
      <c r="F41" s="47"/>
      <c r="G41" s="47"/>
      <c r="H41" s="47"/>
      <c r="I41" s="50"/>
      <c r="J41" s="49" t="str">
        <f>IF(AND(C41&gt;0,F41&gt;0),ABS(F41-C41)/C41,"")</f>
        <v/>
      </c>
      <c r="K41" s="46" t="str">
        <f>IF(AND(C41&gt;0,G41&gt;0),IF(AND(C41&gt;=G41,C41&lt;=H41),"✓","✗"),"")</f>
        <v/>
      </c>
      <c r="L41" s="48">
        <f>IF(AND(C41&gt;0,C40&gt;0),(C41-C40)/C40,"")</f>
        <v>7.1129707112970716E-2</v>
      </c>
      <c r="M41" s="47">
        <v>106</v>
      </c>
      <c r="N41" s="47">
        <v>150</v>
      </c>
    </row>
    <row r="42" spans="1:14">
      <c r="A42" s="41" t="s">
        <v>87</v>
      </c>
      <c r="B42" s="41">
        <v>7</v>
      </c>
      <c r="C42" s="42">
        <v>328</v>
      </c>
      <c r="D42" s="51">
        <v>42397</v>
      </c>
      <c r="E42" s="52">
        <v>129.26</v>
      </c>
      <c r="F42" s="42"/>
      <c r="G42" s="42"/>
      <c r="H42" s="42"/>
      <c r="I42" s="45"/>
      <c r="J42" s="44" t="str">
        <f>IF(AND(C42&gt;0,F42&gt;0),ABS(F42-C42)/C42,"")</f>
        <v/>
      </c>
      <c r="K42" s="41" t="str">
        <f>IF(AND(C42&gt;0,G42&gt;0),IF(AND(C42&gt;=G42,C42&lt;=H42),"✓","✗"),"")</f>
        <v/>
      </c>
      <c r="L42" s="43">
        <f>IF(AND(C42&gt;0,C41&gt;0),(C42-C41)/C41,"")</f>
        <v>0.28125</v>
      </c>
      <c r="M42" s="42">
        <v>152</v>
      </c>
      <c r="N42" s="42">
        <v>176</v>
      </c>
    </row>
    <row r="43" spans="1:14">
      <c r="A43" s="46" t="s">
        <v>88</v>
      </c>
      <c r="B43" s="46">
        <v>8</v>
      </c>
      <c r="C43" s="47">
        <v>256</v>
      </c>
      <c r="D43" s="53">
        <v>37196</v>
      </c>
      <c r="E43" s="54">
        <v>145.30000000000001</v>
      </c>
      <c r="F43" s="47"/>
      <c r="G43" s="47"/>
      <c r="H43" s="47"/>
      <c r="I43" s="50"/>
      <c r="J43" s="49" t="str">
        <f>IF(AND(C43&gt;0,F43&gt;0),ABS(F43-C43)/C43,"")</f>
        <v/>
      </c>
      <c r="K43" s="46" t="str">
        <f>IF(AND(C43&gt;0,G43&gt;0),IF(AND(C43&gt;=G43,C43&lt;=H43),"✓","✗"),"")</f>
        <v/>
      </c>
      <c r="L43" s="48">
        <f>IF(AND(C43&gt;0,C42&gt;0),(C43-C42)/C42,"")</f>
        <v>-0.21951219512195122</v>
      </c>
      <c r="M43" s="47">
        <v>94</v>
      </c>
      <c r="N43" s="47">
        <v>162</v>
      </c>
    </row>
    <row r="44" spans="1:14">
      <c r="A44" s="41" t="s">
        <v>89</v>
      </c>
      <c r="B44" s="41">
        <v>9</v>
      </c>
      <c r="C44" s="42">
        <v>256</v>
      </c>
      <c r="D44" s="51">
        <v>36408</v>
      </c>
      <c r="E44" s="52">
        <v>142.22</v>
      </c>
      <c r="F44" s="42"/>
      <c r="G44" s="42"/>
      <c r="H44" s="42"/>
      <c r="I44" s="45"/>
      <c r="J44" s="44" t="str">
        <f>IF(AND(C44&gt;0,F44&gt;0),ABS(F44-C44)/C44,"")</f>
        <v/>
      </c>
      <c r="K44" s="41" t="str">
        <f>IF(AND(C44&gt;0,G44&gt;0),IF(AND(C44&gt;=G44,C44&lt;=H44),"✓","✗"),"")</f>
        <v/>
      </c>
      <c r="L44" s="43">
        <f>IF(AND(C44&gt;0,C43&gt;0),(C44-C43)/C43,"")</f>
        <v>0</v>
      </c>
      <c r="M44" s="42">
        <v>121</v>
      </c>
      <c r="N44" s="42">
        <v>135</v>
      </c>
    </row>
    <row r="45" spans="1:14">
      <c r="A45" s="46" t="s">
        <v>90</v>
      </c>
      <c r="B45" s="46">
        <v>10</v>
      </c>
      <c r="C45" s="47">
        <v>251</v>
      </c>
      <c r="D45" s="53">
        <v>31589</v>
      </c>
      <c r="E45" s="54">
        <v>125.85</v>
      </c>
      <c r="F45" s="47"/>
      <c r="G45" s="47"/>
      <c r="H45" s="47"/>
      <c r="I45" s="50"/>
      <c r="J45" s="49" t="str">
        <f>IF(AND(C45&gt;0,F45&gt;0),ABS(F45-C45)/C45,"")</f>
        <v/>
      </c>
      <c r="K45" s="46" t="str">
        <f>IF(AND(C45&gt;0,G45&gt;0),IF(AND(C45&gt;=G45,C45&lt;=H45),"✓","✗"),"")</f>
        <v/>
      </c>
      <c r="L45" s="48">
        <f>IF(AND(C45&gt;0,C44&gt;0),(C45-C44)/C44,"")</f>
        <v>-1.953125E-2</v>
      </c>
      <c r="M45" s="47">
        <v>111</v>
      </c>
      <c r="N45" s="47">
        <v>140</v>
      </c>
    </row>
    <row r="46" spans="1:14">
      <c r="A46" s="41" t="s">
        <v>91</v>
      </c>
      <c r="B46" s="41">
        <v>11</v>
      </c>
      <c r="C46" s="42">
        <v>241</v>
      </c>
      <c r="D46" s="51">
        <v>30999</v>
      </c>
      <c r="E46" s="52">
        <v>128.63</v>
      </c>
      <c r="F46" s="42"/>
      <c r="G46" s="42"/>
      <c r="H46" s="42"/>
      <c r="I46" s="45"/>
      <c r="J46" s="44" t="str">
        <f>IF(AND(C46&gt;0,F46&gt;0),ABS(F46-C46)/C46,"")</f>
        <v/>
      </c>
      <c r="K46" s="41" t="str">
        <f>IF(AND(C46&gt;0,G46&gt;0),IF(AND(C46&gt;=G46,C46&lt;=H46),"✓","✗"),"")</f>
        <v/>
      </c>
      <c r="L46" s="43">
        <f>IF(AND(C46&gt;0,C45&gt;0),(C46-C45)/C45,"")</f>
        <v>-3.9840637450199202E-2</v>
      </c>
      <c r="M46" s="42">
        <v>108</v>
      </c>
      <c r="N46" s="42">
        <v>133</v>
      </c>
    </row>
    <row r="47" spans="1:14">
      <c r="A47" s="46" t="s">
        <v>92</v>
      </c>
      <c r="B47" s="46">
        <v>12</v>
      </c>
      <c r="C47" s="47">
        <v>244</v>
      </c>
      <c r="D47" s="53">
        <v>28005</v>
      </c>
      <c r="E47" s="54">
        <v>114.77</v>
      </c>
      <c r="F47" s="47"/>
      <c r="G47" s="47"/>
      <c r="H47" s="47"/>
      <c r="I47" s="50"/>
      <c r="J47" s="49" t="str">
        <f>IF(AND(C47&gt;0,F47&gt;0),ABS(F47-C47)/C47,"")</f>
        <v/>
      </c>
      <c r="K47" s="46" t="str">
        <f>IF(AND(C47&gt;0,G47&gt;0),IF(AND(C47&gt;=G47,C47&lt;=H47),"✓","✗"),"")</f>
        <v/>
      </c>
      <c r="L47" s="48">
        <f>IF(AND(C47&gt;0,C46&gt;0),(C47-C46)/C46,"")</f>
        <v>1.2448132780082987E-2</v>
      </c>
      <c r="M47" s="47">
        <v>119</v>
      </c>
      <c r="N47" s="47">
        <v>125</v>
      </c>
    </row>
    <row r="48" spans="1:14">
      <c r="A48" s="41" t="s">
        <v>93</v>
      </c>
      <c r="B48" s="41">
        <v>13</v>
      </c>
      <c r="C48" s="42">
        <v>208</v>
      </c>
      <c r="D48" s="51">
        <v>24381</v>
      </c>
      <c r="E48" s="52">
        <v>117.22</v>
      </c>
      <c r="F48" s="42"/>
      <c r="G48" s="42"/>
      <c r="H48" s="42"/>
      <c r="I48" s="45"/>
      <c r="J48" s="44" t="str">
        <f>IF(AND(C48&gt;0,F48&gt;0),ABS(F48-C48)/C48,"")</f>
        <v/>
      </c>
      <c r="K48" s="41" t="str">
        <f>IF(AND(C48&gt;0,G48&gt;0),IF(AND(C48&gt;=G48,C48&lt;=H48),"✓","✗"),"")</f>
        <v/>
      </c>
      <c r="L48" s="43">
        <f>IF(AND(C48&gt;0,C47&gt;0),(C48-C47)/C47,"")</f>
        <v>-0.14754098360655737</v>
      </c>
      <c r="M48" s="42">
        <v>98</v>
      </c>
      <c r="N48" s="42">
        <v>110</v>
      </c>
    </row>
    <row r="49" spans="1:14">
      <c r="A49" s="46" t="s">
        <v>94</v>
      </c>
      <c r="B49" s="46">
        <v>14</v>
      </c>
      <c r="C49" s="47">
        <v>170</v>
      </c>
      <c r="D49" s="53">
        <v>22074</v>
      </c>
      <c r="E49" s="54">
        <v>129.84</v>
      </c>
      <c r="F49" s="47"/>
      <c r="G49" s="47"/>
      <c r="H49" s="47"/>
      <c r="I49" s="50"/>
      <c r="J49" s="49" t="str">
        <f>IF(AND(C49&gt;0,F49&gt;0),ABS(F49-C49)/C49,"")</f>
        <v/>
      </c>
      <c r="K49" s="46" t="str">
        <f>IF(AND(C49&gt;0,G49&gt;0),IF(AND(C49&gt;=G49,C49&lt;=H49),"✓","✗"),"")</f>
        <v/>
      </c>
      <c r="L49" s="48">
        <f>IF(AND(C49&gt;0,C48&gt;0),(C49-C48)/C48,"")</f>
        <v>-0.18269230769230768</v>
      </c>
      <c r="M49" s="47">
        <v>96</v>
      </c>
      <c r="N49" s="47">
        <v>74</v>
      </c>
    </row>
    <row r="50" spans="1:14">
      <c r="A50" s="41" t="s">
        <v>95</v>
      </c>
      <c r="B50" s="41">
        <v>15</v>
      </c>
      <c r="C50" s="42">
        <v>166</v>
      </c>
      <c r="D50" s="51">
        <v>25829</v>
      </c>
      <c r="E50" s="52">
        <v>155.59</v>
      </c>
      <c r="F50" s="42"/>
      <c r="G50" s="42"/>
      <c r="H50" s="42"/>
      <c r="I50" s="45"/>
      <c r="J50" s="44" t="str">
        <f>IF(AND(C50&gt;0,F50&gt;0),ABS(F50-C50)/C50,"")</f>
        <v/>
      </c>
      <c r="K50" s="41" t="str">
        <f>IF(AND(C50&gt;0,G50&gt;0),IF(AND(C50&gt;=G50,C50&lt;=H50),"✓","✗"),"")</f>
        <v/>
      </c>
      <c r="L50" s="43">
        <f>IF(AND(C50&gt;0,C49&gt;0),(C50-C49)/C49,"")</f>
        <v>-2.3529411764705882E-2</v>
      </c>
      <c r="M50" s="42">
        <v>76</v>
      </c>
      <c r="N50" s="42">
        <v>90</v>
      </c>
    </row>
    <row r="51" spans="1:14">
      <c r="A51" s="36" t="s">
        <v>96</v>
      </c>
      <c r="B51" s="36">
        <v>16</v>
      </c>
      <c r="C51" s="36"/>
      <c r="D51" s="36"/>
      <c r="E51" s="36"/>
      <c r="F51" s="37">
        <v>268</v>
      </c>
      <c r="G51" s="37">
        <v>214</v>
      </c>
      <c r="H51" s="37">
        <v>322</v>
      </c>
      <c r="I51" s="40">
        <v>0.4</v>
      </c>
      <c r="J51" s="39" t="str">
        <f>IF(AND(C51&gt;0,F51&gt;0),ABS(F51-C51)/C51,"")</f>
        <v/>
      </c>
      <c r="K51" s="36" t="str">
        <f>IF(AND(C51&gt;0,G51&gt;0),IF(AND(C51&gt;=G51,C51&lt;=H51),"✓","✗"),"")</f>
        <v/>
      </c>
      <c r="L51" s="38" t="str">
        <f>IF(AND(C51&gt;0,C50&gt;0),(C51-C50)/C50,"")</f>
        <v/>
      </c>
      <c r="M51" s="36"/>
      <c r="N51" s="36"/>
    </row>
    <row r="52" spans="1:14">
      <c r="A52" s="36" t="s">
        <v>97</v>
      </c>
      <c r="B52" s="36">
        <v>17</v>
      </c>
      <c r="C52" s="36"/>
      <c r="D52" s="36"/>
      <c r="E52" s="36"/>
      <c r="F52" s="37">
        <v>268</v>
      </c>
      <c r="G52" s="37">
        <v>214</v>
      </c>
      <c r="H52" s="37">
        <v>322</v>
      </c>
      <c r="I52" s="40">
        <v>0.4</v>
      </c>
      <c r="J52" s="39" t="str">
        <f>IF(AND(C52&gt;0,F52&gt;0),ABS(F52-C52)/C52,"")</f>
        <v/>
      </c>
      <c r="K52" s="36" t="str">
        <f>IF(AND(C52&gt;0,G52&gt;0),IF(AND(C52&gt;=G52,C52&lt;=H52),"✓","✗"),"")</f>
        <v/>
      </c>
      <c r="L52" s="38" t="str">
        <f>IF(AND(C52&gt;0,C51&gt;0),(C52-C51)/C51,"")</f>
        <v/>
      </c>
      <c r="M52" s="36"/>
      <c r="N52" s="36"/>
    </row>
    <row r="53" spans="1:14">
      <c r="A53" s="36" t="s">
        <v>98</v>
      </c>
      <c r="B53" s="36">
        <v>18</v>
      </c>
      <c r="C53" s="36"/>
      <c r="D53" s="36"/>
      <c r="E53" s="36"/>
      <c r="F53" s="37">
        <v>238</v>
      </c>
      <c r="G53" s="37">
        <v>190</v>
      </c>
      <c r="H53" s="37">
        <v>286</v>
      </c>
      <c r="I53" s="40">
        <v>0.4</v>
      </c>
      <c r="J53" s="39" t="str">
        <f>IF(AND(C53&gt;0,F53&gt;0),ABS(F53-C53)/C53,"")</f>
        <v/>
      </c>
      <c r="K53" s="36" t="str">
        <f>IF(AND(C53&gt;0,G53&gt;0),IF(AND(C53&gt;=G53,C53&lt;=H53),"✓","✗"),"")</f>
        <v/>
      </c>
      <c r="L53" s="38" t="str">
        <f>IF(AND(C53&gt;0,C52&gt;0),(C53-C52)/C52,"")</f>
        <v/>
      </c>
      <c r="M53" s="36"/>
      <c r="N53" s="36"/>
    </row>
    <row r="54" spans="1:14">
      <c r="A54" s="36" t="s">
        <v>99</v>
      </c>
      <c r="B54" s="36">
        <v>19</v>
      </c>
      <c r="C54" s="36"/>
      <c r="D54" s="36"/>
      <c r="E54" s="36"/>
      <c r="F54" s="37">
        <v>238</v>
      </c>
      <c r="G54" s="37">
        <v>190</v>
      </c>
      <c r="H54" s="37">
        <v>286</v>
      </c>
      <c r="I54" s="40">
        <v>0.4</v>
      </c>
      <c r="J54" s="39" t="str">
        <f>IF(AND(C54&gt;0,F54&gt;0),ABS(F54-C54)/C54,"")</f>
        <v/>
      </c>
      <c r="K54" s="36" t="str">
        <f>IF(AND(C54&gt;0,G54&gt;0),IF(AND(C54&gt;=G54,C54&lt;=H54),"✓","✗"),"")</f>
        <v/>
      </c>
      <c r="L54" s="38" t="str">
        <f>IF(AND(C54&gt;0,C53&gt;0),(C54-C53)/C53,"")</f>
        <v/>
      </c>
      <c r="M54" s="36"/>
      <c r="N54" s="36"/>
    </row>
    <row r="55" spans="1:14">
      <c r="A55" s="36" t="s">
        <v>100</v>
      </c>
      <c r="B55" s="36">
        <v>20</v>
      </c>
      <c r="C55" s="36"/>
      <c r="D55" s="36"/>
      <c r="E55" s="36"/>
      <c r="F55" s="37">
        <v>238</v>
      </c>
      <c r="G55" s="37">
        <v>190</v>
      </c>
      <c r="H55" s="37">
        <v>286</v>
      </c>
      <c r="I55" s="40">
        <v>0.4</v>
      </c>
      <c r="J55" s="39" t="str">
        <f>IF(AND(C55&gt;0,F55&gt;0),ABS(F55-C55)/C55,"")</f>
        <v/>
      </c>
      <c r="K55" s="36" t="str">
        <f>IF(AND(C55&gt;0,G55&gt;0),IF(AND(C55&gt;=G55,C55&lt;=H55),"✓","✗"),"")</f>
        <v/>
      </c>
      <c r="L55" s="38" t="str">
        <f>IF(AND(C55&gt;0,C54&gt;0),(C55-C54)/C54,"")</f>
        <v/>
      </c>
      <c r="M55" s="36"/>
      <c r="N55" s="36"/>
    </row>
    <row r="56" spans="1:14">
      <c r="A56" s="36" t="s">
        <v>101</v>
      </c>
      <c r="B56" s="36">
        <v>21</v>
      </c>
      <c r="C56" s="36"/>
      <c r="D56" s="36"/>
      <c r="E56" s="36"/>
      <c r="F56" s="37">
        <v>238</v>
      </c>
      <c r="G56" s="37">
        <v>190</v>
      </c>
      <c r="H56" s="37">
        <v>286</v>
      </c>
      <c r="I56" s="40">
        <v>0.4</v>
      </c>
      <c r="J56" s="39" t="str">
        <f>IF(AND(C56&gt;0,F56&gt;0),ABS(F56-C56)/C56,"")</f>
        <v/>
      </c>
      <c r="K56" s="36" t="str">
        <f>IF(AND(C56&gt;0,G56&gt;0),IF(AND(C56&gt;=G56,C56&lt;=H56),"✓","✗"),"")</f>
        <v/>
      </c>
      <c r="L56" s="38" t="str">
        <f>IF(AND(C56&gt;0,C55&gt;0),(C56-C55)/C55,"")</f>
        <v/>
      </c>
      <c r="M56" s="36"/>
      <c r="N56" s="36"/>
    </row>
    <row r="57" spans="1:14">
      <c r="A57" s="36" t="s">
        <v>102</v>
      </c>
      <c r="B57" s="36">
        <v>22</v>
      </c>
      <c r="C57" s="36"/>
      <c r="D57" s="36"/>
      <c r="E57" s="36"/>
      <c r="F57" s="37">
        <v>238</v>
      </c>
      <c r="G57" s="37">
        <v>190</v>
      </c>
      <c r="H57" s="37">
        <v>286</v>
      </c>
      <c r="I57" s="40">
        <v>0.4</v>
      </c>
      <c r="J57" s="39" t="str">
        <f>IF(AND(C57&gt;0,F57&gt;0),ABS(F57-C57)/C57,"")</f>
        <v/>
      </c>
      <c r="K57" s="36" t="str">
        <f>IF(AND(C57&gt;0,G57&gt;0),IF(AND(C57&gt;=G57,C57&lt;=H57),"✓","✗"),"")</f>
        <v/>
      </c>
      <c r="L57" s="38" t="str">
        <f>IF(AND(C57&gt;0,C56&gt;0),(C57-C56)/C56,"")</f>
        <v/>
      </c>
      <c r="M57" s="36"/>
      <c r="N57" s="36"/>
    </row>
    <row r="58" spans="1:14">
      <c r="A58" s="36" t="s">
        <v>103</v>
      </c>
      <c r="B58" s="36">
        <v>23</v>
      </c>
      <c r="C58" s="36"/>
      <c r="D58" s="36"/>
      <c r="E58" s="36"/>
      <c r="F58" s="37">
        <v>305</v>
      </c>
      <c r="G58" s="37">
        <v>244</v>
      </c>
      <c r="H58" s="37">
        <v>366</v>
      </c>
      <c r="I58" s="40">
        <v>0.4</v>
      </c>
      <c r="J58" s="39" t="str">
        <f>IF(AND(C58&gt;0,F58&gt;0),ABS(F58-C58)/C58,"")</f>
        <v/>
      </c>
      <c r="K58" s="36" t="str">
        <f>IF(AND(C58&gt;0,G58&gt;0),IF(AND(C58&gt;=G58,C58&lt;=H58),"✓","✗"),"")</f>
        <v/>
      </c>
      <c r="L58" s="38" t="str">
        <f>IF(AND(C58&gt;0,C57&gt;0),(C58-C57)/C57,"")</f>
        <v/>
      </c>
      <c r="M58" s="36"/>
      <c r="N58" s="36"/>
    </row>
    <row r="59" spans="1:14">
      <c r="A59" s="36" t="s">
        <v>104</v>
      </c>
      <c r="B59" s="36">
        <v>24</v>
      </c>
      <c r="C59" s="36"/>
      <c r="D59" s="36"/>
      <c r="E59" s="36"/>
      <c r="F59" s="37">
        <v>305</v>
      </c>
      <c r="G59" s="37">
        <v>244</v>
      </c>
      <c r="H59" s="37">
        <v>366</v>
      </c>
      <c r="I59" s="40">
        <v>0.4</v>
      </c>
      <c r="J59" s="39" t="str">
        <f>IF(AND(C59&gt;0,F59&gt;0),ABS(F59-C59)/C59,"")</f>
        <v/>
      </c>
      <c r="K59" s="36" t="str">
        <f>IF(AND(C59&gt;0,G59&gt;0),IF(AND(C59&gt;=G59,C59&lt;=H59),"✓","✗"),"")</f>
        <v/>
      </c>
      <c r="L59" s="38" t="str">
        <f>IF(AND(C59&gt;0,C58&gt;0),(C59-C58)/C58,"")</f>
        <v/>
      </c>
      <c r="M59" s="36"/>
      <c r="N59" s="36"/>
    </row>
    <row r="60" spans="1:14">
      <c r="A60" s="36" t="s">
        <v>105</v>
      </c>
      <c r="B60" s="36">
        <v>25</v>
      </c>
      <c r="C60" s="36"/>
      <c r="D60" s="36"/>
      <c r="E60" s="36"/>
      <c r="F60" s="37">
        <v>305</v>
      </c>
      <c r="G60" s="37">
        <v>244</v>
      </c>
      <c r="H60" s="37">
        <v>366</v>
      </c>
      <c r="I60" s="40">
        <v>0.4</v>
      </c>
      <c r="J60" s="39" t="str">
        <f>IF(AND(C60&gt;0,F60&gt;0),ABS(F60-C60)/C60,"")</f>
        <v/>
      </c>
      <c r="K60" s="36" t="str">
        <f>IF(AND(C60&gt;0,G60&gt;0),IF(AND(C60&gt;=G60,C60&lt;=H60),"✓","✗"),"")</f>
        <v/>
      </c>
      <c r="L60" s="38" t="str">
        <f>IF(AND(C60&gt;0,C59&gt;0),(C60-C59)/C59,"")</f>
        <v/>
      </c>
      <c r="M60" s="36"/>
      <c r="N60" s="36"/>
    </row>
    <row r="61" spans="1:14">
      <c r="A61" s="36" t="s">
        <v>106</v>
      </c>
      <c r="B61" s="36">
        <v>26</v>
      </c>
      <c r="C61" s="36"/>
      <c r="D61" s="36"/>
      <c r="E61" s="36"/>
      <c r="F61" s="37">
        <v>305</v>
      </c>
      <c r="G61" s="37">
        <v>244</v>
      </c>
      <c r="H61" s="37">
        <v>366</v>
      </c>
      <c r="I61" s="40">
        <v>0.4</v>
      </c>
      <c r="J61" s="39" t="str">
        <f>IF(AND(C61&gt;0,F61&gt;0),ABS(F61-C61)/C61,"")</f>
        <v/>
      </c>
      <c r="K61" s="36" t="str">
        <f>IF(AND(C61&gt;0,G61&gt;0),IF(AND(C61&gt;=G61,C61&lt;=H61),"✓","✗"),"")</f>
        <v/>
      </c>
      <c r="L61" s="38" t="str">
        <f>IF(AND(C61&gt;0,C60&gt;0),(C61-C60)/C60,"")</f>
        <v/>
      </c>
      <c r="M61" s="36"/>
      <c r="N61" s="36"/>
    </row>
    <row r="62" spans="1:14">
      <c r="A62" s="36" t="s">
        <v>107</v>
      </c>
      <c r="B62" s="36">
        <v>27</v>
      </c>
      <c r="C62" s="36"/>
      <c r="D62" s="36"/>
      <c r="E62" s="36"/>
      <c r="F62" s="37">
        <v>221</v>
      </c>
      <c r="G62" s="37">
        <v>177</v>
      </c>
      <c r="H62" s="37">
        <v>265</v>
      </c>
      <c r="I62" s="40">
        <v>0.4</v>
      </c>
      <c r="J62" s="39" t="str">
        <f>IF(AND(C62&gt;0,F62&gt;0),ABS(F62-C62)/C62,"")</f>
        <v/>
      </c>
      <c r="K62" s="36" t="str">
        <f>IF(AND(C62&gt;0,G62&gt;0),IF(AND(C62&gt;=G62,C62&lt;=H62),"✓","✗"),"")</f>
        <v/>
      </c>
      <c r="L62" s="38" t="str">
        <f>IF(AND(C62&gt;0,C61&gt;0),(C62-C61)/C61,"")</f>
        <v/>
      </c>
      <c r="M62" s="36"/>
      <c r="N62" s="36"/>
    </row>
    <row r="63" spans="1:14">
      <c r="A63" s="36" t="s">
        <v>108</v>
      </c>
      <c r="B63" s="36">
        <v>28</v>
      </c>
      <c r="C63" s="36"/>
      <c r="D63" s="36"/>
      <c r="E63" s="36"/>
      <c r="F63" s="37">
        <v>221</v>
      </c>
      <c r="G63" s="37">
        <v>177</v>
      </c>
      <c r="H63" s="37">
        <v>265</v>
      </c>
      <c r="I63" s="40">
        <v>0.4</v>
      </c>
      <c r="J63" s="39" t="str">
        <f>IF(AND(C63&gt;0,F63&gt;0),ABS(F63-C63)/C63,"")</f>
        <v/>
      </c>
      <c r="K63" s="36" t="str">
        <f>IF(AND(C63&gt;0,G63&gt;0),IF(AND(C63&gt;=G63,C63&lt;=H63),"✓","✗"),"")</f>
        <v/>
      </c>
      <c r="L63" s="38" t="str">
        <f>IF(AND(C63&gt;0,C62&gt;0),(C63-C62)/C62,"")</f>
        <v/>
      </c>
      <c r="M63" s="36"/>
      <c r="N63" s="36"/>
    </row>
    <row r="64" spans="1:14">
      <c r="A64" s="36" t="s">
        <v>109</v>
      </c>
      <c r="B64" s="36">
        <v>29</v>
      </c>
      <c r="C64" s="36"/>
      <c r="D64" s="36"/>
      <c r="E64" s="36"/>
      <c r="F64" s="37">
        <v>221</v>
      </c>
      <c r="G64" s="37">
        <v>177</v>
      </c>
      <c r="H64" s="37">
        <v>265</v>
      </c>
      <c r="I64" s="40">
        <v>0.4</v>
      </c>
      <c r="J64" s="39" t="str">
        <f>IF(AND(C64&gt;0,F64&gt;0),ABS(F64-C64)/C64,"")</f>
        <v/>
      </c>
      <c r="K64" s="36" t="str">
        <f>IF(AND(C64&gt;0,G64&gt;0),IF(AND(C64&gt;=G64,C64&lt;=H64),"✓","✗"),"")</f>
        <v/>
      </c>
      <c r="L64" s="38" t="str">
        <f>IF(AND(C64&gt;0,C63&gt;0),(C64-C63)/C63,"")</f>
        <v/>
      </c>
      <c r="M64" s="36"/>
      <c r="N64" s="36"/>
    </row>
    <row r="65" spans="1:14">
      <c r="A65" s="36" t="s">
        <v>110</v>
      </c>
      <c r="B65" s="36">
        <v>30</v>
      </c>
      <c r="C65" s="36"/>
      <c r="D65" s="36"/>
      <c r="E65" s="36"/>
      <c r="F65" s="37">
        <v>221</v>
      </c>
      <c r="G65" s="37">
        <v>177</v>
      </c>
      <c r="H65" s="37">
        <v>265</v>
      </c>
      <c r="I65" s="40">
        <v>0.4</v>
      </c>
      <c r="J65" s="39" t="str">
        <f>IF(AND(C65&gt;0,F65&gt;0),ABS(F65-C65)/C65,"")</f>
        <v/>
      </c>
      <c r="K65" s="36" t="str">
        <f>IF(AND(C65&gt;0,G65&gt;0),IF(AND(C65&gt;=G65,C65&lt;=H65),"✓","✗"),"")</f>
        <v/>
      </c>
      <c r="L65" s="38" t="str">
        <f>IF(AND(C65&gt;0,C64&gt;0),(C65-C64)/C64,"")</f>
        <v/>
      </c>
      <c r="M65" s="36"/>
      <c r="N65" s="36"/>
    </row>
    <row r="66" spans="1:14">
      <c r="A66" s="36" t="s">
        <v>111</v>
      </c>
      <c r="B66" s="36">
        <v>31</v>
      </c>
      <c r="C66" s="36"/>
      <c r="D66" s="36"/>
      <c r="E66" s="36"/>
      <c r="F66" s="37">
        <v>221</v>
      </c>
      <c r="G66" s="37">
        <v>177</v>
      </c>
      <c r="H66" s="37">
        <v>265</v>
      </c>
      <c r="I66" s="40">
        <v>0.4</v>
      </c>
      <c r="J66" s="39" t="str">
        <f>IF(AND(C66&gt;0,F66&gt;0),ABS(F66-C66)/C66,"")</f>
        <v/>
      </c>
      <c r="K66" s="36" t="str">
        <f>IF(AND(C66&gt;0,G66&gt;0),IF(AND(C66&gt;=G66,C66&lt;=H66),"✓","✗"),"")</f>
        <v/>
      </c>
      <c r="L66" s="38" t="str">
        <f>IF(AND(C66&gt;0,C65&gt;0),(C66-C65)/C65,"")</f>
        <v/>
      </c>
      <c r="M66" s="36"/>
      <c r="N66" s="36"/>
    </row>
    <row r="67" spans="1:14">
      <c r="A67" s="36" t="s">
        <v>112</v>
      </c>
      <c r="B67" s="36">
        <v>32</v>
      </c>
      <c r="C67" s="36"/>
      <c r="D67" s="36"/>
      <c r="E67" s="36"/>
      <c r="F67" s="37">
        <v>265</v>
      </c>
      <c r="G67" s="37">
        <v>212</v>
      </c>
      <c r="H67" s="37">
        <v>318</v>
      </c>
      <c r="I67" s="40">
        <v>0.4</v>
      </c>
      <c r="J67" s="39" t="str">
        <f>IF(AND(C67&gt;0,F67&gt;0),ABS(F67-C67)/C67,"")</f>
        <v/>
      </c>
      <c r="K67" s="36" t="str">
        <f>IF(AND(C67&gt;0,G67&gt;0),IF(AND(C67&gt;=G67,C67&lt;=H67),"✓","✗"),"")</f>
        <v/>
      </c>
      <c r="L67" s="38" t="str">
        <f>IF(AND(C67&gt;0,C66&gt;0),(C67-C66)/C66,"")</f>
        <v/>
      </c>
      <c r="M67" s="36"/>
      <c r="N67" s="36"/>
    </row>
    <row r="68" spans="1:14">
      <c r="A68" s="36" t="s">
        <v>113</v>
      </c>
      <c r="B68" s="36">
        <v>33</v>
      </c>
      <c r="C68" s="36"/>
      <c r="D68" s="36"/>
      <c r="E68" s="36"/>
      <c r="F68" s="37">
        <v>265</v>
      </c>
      <c r="G68" s="37">
        <v>212</v>
      </c>
      <c r="H68" s="37">
        <v>318</v>
      </c>
      <c r="I68" s="40">
        <v>0.4</v>
      </c>
      <c r="J68" s="39" t="str">
        <f>IF(AND(C68&gt;0,F68&gt;0),ABS(F68-C68)/C68,"")</f>
        <v/>
      </c>
      <c r="K68" s="36" t="str">
        <f>IF(AND(C68&gt;0,G68&gt;0),IF(AND(C68&gt;=G68,C68&lt;=H68),"✓","✗"),"")</f>
        <v/>
      </c>
      <c r="L68" s="38" t="str">
        <f>IF(AND(C68&gt;0,C67&gt;0),(C68-C67)/C67,"")</f>
        <v/>
      </c>
      <c r="M68" s="36"/>
      <c r="N68" s="36"/>
    </row>
    <row r="69" spans="1:14">
      <c r="A69" s="36" t="s">
        <v>114</v>
      </c>
      <c r="B69" s="36">
        <v>34</v>
      </c>
      <c r="C69" s="36"/>
      <c r="D69" s="36"/>
      <c r="E69" s="36"/>
      <c r="F69" s="37">
        <v>265</v>
      </c>
      <c r="G69" s="37">
        <v>212</v>
      </c>
      <c r="H69" s="37">
        <v>318</v>
      </c>
      <c r="I69" s="40">
        <v>0.4</v>
      </c>
      <c r="J69" s="39" t="str">
        <f>IF(AND(C69&gt;0,F69&gt;0),ABS(F69-C69)/C69,"")</f>
        <v/>
      </c>
      <c r="K69" s="36" t="str">
        <f>IF(AND(C69&gt;0,G69&gt;0),IF(AND(C69&gt;=G69,C69&lt;=H69),"✓","✗"),"")</f>
        <v/>
      </c>
      <c r="L69" s="38" t="str">
        <f>IF(AND(C69&gt;0,C68&gt;0),(C69-C68)/C68,"")</f>
        <v/>
      </c>
      <c r="M69" s="36"/>
      <c r="N69" s="36"/>
    </row>
    <row r="70" spans="1:14">
      <c r="A70" s="36" t="s">
        <v>115</v>
      </c>
      <c r="B70" s="36">
        <v>35</v>
      </c>
      <c r="C70" s="36"/>
      <c r="D70" s="36"/>
      <c r="E70" s="36"/>
      <c r="F70" s="37">
        <v>265</v>
      </c>
      <c r="G70" s="37">
        <v>212</v>
      </c>
      <c r="H70" s="37">
        <v>318</v>
      </c>
      <c r="I70" s="40">
        <v>0.4</v>
      </c>
      <c r="J70" s="39" t="str">
        <f>IF(AND(C70&gt;0,F70&gt;0),ABS(F70-C70)/C70,"")</f>
        <v/>
      </c>
      <c r="K70" s="36" t="str">
        <f>IF(AND(C70&gt;0,G70&gt;0),IF(AND(C70&gt;=G70,C70&lt;=H70),"✓","✗"),"")</f>
        <v/>
      </c>
      <c r="L70" s="38" t="str">
        <f>IF(AND(C70&gt;0,C69&gt;0),(C70-C69)/C69,"")</f>
        <v/>
      </c>
      <c r="M70" s="36"/>
      <c r="N70" s="36"/>
    </row>
    <row r="71" spans="1:14">
      <c r="A71" s="36" t="s">
        <v>116</v>
      </c>
      <c r="B71" s="36">
        <v>36</v>
      </c>
      <c r="C71" s="36"/>
      <c r="D71" s="36"/>
      <c r="E71" s="36"/>
      <c r="F71" s="37">
        <v>268</v>
      </c>
      <c r="G71" s="37">
        <v>214</v>
      </c>
      <c r="H71" s="37">
        <v>322</v>
      </c>
      <c r="I71" s="40">
        <v>0.4</v>
      </c>
      <c r="J71" s="39" t="str">
        <f>IF(AND(C71&gt;0,F71&gt;0),ABS(F71-C71)/C71,"")</f>
        <v/>
      </c>
      <c r="K71" s="36" t="str">
        <f>IF(AND(C71&gt;0,G71&gt;0),IF(AND(C71&gt;=G71,C71&lt;=H71),"✓","✗"),"")</f>
        <v/>
      </c>
      <c r="L71" s="38" t="str">
        <f>IF(AND(C71&gt;0,C70&gt;0),(C71-C70)/C70,"")</f>
        <v/>
      </c>
      <c r="M71" s="36"/>
      <c r="N71" s="36"/>
    </row>
    <row r="72" spans="1:14">
      <c r="A72" s="36" t="s">
        <v>117</v>
      </c>
      <c r="B72" s="36">
        <v>37</v>
      </c>
      <c r="C72" s="36"/>
      <c r="D72" s="36"/>
      <c r="E72" s="36"/>
      <c r="F72" s="37">
        <v>268</v>
      </c>
      <c r="G72" s="37">
        <v>214</v>
      </c>
      <c r="H72" s="37">
        <v>322</v>
      </c>
      <c r="I72" s="40">
        <v>0.4</v>
      </c>
      <c r="J72" s="39" t="str">
        <f>IF(AND(C72&gt;0,F72&gt;0),ABS(F72-C72)/C72,"")</f>
        <v/>
      </c>
      <c r="K72" s="36" t="str">
        <f>IF(AND(C72&gt;0,G72&gt;0),IF(AND(C72&gt;=G72,C72&lt;=H72),"✓","✗"),"")</f>
        <v/>
      </c>
      <c r="L72" s="38" t="str">
        <f>IF(AND(C72&gt;0,C71&gt;0),(C72-C71)/C71,"")</f>
        <v/>
      </c>
      <c r="M72" s="36"/>
      <c r="N72" s="36"/>
    </row>
    <row r="73" spans="1:14">
      <c r="A73" s="36" t="s">
        <v>118</v>
      </c>
      <c r="B73" s="36">
        <v>38</v>
      </c>
      <c r="C73" s="36"/>
      <c r="D73" s="36"/>
      <c r="E73" s="36"/>
      <c r="F73" s="37">
        <v>268</v>
      </c>
      <c r="G73" s="37">
        <v>214</v>
      </c>
      <c r="H73" s="37">
        <v>322</v>
      </c>
      <c r="I73" s="40">
        <v>0.4</v>
      </c>
      <c r="J73" s="39" t="str">
        <f>IF(AND(C73&gt;0,F73&gt;0),ABS(F73-C73)/C73,"")</f>
        <v/>
      </c>
      <c r="K73" s="36" t="str">
        <f>IF(AND(C73&gt;0,G73&gt;0),IF(AND(C73&gt;=G73,C73&lt;=H73),"✓","✗"),"")</f>
        <v/>
      </c>
      <c r="L73" s="38" t="str">
        <f>IF(AND(C73&gt;0,C72&gt;0),(C73-C72)/C72,"")</f>
        <v/>
      </c>
      <c r="M73" s="36"/>
      <c r="N73" s="36"/>
    </row>
    <row r="74" spans="1:14">
      <c r="A74" s="36" t="s">
        <v>119</v>
      </c>
      <c r="B74" s="36">
        <v>39</v>
      </c>
      <c r="C74" s="36"/>
      <c r="D74" s="36"/>
      <c r="E74" s="36"/>
      <c r="F74" s="37">
        <v>268</v>
      </c>
      <c r="G74" s="37">
        <v>214</v>
      </c>
      <c r="H74" s="37">
        <v>322</v>
      </c>
      <c r="I74" s="40">
        <v>0.4</v>
      </c>
      <c r="J74" s="39" t="str">
        <f>IF(AND(C74&gt;0,F74&gt;0),ABS(F74-C74)/C74,"")</f>
        <v/>
      </c>
      <c r="K74" s="36" t="str">
        <f>IF(AND(C74&gt;0,G74&gt;0),IF(AND(C74&gt;=G74,C74&lt;=H74),"✓","✗"),"")</f>
        <v/>
      </c>
      <c r="L74" s="38" t="str">
        <f>IF(AND(C74&gt;0,C73&gt;0),(C74-C73)/C73,"")</f>
        <v/>
      </c>
      <c r="M74" s="36"/>
      <c r="N74" s="36"/>
    </row>
    <row r="75" spans="1:14">
      <c r="A75" s="36" t="s">
        <v>120</v>
      </c>
      <c r="B75" s="36">
        <v>40</v>
      </c>
      <c r="C75" s="36"/>
      <c r="D75" s="36"/>
      <c r="E75" s="36"/>
      <c r="F75" s="37">
        <v>217</v>
      </c>
      <c r="G75" s="37">
        <v>174</v>
      </c>
      <c r="H75" s="37">
        <v>260</v>
      </c>
      <c r="I75" s="40">
        <v>0.4</v>
      </c>
      <c r="J75" s="39" t="str">
        <f>IF(AND(C75&gt;0,F75&gt;0),ABS(F75-C75)/C75,"")</f>
        <v/>
      </c>
      <c r="K75" s="36" t="str">
        <f>IF(AND(C75&gt;0,G75&gt;0),IF(AND(C75&gt;=G75,C75&lt;=H75),"✓","✗"),"")</f>
        <v/>
      </c>
      <c r="L75" s="38" t="str">
        <f>IF(AND(C75&gt;0,C74&gt;0),(C75-C74)/C74,"")</f>
        <v/>
      </c>
      <c r="M75" s="36"/>
      <c r="N75" s="36"/>
    </row>
    <row r="76" spans="1:14">
      <c r="A76" s="36" t="s">
        <v>121</v>
      </c>
      <c r="B76" s="36">
        <v>41</v>
      </c>
      <c r="C76" s="36"/>
      <c r="D76" s="36"/>
      <c r="E76" s="36"/>
      <c r="F76" s="37">
        <v>217</v>
      </c>
      <c r="G76" s="37">
        <v>174</v>
      </c>
      <c r="H76" s="37">
        <v>260</v>
      </c>
      <c r="I76" s="40">
        <v>0.4</v>
      </c>
      <c r="J76" s="39" t="str">
        <f>IF(AND(C76&gt;0,F76&gt;0),ABS(F76-C76)/C76,"")</f>
        <v/>
      </c>
      <c r="K76" s="36" t="str">
        <f>IF(AND(C76&gt;0,G76&gt;0),IF(AND(C76&gt;=G76,C76&lt;=H76),"✓","✗"),"")</f>
        <v/>
      </c>
      <c r="L76" s="38" t="str">
        <f>IF(AND(C76&gt;0,C75&gt;0),(C76-C75)/C75,"")</f>
        <v/>
      </c>
      <c r="M76" s="36"/>
      <c r="N76" s="36"/>
    </row>
    <row r="77" spans="1:14">
      <c r="A77" s="36" t="s">
        <v>122</v>
      </c>
      <c r="B77" s="36">
        <v>42</v>
      </c>
      <c r="C77" s="36"/>
      <c r="D77" s="36"/>
      <c r="E77" s="36"/>
      <c r="F77" s="37">
        <v>217</v>
      </c>
      <c r="G77" s="37">
        <v>174</v>
      </c>
      <c r="H77" s="37">
        <v>260</v>
      </c>
      <c r="I77" s="40">
        <v>0.4</v>
      </c>
      <c r="J77" s="39" t="str">
        <f>IF(AND(C77&gt;0,F77&gt;0),ABS(F77-C77)/C77,"")</f>
        <v/>
      </c>
      <c r="K77" s="36" t="str">
        <f>IF(AND(C77&gt;0,G77&gt;0),IF(AND(C77&gt;=G77,C77&lt;=H77),"✓","✗"),"")</f>
        <v/>
      </c>
      <c r="L77" s="38" t="str">
        <f>IF(AND(C77&gt;0,C76&gt;0),(C77-C76)/C76,"")</f>
        <v/>
      </c>
      <c r="M77" s="36"/>
      <c r="N77" s="36"/>
    </row>
    <row r="78" spans="1:14">
      <c r="A78" s="36" t="s">
        <v>123</v>
      </c>
      <c r="B78" s="36">
        <v>43</v>
      </c>
      <c r="C78" s="36"/>
      <c r="D78" s="36"/>
      <c r="E78" s="36"/>
      <c r="F78" s="37">
        <v>217</v>
      </c>
      <c r="G78" s="37">
        <v>174</v>
      </c>
      <c r="H78" s="37">
        <v>260</v>
      </c>
      <c r="I78" s="40">
        <v>0.4</v>
      </c>
      <c r="J78" s="39" t="str">
        <f>IF(AND(C78&gt;0,F78&gt;0),ABS(F78-C78)/C78,"")</f>
        <v/>
      </c>
      <c r="K78" s="36" t="str">
        <f>IF(AND(C78&gt;0,G78&gt;0),IF(AND(C78&gt;=G78,C78&lt;=H78),"✓","✗"),"")</f>
        <v/>
      </c>
      <c r="L78" s="38" t="str">
        <f>IF(AND(C78&gt;0,C77&gt;0),(C78-C77)/C77,"")</f>
        <v/>
      </c>
      <c r="M78" s="36"/>
      <c r="N78" s="36"/>
    </row>
    <row r="79" spans="1:14">
      <c r="A79" s="36" t="s">
        <v>124</v>
      </c>
      <c r="B79" s="36">
        <v>44</v>
      </c>
      <c r="C79" s="36"/>
      <c r="D79" s="36"/>
      <c r="E79" s="36"/>
      <c r="F79" s="37">
        <v>217</v>
      </c>
      <c r="G79" s="37">
        <v>174</v>
      </c>
      <c r="H79" s="37">
        <v>260</v>
      </c>
      <c r="I79" s="40">
        <v>0.4</v>
      </c>
      <c r="J79" s="39" t="str">
        <f>IF(AND(C79&gt;0,F79&gt;0),ABS(F79-C79)/C79,"")</f>
        <v/>
      </c>
      <c r="K79" s="36" t="str">
        <f>IF(AND(C79&gt;0,G79&gt;0),IF(AND(C79&gt;=G79,C79&lt;=H79),"✓","✗"),"")</f>
        <v/>
      </c>
      <c r="L79" s="38" t="str">
        <f>IF(AND(C79&gt;0,C78&gt;0),(C79-C78)/C78,"")</f>
        <v/>
      </c>
      <c r="M79" s="36"/>
      <c r="N79" s="36"/>
    </row>
    <row r="80" spans="1:14">
      <c r="A80" s="36" t="s">
        <v>125</v>
      </c>
      <c r="B80" s="36">
        <v>45</v>
      </c>
      <c r="C80" s="36"/>
      <c r="D80" s="36"/>
      <c r="E80" s="36"/>
      <c r="F80" s="37">
        <v>252</v>
      </c>
      <c r="G80" s="37">
        <v>202</v>
      </c>
      <c r="H80" s="37">
        <v>302</v>
      </c>
      <c r="I80" s="40">
        <v>0.4</v>
      </c>
      <c r="J80" s="39" t="str">
        <f>IF(AND(C80&gt;0,F80&gt;0),ABS(F80-C80)/C80,"")</f>
        <v/>
      </c>
      <c r="K80" s="36" t="str">
        <f>IF(AND(C80&gt;0,G80&gt;0),IF(AND(C80&gt;=G80,C80&lt;=H80),"✓","✗"),"")</f>
        <v/>
      </c>
      <c r="L80" s="38" t="str">
        <f>IF(AND(C80&gt;0,C79&gt;0),(C80-C79)/C79,"")</f>
        <v/>
      </c>
      <c r="M80" s="36"/>
      <c r="N80" s="36"/>
    </row>
    <row r="81" spans="1:14">
      <c r="A81" s="36" t="s">
        <v>126</v>
      </c>
      <c r="B81" s="36">
        <v>46</v>
      </c>
      <c r="C81" s="36"/>
      <c r="D81" s="36"/>
      <c r="E81" s="36"/>
      <c r="F81" s="37">
        <v>252</v>
      </c>
      <c r="G81" s="37">
        <v>202</v>
      </c>
      <c r="H81" s="37">
        <v>302</v>
      </c>
      <c r="I81" s="40">
        <v>0.4</v>
      </c>
      <c r="J81" s="39" t="str">
        <f>IF(AND(C81&gt;0,F81&gt;0),ABS(F81-C81)/C81,"")</f>
        <v/>
      </c>
      <c r="K81" s="36" t="str">
        <f>IF(AND(C81&gt;0,G81&gt;0),IF(AND(C81&gt;=G81,C81&lt;=H81),"✓","✗"),"")</f>
        <v/>
      </c>
      <c r="L81" s="38" t="str">
        <f>IF(AND(C81&gt;0,C80&gt;0),(C81-C80)/C80,"")</f>
        <v/>
      </c>
      <c r="M81" s="36"/>
      <c r="N81" s="36"/>
    </row>
    <row r="82" spans="1:14">
      <c r="A82" s="36" t="s">
        <v>127</v>
      </c>
      <c r="B82" s="36">
        <v>47</v>
      </c>
      <c r="C82" s="36"/>
      <c r="D82" s="36"/>
      <c r="E82" s="36"/>
      <c r="F82" s="37">
        <v>252</v>
      </c>
      <c r="G82" s="37">
        <v>202</v>
      </c>
      <c r="H82" s="37">
        <v>302</v>
      </c>
      <c r="I82" s="40">
        <v>0.4</v>
      </c>
      <c r="J82" s="39" t="str">
        <f>IF(AND(C82&gt;0,F82&gt;0),ABS(F82-C82)/C82,"")</f>
        <v/>
      </c>
      <c r="K82" s="36" t="str">
        <f>IF(AND(C82&gt;0,G82&gt;0),IF(AND(C82&gt;=G82,C82&lt;=H82),"✓","✗"),"")</f>
        <v/>
      </c>
      <c r="L82" s="38" t="str">
        <f>IF(AND(C82&gt;0,C81&gt;0),(C82-C81)/C81,"")</f>
        <v/>
      </c>
      <c r="M82" s="36"/>
      <c r="N82" s="36"/>
    </row>
    <row r="83" spans="1:14">
      <c r="A83" s="36" t="s">
        <v>128</v>
      </c>
      <c r="B83" s="36">
        <v>48</v>
      </c>
      <c r="C83" s="36"/>
      <c r="D83" s="36"/>
      <c r="E83" s="36"/>
      <c r="F83" s="37">
        <v>252</v>
      </c>
      <c r="G83" s="37">
        <v>202</v>
      </c>
      <c r="H83" s="37">
        <v>302</v>
      </c>
      <c r="I83" s="40">
        <v>0.4</v>
      </c>
      <c r="J83" s="39" t="str">
        <f>IF(AND(C83&gt;0,F83&gt;0),ABS(F83-C83)/C83,"")</f>
        <v/>
      </c>
      <c r="K83" s="36" t="str">
        <f>IF(AND(C83&gt;0,G83&gt;0),IF(AND(C83&gt;=G83,C83&lt;=H83),"✓","✗"),"")</f>
        <v/>
      </c>
      <c r="L83" s="38" t="str">
        <f>IF(AND(C83&gt;0,C82&gt;0),(C83-C82)/C82,"")</f>
        <v/>
      </c>
      <c r="M83" s="36"/>
      <c r="N83" s="36"/>
    </row>
    <row r="84" spans="1:14">
      <c r="A84" s="36" t="s">
        <v>129</v>
      </c>
      <c r="B84" s="36">
        <v>49</v>
      </c>
      <c r="C84" s="36"/>
      <c r="D84" s="36"/>
      <c r="E84" s="36"/>
      <c r="F84" s="37">
        <v>192</v>
      </c>
      <c r="G84" s="37">
        <v>154</v>
      </c>
      <c r="H84" s="37">
        <v>230</v>
      </c>
      <c r="I84" s="40">
        <v>0.4</v>
      </c>
      <c r="J84" s="39" t="str">
        <f>IF(AND(C84&gt;0,F84&gt;0),ABS(F84-C84)/C84,"")</f>
        <v/>
      </c>
      <c r="K84" s="36" t="str">
        <f>IF(AND(C84&gt;0,G84&gt;0),IF(AND(C84&gt;=G84,C84&lt;=H84),"✓","✗"),"")</f>
        <v/>
      </c>
      <c r="L84" s="38" t="str">
        <f>IF(AND(C84&gt;0,C83&gt;0),(C84-C83)/C83,"")</f>
        <v/>
      </c>
      <c r="M84" s="36"/>
      <c r="N84" s="36"/>
    </row>
    <row r="85" spans="1:14">
      <c r="A85" s="36" t="s">
        <v>130</v>
      </c>
      <c r="B85" s="36">
        <v>50</v>
      </c>
      <c r="C85" s="36"/>
      <c r="D85" s="36"/>
      <c r="E85" s="36"/>
      <c r="F85" s="37">
        <v>192</v>
      </c>
      <c r="G85" s="37">
        <v>154</v>
      </c>
      <c r="H85" s="37">
        <v>230</v>
      </c>
      <c r="I85" s="40">
        <v>0.4</v>
      </c>
      <c r="J85" s="39" t="str">
        <f>IF(AND(C85&gt;0,F85&gt;0),ABS(F85-C85)/C85,"")</f>
        <v/>
      </c>
      <c r="K85" s="36" t="str">
        <f>IF(AND(C85&gt;0,G85&gt;0),IF(AND(C85&gt;=G85,C85&lt;=H85),"✓","✗"),"")</f>
        <v/>
      </c>
      <c r="L85" s="38" t="str">
        <f>IF(AND(C85&gt;0,C84&gt;0),(C85-C84)/C84,"")</f>
        <v/>
      </c>
      <c r="M85" s="36"/>
      <c r="N85" s="36"/>
    </row>
    <row r="86" spans="1:14">
      <c r="A86" s="36" t="s">
        <v>131</v>
      </c>
      <c r="B86" s="36">
        <v>51</v>
      </c>
      <c r="C86" s="36"/>
      <c r="D86" s="36"/>
      <c r="E86" s="36"/>
      <c r="F86" s="37">
        <v>192</v>
      </c>
      <c r="G86" s="37">
        <v>154</v>
      </c>
      <c r="H86" s="37">
        <v>230</v>
      </c>
      <c r="I86" s="40">
        <v>0.4</v>
      </c>
      <c r="J86" s="39" t="str">
        <f>IF(AND(C86&gt;0,F86&gt;0),ABS(F86-C86)/C86,"")</f>
        <v/>
      </c>
      <c r="K86" s="36" t="str">
        <f>IF(AND(C86&gt;0,G86&gt;0),IF(AND(C86&gt;=G86,C86&lt;=H86),"✓","✗"),"")</f>
        <v/>
      </c>
      <c r="L86" s="38" t="str">
        <f>IF(AND(C86&gt;0,C85&gt;0),(C86-C85)/C85,"")</f>
        <v/>
      </c>
      <c r="M86" s="36"/>
      <c r="N86" s="36"/>
    </row>
    <row r="87" spans="1:14">
      <c r="A87" s="36" t="s">
        <v>132</v>
      </c>
      <c r="B87" s="36">
        <v>52</v>
      </c>
      <c r="C87" s="36"/>
      <c r="D87" s="36"/>
      <c r="E87" s="36"/>
      <c r="F87" s="37">
        <v>192</v>
      </c>
      <c r="G87" s="37">
        <v>154</v>
      </c>
      <c r="H87" s="37">
        <v>230</v>
      </c>
      <c r="I87" s="40">
        <v>0.4</v>
      </c>
      <c r="J87" s="39" t="str">
        <f>IF(AND(C87&gt;0,F87&gt;0),ABS(F87-C87)/C87,"")</f>
        <v/>
      </c>
      <c r="K87" s="36" t="str">
        <f>IF(AND(C87&gt;0,G87&gt;0),IF(AND(C87&gt;=G87,C87&lt;=H87),"✓","✗"),"")</f>
        <v/>
      </c>
      <c r="L87" s="38" t="str">
        <f>IF(AND(C87&gt;0,C86&gt;0),(C87-C86)/C86,"")</f>
        <v/>
      </c>
      <c r="M87" s="36"/>
      <c r="N87" s="36"/>
    </row>
  </sheetData>
  <mergeCells count="15">
    <mergeCell ref="C3:D3"/>
    <mergeCell ref="A3:B3"/>
    <mergeCell ref="G3:H3"/>
    <mergeCell ref="E3:F3"/>
    <mergeCell ref="A1:N1"/>
    <mergeCell ref="A4:B4"/>
    <mergeCell ref="G4:H4"/>
    <mergeCell ref="E4:F4"/>
    <mergeCell ref="A12:K12"/>
    <mergeCell ref="A34:N34"/>
    <mergeCell ref="A5:B5"/>
    <mergeCell ref="C4:D4"/>
    <mergeCell ref="G5:H5"/>
    <mergeCell ref="A8:K8"/>
    <mergeCell ref="A19:K19"/>
  </mergeCells>
  <conditionalFormatting sqref="C36:C87">
    <cfRule type="dataBar" priority="1">
      <dataBar>
        <cfvo type="num" val="0"/>
        <cfvo type="max"/>
        <color rgb="FF16A085"/>
      </dataBar>
    </cfRule>
  </conditionalFormatting>
  <conditionalFormatting sqref="J36:J87">
    <cfRule type="colorScale" priority="2">
      <colorScale>
        <cfvo type="num" val="0"/>
        <cfvo type="num" val="0.1"/>
        <cfvo type="num" val="0.3"/>
        <color rgb="FF27AE60"/>
        <color rgb="FFFFFFFF"/>
        <color rgb="FFE74C3C"/>
      </colorScale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Williams, Richard</cp:lastModifiedBy>
  <cp:revision/>
  <dcterms:created xsi:type="dcterms:W3CDTF">2026-04-13T20:28:00Z</dcterms:created>
  <dcterms:modified xsi:type="dcterms:W3CDTF">2026-04-13T21:06:54Z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2026-04-13T20:47:41Z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b62febbb-ba0d-46b1-a606-ef10feea0a62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10, 3, 0, 2</vt:lpwstr>
  </property>
</Properties>
</file>